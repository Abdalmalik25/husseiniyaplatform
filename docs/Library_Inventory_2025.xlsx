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26\ALHUSAINIA\husseiniya-platform\docs\"/>
    </mc:Choice>
  </mc:AlternateContent>
  <xr:revisionPtr revIDLastSave="0" documentId="13_ncr:1_{374188DC-7100-4F4C-B07A-F786415F973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3" r:id="rId1"/>
    <sheet name="المخزون السلعي ط 14-1-2025م (2)" sheetId="2" r:id="rId2"/>
    <sheet name="ورقة2" sheetId="4" r:id="rId3"/>
  </sheets>
  <externalReferences>
    <externalReference r:id="rId4"/>
  </externalReferences>
  <definedNames>
    <definedName name="_xlnm._FilterDatabase" localSheetId="1" hidden="1">'المخزون السلعي ط 14-1-2025م (2)'!$B$2:$V$1149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53" i="2" l="1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8" i="2"/>
  <c r="T1052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L1973" i="3" l="1"/>
  <c r="L2008" i="3"/>
  <c r="L2119" i="3"/>
  <c r="L1326" i="3"/>
  <c r="L1635" i="3"/>
  <c r="L1719" i="3"/>
  <c r="L1159" i="3"/>
  <c r="L1158" i="3"/>
  <c r="L1325" i="3"/>
  <c r="L845" i="3"/>
  <c r="L1441" i="3"/>
  <c r="L844" i="3"/>
  <c r="L1157" i="3"/>
  <c r="L843" i="3"/>
  <c r="L842" i="3"/>
  <c r="L841" i="3"/>
  <c r="L840" i="3"/>
  <c r="L839" i="3"/>
  <c r="L838" i="3"/>
  <c r="L2284" i="3"/>
  <c r="L837" i="3"/>
  <c r="L836" i="3"/>
  <c r="L835" i="3"/>
  <c r="L834" i="3"/>
  <c r="L132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1156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1323" i="3"/>
  <c r="L1857" i="3"/>
  <c r="L2007" i="3"/>
  <c r="L807" i="3"/>
  <c r="L1718" i="3"/>
  <c r="L806" i="3"/>
  <c r="L805" i="3"/>
  <c r="L804" i="3"/>
  <c r="L2283" i="3"/>
  <c r="L2282" i="3"/>
  <c r="L2281" i="3"/>
  <c r="L2280" i="3"/>
  <c r="L2279" i="3"/>
  <c r="L2278" i="3"/>
  <c r="L2277" i="3"/>
  <c r="L2276" i="3"/>
  <c r="L1792" i="3"/>
  <c r="L2021" i="3"/>
  <c r="L2041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1440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1439" i="3"/>
  <c r="L1634" i="3"/>
  <c r="L774" i="3"/>
  <c r="L773" i="3"/>
  <c r="L1438" i="3"/>
  <c r="L1791" i="3"/>
  <c r="L1790" i="3"/>
  <c r="L1155" i="3"/>
  <c r="L1549" i="3"/>
  <c r="L772" i="3"/>
  <c r="L771" i="3"/>
  <c r="L770" i="3"/>
  <c r="L769" i="3"/>
  <c r="L768" i="3"/>
  <c r="L767" i="3"/>
  <c r="L766" i="3"/>
  <c r="L1856" i="3"/>
  <c r="L2053" i="3"/>
  <c r="L1855" i="3"/>
  <c r="L765" i="3"/>
  <c r="L1322" i="3"/>
  <c r="L1154" i="3"/>
  <c r="L1633" i="3"/>
  <c r="L1632" i="3"/>
  <c r="L1321" i="3"/>
  <c r="L1631" i="3"/>
  <c r="L162" i="3"/>
  <c r="L1437" i="3"/>
  <c r="L1548" i="3"/>
  <c r="L1320" i="3"/>
  <c r="L161" i="3"/>
  <c r="L1436" i="3"/>
  <c r="L1153" i="3"/>
  <c r="L1917" i="3"/>
  <c r="L1972" i="3"/>
  <c r="L1152" i="3"/>
  <c r="L1151" i="3"/>
  <c r="L1435" i="3"/>
  <c r="L1789" i="3"/>
  <c r="L1150" i="3"/>
  <c r="L2229" i="3"/>
  <c r="L2020" i="3"/>
  <c r="L1319" i="3"/>
  <c r="L1547" i="3"/>
  <c r="L1149" i="3"/>
  <c r="L1148" i="3"/>
  <c r="L1717" i="3"/>
  <c r="L1788" i="3"/>
  <c r="L1147" i="3"/>
  <c r="L1146" i="3"/>
  <c r="L1318" i="3"/>
  <c r="L764" i="3"/>
  <c r="L763" i="3"/>
  <c r="L1317" i="3"/>
  <c r="L762" i="3"/>
  <c r="L1316" i="3"/>
  <c r="L1315" i="3"/>
  <c r="L1434" i="3"/>
  <c r="L761" i="3"/>
  <c r="L1145" i="3"/>
  <c r="L1144" i="3"/>
  <c r="L760" i="3"/>
  <c r="L1143" i="3"/>
  <c r="L1142" i="3"/>
  <c r="L1141" i="3"/>
  <c r="L1314" i="3"/>
  <c r="L759" i="3"/>
  <c r="L1140" i="3"/>
  <c r="L1139" i="3"/>
  <c r="L1313" i="3"/>
  <c r="L1630" i="3"/>
  <c r="L1546" i="3"/>
  <c r="L1971" i="3"/>
  <c r="L1629" i="3"/>
  <c r="L758" i="3"/>
  <c r="L757" i="3"/>
  <c r="L1433" i="3"/>
  <c r="L1628" i="3"/>
  <c r="L756" i="3"/>
  <c r="L755" i="3"/>
  <c r="L1312" i="3"/>
  <c r="L754" i="3"/>
  <c r="L753" i="3"/>
  <c r="L1432" i="3"/>
  <c r="L752" i="3"/>
  <c r="L751" i="3"/>
  <c r="L1627" i="3"/>
  <c r="L1138" i="3"/>
  <c r="L1716" i="3"/>
  <c r="L750" i="3"/>
  <c r="L749" i="3"/>
  <c r="L1137" i="3"/>
  <c r="L1431" i="3"/>
  <c r="L1545" i="3"/>
  <c r="L748" i="3"/>
  <c r="L747" i="3"/>
  <c r="L746" i="3"/>
  <c r="L1311" i="3"/>
  <c r="L1136" i="3"/>
  <c r="L1626" i="3"/>
  <c r="L1625" i="3"/>
  <c r="L1970" i="3"/>
  <c r="L2247" i="3"/>
  <c r="L2052" i="3"/>
  <c r="L160" i="3"/>
  <c r="L2006" i="3"/>
  <c r="L1430" i="3"/>
  <c r="L1310" i="3"/>
  <c r="L1916" i="3"/>
  <c r="L745" i="3"/>
  <c r="L1309" i="3"/>
  <c r="L1135" i="3"/>
  <c r="L1134" i="3"/>
  <c r="L2019" i="3"/>
  <c r="L1715" i="3"/>
  <c r="L1308" i="3"/>
  <c r="L1854" i="3"/>
  <c r="L744" i="3"/>
  <c r="L2124" i="3"/>
  <c r="L1429" i="3"/>
  <c r="L1544" i="3"/>
  <c r="L2162" i="3"/>
  <c r="L1969" i="3"/>
  <c r="L1624" i="3"/>
  <c r="L2018" i="3"/>
  <c r="L2005" i="3"/>
  <c r="L1307" i="3"/>
  <c r="L2040" i="3"/>
  <c r="L1133" i="3"/>
  <c r="L159" i="3"/>
  <c r="L1968" i="3"/>
  <c r="L1787" i="3"/>
  <c r="L1853" i="3"/>
  <c r="L1915" i="3"/>
  <c r="L1967" i="3"/>
  <c r="L1786" i="3"/>
  <c r="L2051" i="3"/>
  <c r="L1623" i="3"/>
  <c r="L2039" i="3"/>
  <c r="L2198" i="3"/>
  <c r="L1785" i="3"/>
  <c r="L1132" i="3"/>
  <c r="L1428" i="3"/>
  <c r="L1427" i="3"/>
  <c r="L743" i="3"/>
  <c r="L1306" i="3"/>
  <c r="L1543" i="3"/>
  <c r="L1852" i="3"/>
  <c r="L1851" i="3"/>
  <c r="L1784" i="3"/>
  <c r="L1622" i="3"/>
  <c r="L1966" i="3"/>
  <c r="L1714" i="3"/>
  <c r="L1542" i="3"/>
  <c r="L2207" i="3"/>
  <c r="L2004" i="3"/>
  <c r="L2105" i="3"/>
  <c r="L2137" i="3"/>
  <c r="L2136" i="3"/>
  <c r="L158" i="3"/>
  <c r="L157" i="3"/>
  <c r="L742" i="3"/>
  <c r="L2153" i="3"/>
  <c r="L2066" i="3"/>
  <c r="L741" i="3"/>
  <c r="L740" i="3"/>
  <c r="L739" i="3"/>
  <c r="L1914" i="3"/>
  <c r="L738" i="3"/>
  <c r="L2003" i="3"/>
  <c r="L1965" i="3"/>
  <c r="L156" i="3"/>
  <c r="L155" i="3"/>
  <c r="L2093" i="3"/>
  <c r="L2092" i="3"/>
  <c r="L2104" i="3"/>
  <c r="L2166" i="3"/>
  <c r="L1131" i="3"/>
  <c r="L1913" i="3"/>
  <c r="L154" i="3"/>
  <c r="L153" i="3"/>
  <c r="L152" i="3"/>
  <c r="L1783" i="3"/>
  <c r="L1541" i="3"/>
  <c r="L2150" i="3"/>
  <c r="L1782" i="3"/>
  <c r="L1964" i="3"/>
  <c r="L2159" i="3"/>
  <c r="L2091" i="3"/>
  <c r="L1963" i="3"/>
  <c r="L1713" i="3"/>
  <c r="L2103" i="3"/>
  <c r="L2135" i="3"/>
  <c r="L2201" i="3"/>
  <c r="L151" i="3"/>
  <c r="L150" i="3"/>
  <c r="L1712" i="3"/>
  <c r="L1426" i="3"/>
  <c r="L2191" i="3"/>
  <c r="L2002" i="3"/>
  <c r="L1621" i="3"/>
  <c r="L1711" i="3"/>
  <c r="L1962" i="3"/>
  <c r="L1425" i="3"/>
  <c r="L1305" i="3"/>
  <c r="L1781" i="3"/>
  <c r="L1130" i="3"/>
  <c r="L2001" i="3"/>
  <c r="L2194" i="3"/>
  <c r="L1961" i="3"/>
  <c r="L149" i="3"/>
  <c r="L2225" i="3"/>
  <c r="L148" i="3"/>
  <c r="L1424" i="3"/>
  <c r="L2000" i="3"/>
  <c r="L1999" i="3"/>
  <c r="L1912" i="3"/>
  <c r="L737" i="3"/>
  <c r="L2038" i="3"/>
  <c r="L1540" i="3"/>
  <c r="L1998" i="3"/>
  <c r="L1129" i="3"/>
  <c r="L2102" i="3"/>
  <c r="L2161" i="3"/>
  <c r="L2017" i="3"/>
  <c r="L1128" i="3"/>
  <c r="L1710" i="3"/>
  <c r="L2134" i="3"/>
  <c r="L1709" i="3"/>
  <c r="L1708" i="3"/>
  <c r="L1127" i="3"/>
  <c r="L1126" i="3"/>
  <c r="L736" i="3"/>
  <c r="L1780" i="3"/>
  <c r="L1125" i="3"/>
  <c r="L1960" i="3"/>
  <c r="L2152" i="3"/>
  <c r="L735" i="3"/>
  <c r="L1124" i="3"/>
  <c r="L1304" i="3"/>
  <c r="L1123" i="3"/>
  <c r="L1707" i="3"/>
  <c r="L1303" i="3"/>
  <c r="L1122" i="3"/>
  <c r="L734" i="3"/>
  <c r="L1121" i="3"/>
  <c r="L733" i="3"/>
  <c r="L1302" i="3"/>
  <c r="L2252" i="3"/>
  <c r="L2123" i="3"/>
  <c r="L1779" i="3"/>
  <c r="L1778" i="3"/>
  <c r="L147" i="3"/>
  <c r="L1777" i="3"/>
  <c r="L1706" i="3"/>
  <c r="L2275" i="3"/>
  <c r="L2122" i="3"/>
  <c r="L2259" i="3"/>
  <c r="L732" i="3"/>
  <c r="L1423" i="3"/>
  <c r="L1850" i="3"/>
  <c r="L2246" i="3"/>
  <c r="L2037" i="3"/>
  <c r="L1539" i="3"/>
  <c r="L2174" i="3"/>
  <c r="L1959" i="3"/>
  <c r="L2133" i="3"/>
  <c r="L2242" i="3"/>
  <c r="L2113" i="3"/>
  <c r="L2241" i="3"/>
  <c r="L731" i="3"/>
  <c r="L1705" i="3"/>
  <c r="L2238" i="3"/>
  <c r="L2223" i="3"/>
  <c r="L2183" i="3"/>
  <c r="L2148" i="3"/>
  <c r="L2249" i="3"/>
  <c r="L1538" i="3"/>
  <c r="L730" i="3"/>
  <c r="L1537" i="3"/>
  <c r="L1704" i="3"/>
  <c r="L1620" i="3"/>
  <c r="L1120" i="3"/>
  <c r="L1619" i="3"/>
  <c r="L1618" i="3"/>
  <c r="L1911" i="3"/>
  <c r="L1958" i="3"/>
  <c r="L729" i="3"/>
  <c r="L728" i="3"/>
  <c r="L727" i="3"/>
  <c r="L726" i="3"/>
  <c r="L1119" i="3"/>
  <c r="L1118" i="3"/>
  <c r="L1117" i="3"/>
  <c r="L1422" i="3"/>
  <c r="L1421" i="3"/>
  <c r="L1957" i="3"/>
  <c r="L1420" i="3"/>
  <c r="L725" i="3"/>
  <c r="L1301" i="3"/>
  <c r="L1300" i="3"/>
  <c r="L724" i="3"/>
  <c r="L1617" i="3"/>
  <c r="L723" i="3"/>
  <c r="L1116" i="3"/>
  <c r="L722" i="3"/>
  <c r="L1419" i="3"/>
  <c r="L1115" i="3"/>
  <c r="L1536" i="3"/>
  <c r="L721" i="3"/>
  <c r="L1114" i="3"/>
  <c r="L1113" i="3"/>
  <c r="L1535" i="3"/>
  <c r="L1299" i="3"/>
  <c r="L1112" i="3"/>
  <c r="L720" i="3"/>
  <c r="L1298" i="3"/>
  <c r="L1616" i="3"/>
  <c r="L1615" i="3"/>
  <c r="L719" i="3"/>
  <c r="L1111" i="3"/>
  <c r="L718" i="3"/>
  <c r="L1418" i="3"/>
  <c r="L717" i="3"/>
  <c r="L1110" i="3"/>
  <c r="L716" i="3"/>
  <c r="L1297" i="3"/>
  <c r="L715" i="3"/>
  <c r="L1296" i="3"/>
  <c r="L714" i="3"/>
  <c r="L1417" i="3"/>
  <c r="L1295" i="3"/>
  <c r="L1109" i="3"/>
  <c r="L1703" i="3"/>
  <c r="L1702" i="3"/>
  <c r="L713" i="3"/>
  <c r="L712" i="3"/>
  <c r="L1108" i="3"/>
  <c r="L711" i="3"/>
  <c r="L710" i="3"/>
  <c r="L1107" i="3"/>
  <c r="L1534" i="3"/>
  <c r="L1416" i="3"/>
  <c r="L1415" i="3"/>
  <c r="L1294" i="3"/>
  <c r="L2274" i="3"/>
  <c r="L1106" i="3"/>
  <c r="L1293" i="3"/>
  <c r="L2132" i="3"/>
  <c r="L1414" i="3"/>
  <c r="L709" i="3"/>
  <c r="L1910" i="3"/>
  <c r="L1997" i="3"/>
  <c r="L708" i="3"/>
  <c r="L2112" i="3"/>
  <c r="L2016" i="3"/>
  <c r="L2131" i="3"/>
  <c r="L1909" i="3"/>
  <c r="L1849" i="3"/>
  <c r="L2168" i="3"/>
  <c r="L2130" i="3"/>
  <c r="L707" i="3"/>
  <c r="L706" i="3"/>
  <c r="L705" i="3"/>
  <c r="L1701" i="3"/>
  <c r="L1908" i="3"/>
  <c r="L1533" i="3"/>
  <c r="L704" i="3"/>
  <c r="L2222" i="3"/>
  <c r="L2221" i="3"/>
  <c r="L2165" i="3"/>
  <c r="L2228" i="3"/>
  <c r="L2216" i="3"/>
  <c r="L1105" i="3"/>
  <c r="L1532" i="3"/>
  <c r="L2147" i="3"/>
  <c r="L146" i="3"/>
  <c r="L2075" i="3"/>
  <c r="L2197" i="3"/>
  <c r="L2101" i="3"/>
  <c r="L1956" i="3"/>
  <c r="L2177" i="3"/>
  <c r="L2158" i="3"/>
  <c r="L1848" i="3"/>
  <c r="L1104" i="3"/>
  <c r="L703" i="3"/>
  <c r="L1103" i="3"/>
  <c r="L1776" i="3"/>
  <c r="L1614" i="3"/>
  <c r="L1413" i="3"/>
  <c r="L1292" i="3"/>
  <c r="L702" i="3"/>
  <c r="L701" i="3"/>
  <c r="L700" i="3"/>
  <c r="L699" i="3"/>
  <c r="L698" i="3"/>
  <c r="L1102" i="3"/>
  <c r="L1101" i="3"/>
  <c r="L1847" i="3"/>
  <c r="L1775" i="3"/>
  <c r="L1613" i="3"/>
  <c r="L1100" i="3"/>
  <c r="L697" i="3"/>
  <c r="L1099" i="3"/>
  <c r="L1291" i="3"/>
  <c r="L1412" i="3"/>
  <c r="L2015" i="3"/>
  <c r="L2190" i="3"/>
  <c r="L2118" i="3"/>
  <c r="L1098" i="3"/>
  <c r="L2200" i="3"/>
  <c r="L145" i="3"/>
  <c r="L2146" i="3"/>
  <c r="L2199" i="3"/>
  <c r="L2050" i="3"/>
  <c r="L2215" i="3"/>
  <c r="L1612" i="3"/>
  <c r="L1097" i="3"/>
  <c r="L2036" i="3"/>
  <c r="L1611" i="3"/>
  <c r="L2014" i="3"/>
  <c r="L2236" i="3"/>
  <c r="L2235" i="3"/>
  <c r="L2170" i="3"/>
  <c r="L144" i="3"/>
  <c r="L143" i="3"/>
  <c r="L142" i="3"/>
  <c r="L1610" i="3"/>
  <c r="L2188" i="3"/>
  <c r="L2182" i="3"/>
  <c r="L696" i="3"/>
  <c r="L2100" i="3"/>
  <c r="L141" i="3"/>
  <c r="L140" i="3"/>
  <c r="L695" i="3"/>
  <c r="L694" i="3"/>
  <c r="L693" i="3"/>
  <c r="L1096" i="3"/>
  <c r="L1411" i="3"/>
  <c r="L1095" i="3"/>
  <c r="L1094" i="3"/>
  <c r="L1093" i="3"/>
  <c r="L1774" i="3"/>
  <c r="L1290" i="3"/>
  <c r="L1907" i="3"/>
  <c r="L2065" i="3"/>
  <c r="L692" i="3"/>
  <c r="L691" i="3"/>
  <c r="L690" i="3"/>
  <c r="L1289" i="3"/>
  <c r="L689" i="3"/>
  <c r="L688" i="3"/>
  <c r="L1092" i="3"/>
  <c r="L1700" i="3"/>
  <c r="L1955" i="3"/>
  <c r="L1531" i="3"/>
  <c r="L2013" i="3"/>
  <c r="L2012" i="3"/>
  <c r="L1091" i="3"/>
  <c r="L139" i="3"/>
  <c r="L1410" i="3"/>
  <c r="L687" i="3"/>
  <c r="L686" i="3"/>
  <c r="L685" i="3"/>
  <c r="L1090" i="3"/>
  <c r="L1288" i="3"/>
  <c r="L1287" i="3"/>
  <c r="L1773" i="3"/>
  <c r="L1772" i="3"/>
  <c r="L684" i="3"/>
  <c r="L1954" i="3"/>
  <c r="L683" i="3"/>
  <c r="L1846" i="3"/>
  <c r="L1530" i="3"/>
  <c r="L1845" i="3"/>
  <c r="L1409" i="3"/>
  <c r="L138" i="3"/>
  <c r="L137" i="3"/>
  <c r="L136" i="3"/>
  <c r="L135" i="3"/>
  <c r="L134" i="3"/>
  <c r="L133" i="3"/>
  <c r="L682" i="3"/>
  <c r="L681" i="3"/>
  <c r="L1408" i="3"/>
  <c r="L1906" i="3"/>
  <c r="L1609" i="3"/>
  <c r="L1286" i="3"/>
  <c r="L1608" i="3"/>
  <c r="L1089" i="3"/>
  <c r="L1607" i="3"/>
  <c r="L1285" i="3"/>
  <c r="L1407" i="3"/>
  <c r="L1699" i="3"/>
  <c r="L2169" i="3"/>
  <c r="L2157" i="3"/>
  <c r="L2074" i="3"/>
  <c r="L2035" i="3"/>
  <c r="L680" i="3"/>
  <c r="L679" i="3"/>
  <c r="L1698" i="3"/>
  <c r="L1088" i="3"/>
  <c r="L1087" i="3"/>
  <c r="L1086" i="3"/>
  <c r="L1085" i="3"/>
  <c r="L1284" i="3"/>
  <c r="L1529" i="3"/>
  <c r="L1844" i="3"/>
  <c r="L1528" i="3"/>
  <c r="L1953" i="3"/>
  <c r="L1697" i="3"/>
  <c r="L1283" i="3"/>
  <c r="L2145" i="3"/>
  <c r="L1952" i="3"/>
  <c r="L1771" i="3"/>
  <c r="L1996" i="3"/>
  <c r="L1905" i="3"/>
  <c r="L1406" i="3"/>
  <c r="L1995" i="3"/>
  <c r="L1527" i="3"/>
  <c r="L1526" i="3"/>
  <c r="L1951" i="3"/>
  <c r="L1843" i="3"/>
  <c r="L1904" i="3"/>
  <c r="L1903" i="3"/>
  <c r="L1405" i="3"/>
  <c r="L1282" i="3"/>
  <c r="L1404" i="3"/>
  <c r="L1696" i="3"/>
  <c r="L2034" i="3"/>
  <c r="L2156" i="3"/>
  <c r="L2064" i="3"/>
  <c r="L678" i="3"/>
  <c r="L1994" i="3"/>
  <c r="L1770" i="3"/>
  <c r="L1902" i="3"/>
  <c r="L2218" i="3"/>
  <c r="L2187" i="3"/>
  <c r="L2217" i="3"/>
  <c r="L2189" i="3"/>
  <c r="L1606" i="3"/>
  <c r="L677" i="3"/>
  <c r="L1403" i="3"/>
  <c r="L1950" i="3"/>
  <c r="L2121" i="3"/>
  <c r="L1769" i="3"/>
  <c r="L1842" i="3"/>
  <c r="L1841" i="3"/>
  <c r="L1949" i="3"/>
  <c r="L1605" i="3"/>
  <c r="L1993" i="3"/>
  <c r="L2129" i="3"/>
  <c r="L676" i="3"/>
  <c r="L1768" i="3"/>
  <c r="L1695" i="3"/>
  <c r="L1084" i="3"/>
  <c r="L1767" i="3"/>
  <c r="L1281" i="3"/>
  <c r="L1083" i="3"/>
  <c r="L1082" i="3"/>
  <c r="L1280" i="3"/>
  <c r="L1402" i="3"/>
  <c r="L1401" i="3"/>
  <c r="L1694" i="3"/>
  <c r="L1081" i="3"/>
  <c r="L2011" i="3"/>
  <c r="L1279" i="3"/>
  <c r="L1901" i="3"/>
  <c r="L1604" i="3"/>
  <c r="L1603" i="3"/>
  <c r="L1080" i="3"/>
  <c r="L1400" i="3"/>
  <c r="L1840" i="3"/>
  <c r="L1992" i="3"/>
  <c r="L2063" i="3"/>
  <c r="L675" i="3"/>
  <c r="L674" i="3"/>
  <c r="L1278" i="3"/>
  <c r="L673" i="3"/>
  <c r="L1277" i="3"/>
  <c r="L672" i="3"/>
  <c r="L671" i="3"/>
  <c r="L1079" i="3"/>
  <c r="L1078" i="3"/>
  <c r="L1399" i="3"/>
  <c r="L670" i="3"/>
  <c r="L669" i="3"/>
  <c r="L668" i="3"/>
  <c r="L1525" i="3"/>
  <c r="L1693" i="3"/>
  <c r="L1077" i="3"/>
  <c r="L1276" i="3"/>
  <c r="L1524" i="3"/>
  <c r="L2196" i="3"/>
  <c r="L2144" i="3"/>
  <c r="L2220" i="3"/>
  <c r="L2164" i="3"/>
  <c r="L2231" i="3"/>
  <c r="L2173" i="3"/>
  <c r="L2033" i="3"/>
  <c r="L1900" i="3"/>
  <c r="L2243" i="3"/>
  <c r="L2206" i="3"/>
  <c r="L2273" i="3"/>
  <c r="L2205" i="3"/>
  <c r="L2062" i="3"/>
  <c r="L2186" i="3"/>
  <c r="L2244" i="3"/>
  <c r="L1839" i="3"/>
  <c r="L1948" i="3"/>
  <c r="L667" i="3"/>
  <c r="L1602" i="3"/>
  <c r="L1947" i="3"/>
  <c r="L1946" i="3"/>
  <c r="L1899" i="3"/>
  <c r="L1275" i="3"/>
  <c r="L1838" i="3"/>
  <c r="L1523" i="3"/>
  <c r="L1398" i="3"/>
  <c r="L1076" i="3"/>
  <c r="L1522" i="3"/>
  <c r="L1898" i="3"/>
  <c r="L666" i="3"/>
  <c r="L1075" i="3"/>
  <c r="L1397" i="3"/>
  <c r="L1521" i="3"/>
  <c r="L132" i="3"/>
  <c r="L665" i="3"/>
  <c r="L664" i="3"/>
  <c r="L663" i="3"/>
  <c r="L2111" i="3"/>
  <c r="L2227" i="3"/>
  <c r="L1074" i="3"/>
  <c r="L1520" i="3"/>
  <c r="L662" i="3"/>
  <c r="L661" i="3"/>
  <c r="L1073" i="3"/>
  <c r="L660" i="3"/>
  <c r="L1396" i="3"/>
  <c r="L1837" i="3"/>
  <c r="L1072" i="3"/>
  <c r="L2110" i="3"/>
  <c r="L1274" i="3"/>
  <c r="L659" i="3"/>
  <c r="L658" i="3"/>
  <c r="L1071" i="3"/>
  <c r="L1070" i="3"/>
  <c r="L657" i="3"/>
  <c r="L1519" i="3"/>
  <c r="L656" i="3"/>
  <c r="L1692" i="3"/>
  <c r="L1691" i="3"/>
  <c r="L1273" i="3"/>
  <c r="L2090" i="3"/>
  <c r="L655" i="3"/>
  <c r="L1945" i="3"/>
  <c r="L654" i="3"/>
  <c r="L1518" i="3"/>
  <c r="L1517" i="3"/>
  <c r="L653" i="3"/>
  <c r="L1944" i="3"/>
  <c r="L2010" i="3"/>
  <c r="L1069" i="3"/>
  <c r="L1766" i="3"/>
  <c r="L1516" i="3"/>
  <c r="L2272" i="3"/>
  <c r="L1395" i="3"/>
  <c r="L2061" i="3"/>
  <c r="L131" i="3"/>
  <c r="L1836" i="3"/>
  <c r="L1835" i="3"/>
  <c r="L130" i="3"/>
  <c r="L2185" i="3"/>
  <c r="L2237" i="3"/>
  <c r="L2240" i="3"/>
  <c r="L2248" i="3"/>
  <c r="L2245" i="3"/>
  <c r="L2203" i="3"/>
  <c r="L2230" i="3"/>
  <c r="L129" i="3"/>
  <c r="L2254" i="3"/>
  <c r="L1897" i="3"/>
  <c r="L1690" i="3"/>
  <c r="L2155" i="3"/>
  <c r="L2128" i="3"/>
  <c r="L1601" i="3"/>
  <c r="L1834" i="3"/>
  <c r="L2060" i="3"/>
  <c r="L2271" i="3"/>
  <c r="L1689" i="3"/>
  <c r="L2109" i="3"/>
  <c r="L1068" i="3"/>
  <c r="L128" i="3"/>
  <c r="L2073" i="3"/>
  <c r="L1765" i="3"/>
  <c r="L652" i="3"/>
  <c r="L1067" i="3"/>
  <c r="L1764" i="3"/>
  <c r="L1066" i="3"/>
  <c r="L1272" i="3"/>
  <c r="L651" i="3"/>
  <c r="L1515" i="3"/>
  <c r="L1514" i="3"/>
  <c r="L1833" i="3"/>
  <c r="L650" i="3"/>
  <c r="L649" i="3"/>
  <c r="L648" i="3"/>
  <c r="L1394" i="3"/>
  <c r="L1271" i="3"/>
  <c r="L1943" i="3"/>
  <c r="L647" i="3"/>
  <c r="L646" i="3"/>
  <c r="L1393" i="3"/>
  <c r="L1270" i="3"/>
  <c r="L645" i="3"/>
  <c r="L1269" i="3"/>
  <c r="L1065" i="3"/>
  <c r="L1513" i="3"/>
  <c r="L1392" i="3"/>
  <c r="L1942" i="3"/>
  <c r="L644" i="3"/>
  <c r="L1391" i="3"/>
  <c r="L1268" i="3"/>
  <c r="L1688" i="3"/>
  <c r="L1600" i="3"/>
  <c r="L1599" i="3"/>
  <c r="L1941" i="3"/>
  <c r="L1267" i="3"/>
  <c r="L1064" i="3"/>
  <c r="L1063" i="3"/>
  <c r="L1512" i="3"/>
  <c r="L1062" i="3"/>
  <c r="L1061" i="3"/>
  <c r="L643" i="3"/>
  <c r="L642" i="3"/>
  <c r="L1896" i="3"/>
  <c r="L2099" i="3"/>
  <c r="L1940" i="3"/>
  <c r="L1991" i="3"/>
  <c r="L2127" i="3"/>
  <c r="L641" i="3"/>
  <c r="L1060" i="3"/>
  <c r="L640" i="3"/>
  <c r="L639" i="3"/>
  <c r="L638" i="3"/>
  <c r="L1266" i="3"/>
  <c r="L637" i="3"/>
  <c r="L636" i="3"/>
  <c r="L1390" i="3"/>
  <c r="L1511" i="3"/>
  <c r="L1059" i="3"/>
  <c r="L1510" i="3"/>
  <c r="L2270" i="3"/>
  <c r="L2098" i="3"/>
  <c r="L2256" i="3"/>
  <c r="L2126" i="3"/>
  <c r="L2089" i="3"/>
  <c r="L2251" i="3"/>
  <c r="L127" i="3"/>
  <c r="L1389" i="3"/>
  <c r="L1990" i="3"/>
  <c r="L2049" i="3"/>
  <c r="L2084" i="3"/>
  <c r="L2083" i="3"/>
  <c r="L1832" i="3"/>
  <c r="L1058" i="3"/>
  <c r="L1895" i="3"/>
  <c r="L126" i="3"/>
  <c r="L125" i="3"/>
  <c r="L2253" i="3"/>
  <c r="L2255" i="3"/>
  <c r="L2219" i="3"/>
  <c r="L2163" i="3"/>
  <c r="L2234" i="3"/>
  <c r="L1598" i="3"/>
  <c r="L1687" i="3"/>
  <c r="L1057" i="3"/>
  <c r="L2184" i="3"/>
  <c r="L1686" i="3"/>
  <c r="L1056" i="3"/>
  <c r="L2097" i="3"/>
  <c r="L1763" i="3"/>
  <c r="L2269" i="3"/>
  <c r="L2268" i="3"/>
  <c r="L1685" i="3"/>
  <c r="L1055" i="3"/>
  <c r="L1054" i="3"/>
  <c r="L1053" i="3"/>
  <c r="L2257" i="3"/>
  <c r="L124" i="3"/>
  <c r="L123" i="3"/>
  <c r="L122" i="3"/>
  <c r="L2239" i="3"/>
  <c r="L1265" i="3"/>
  <c r="L121" i="3"/>
  <c r="L120" i="3"/>
  <c r="L1388" i="3"/>
  <c r="L1894" i="3"/>
  <c r="L1387" i="3"/>
  <c r="L1509" i="3"/>
  <c r="L635" i="3"/>
  <c r="L2214" i="3"/>
  <c r="L2213" i="3"/>
  <c r="L2032" i="3"/>
  <c r="L119" i="3"/>
  <c r="L1052" i="3"/>
  <c r="L2193" i="3"/>
  <c r="L2117" i="3"/>
  <c r="L1893" i="3"/>
  <c r="L634" i="3"/>
  <c r="L633" i="3"/>
  <c r="L632" i="3"/>
  <c r="L631" i="3"/>
  <c r="L1264" i="3"/>
  <c r="L1762" i="3"/>
  <c r="L1051" i="3"/>
  <c r="L1761" i="3"/>
  <c r="L1760" i="3"/>
  <c r="L1263" i="3"/>
  <c r="L1262" i="3"/>
  <c r="L1050" i="3"/>
  <c r="L1049" i="3"/>
  <c r="L1048" i="3"/>
  <c r="L1759" i="3"/>
  <c r="L1758" i="3"/>
  <c r="L1892" i="3"/>
  <c r="L2048" i="3"/>
  <c r="L1684" i="3"/>
  <c r="L1386" i="3"/>
  <c r="L1683" i="3"/>
  <c r="L1939" i="3"/>
  <c r="L1385" i="3"/>
  <c r="L1682" i="3"/>
  <c r="L2267" i="3"/>
  <c r="L630" i="3"/>
  <c r="L629" i="3"/>
  <c r="L628" i="3"/>
  <c r="L627" i="3"/>
  <c r="L1989" i="3"/>
  <c r="L2082" i="3"/>
  <c r="L2059" i="3"/>
  <c r="L1047" i="3"/>
  <c r="L1597" i="3"/>
  <c r="L1046" i="3"/>
  <c r="L626" i="3"/>
  <c r="L625" i="3"/>
  <c r="L1045" i="3"/>
  <c r="L624" i="3"/>
  <c r="L1681" i="3"/>
  <c r="L1508" i="3"/>
  <c r="L623" i="3"/>
  <c r="L1891" i="3"/>
  <c r="L1261" i="3"/>
  <c r="L622" i="3"/>
  <c r="L1757" i="3"/>
  <c r="L1756" i="3"/>
  <c r="L118" i="3"/>
  <c r="L1384" i="3"/>
  <c r="L1383" i="3"/>
  <c r="L2212" i="3"/>
  <c r="L2266" i="3"/>
  <c r="L1938" i="3"/>
  <c r="L2088" i="3"/>
  <c r="L1680" i="3"/>
  <c r="L1755" i="3"/>
  <c r="L1754" i="3"/>
  <c r="L1679" i="3"/>
  <c r="L1937" i="3"/>
  <c r="L117" i="3"/>
  <c r="L1260" i="3"/>
  <c r="L1890" i="3"/>
  <c r="L1507" i="3"/>
  <c r="L1889" i="3"/>
  <c r="L116" i="3"/>
  <c r="L1831" i="3"/>
  <c r="L1678" i="3"/>
  <c r="L115" i="3"/>
  <c r="L114" i="3"/>
  <c r="L1677" i="3"/>
  <c r="L113" i="3"/>
  <c r="L112" i="3"/>
  <c r="L111" i="3"/>
  <c r="L110" i="3"/>
  <c r="L2265" i="3"/>
  <c r="L1830" i="3"/>
  <c r="L621" i="3"/>
  <c r="L620" i="3"/>
  <c r="L1382" i="3"/>
  <c r="L619" i="3"/>
  <c r="L1044" i="3"/>
  <c r="L1381" i="3"/>
  <c r="L109" i="3"/>
  <c r="L108" i="3"/>
  <c r="L1829" i="3"/>
  <c r="L1259" i="3"/>
  <c r="L618" i="3"/>
  <c r="L1506" i="3"/>
  <c r="L1505" i="3"/>
  <c r="L1504" i="3"/>
  <c r="L1043" i="3"/>
  <c r="L1888" i="3"/>
  <c r="L107" i="3"/>
  <c r="L106" i="3"/>
  <c r="L105" i="3"/>
  <c r="L104" i="3"/>
  <c r="L103" i="3"/>
  <c r="L1042" i="3"/>
  <c r="L1041" i="3"/>
  <c r="L102" i="3"/>
  <c r="L1040" i="3"/>
  <c r="L2140" i="3"/>
  <c r="L1936" i="3"/>
  <c r="L1828" i="3"/>
  <c r="L1827" i="3"/>
  <c r="L101" i="3"/>
  <c r="L100" i="3"/>
  <c r="L99" i="3"/>
  <c r="L98" i="3"/>
  <c r="L97" i="3"/>
  <c r="L96" i="3"/>
  <c r="L1676" i="3"/>
  <c r="L95" i="3"/>
  <c r="L1258" i="3"/>
  <c r="L1596" i="3"/>
  <c r="L1826" i="3"/>
  <c r="L94" i="3"/>
  <c r="L617" i="3"/>
  <c r="L2264" i="3"/>
  <c r="L93" i="3"/>
  <c r="L92" i="3"/>
  <c r="L1887" i="3"/>
  <c r="L1886" i="3"/>
  <c r="L2263" i="3"/>
  <c r="L1753" i="3"/>
  <c r="L1825" i="3"/>
  <c r="L1885" i="3"/>
  <c r="L1824" i="3"/>
  <c r="L2087" i="3"/>
  <c r="L1595" i="3"/>
  <c r="L1823" i="3"/>
  <c r="L1752" i="3"/>
  <c r="L1884" i="3"/>
  <c r="L1883" i="3"/>
  <c r="L1594" i="3"/>
  <c r="L1822" i="3"/>
  <c r="L1821" i="3"/>
  <c r="L1820" i="3"/>
  <c r="L1380" i="3"/>
  <c r="L1503" i="3"/>
  <c r="L1675" i="3"/>
  <c r="L1882" i="3"/>
  <c r="L1593" i="3"/>
  <c r="L1592" i="3"/>
  <c r="L1819" i="3"/>
  <c r="L1935" i="3"/>
  <c r="L2258" i="3"/>
  <c r="L1751" i="3"/>
  <c r="L1674" i="3"/>
  <c r="L1502" i="3"/>
  <c r="L1501" i="3"/>
  <c r="L1673" i="3"/>
  <c r="L1500" i="3"/>
  <c r="L616" i="3"/>
  <c r="L91" i="3"/>
  <c r="L1934" i="3"/>
  <c r="L90" i="3"/>
  <c r="L89" i="3"/>
  <c r="L615" i="3"/>
  <c r="L88" i="3"/>
  <c r="L87" i="3"/>
  <c r="L86" i="3"/>
  <c r="L85" i="3"/>
  <c r="L84" i="3"/>
  <c r="L83" i="3"/>
  <c r="L82" i="3"/>
  <c r="L81" i="3"/>
  <c r="L1039" i="3"/>
  <c r="L1038" i="3"/>
  <c r="L80" i="3"/>
  <c r="L79" i="3"/>
  <c r="L78" i="3"/>
  <c r="L1818" i="3"/>
  <c r="L1037" i="3"/>
  <c r="L614" i="3"/>
  <c r="L77" i="3"/>
  <c r="L613" i="3"/>
  <c r="L76" i="3"/>
  <c r="L75" i="3"/>
  <c r="L74" i="3"/>
  <c r="L73" i="3"/>
  <c r="L1036" i="3"/>
  <c r="L72" i="3"/>
  <c r="L1499" i="3"/>
  <c r="L1881" i="3"/>
  <c r="L1035" i="3"/>
  <c r="L71" i="3"/>
  <c r="L70" i="3"/>
  <c r="L69" i="3"/>
  <c r="L1817" i="3"/>
  <c r="L1880" i="3"/>
  <c r="L68" i="3"/>
  <c r="L67" i="3"/>
  <c r="L66" i="3"/>
  <c r="L65" i="3"/>
  <c r="L1988" i="3"/>
  <c r="L1816" i="3"/>
  <c r="L1815" i="3"/>
  <c r="L1672" i="3"/>
  <c r="L1379" i="3"/>
  <c r="L1671" i="3"/>
  <c r="L2149" i="3"/>
  <c r="L64" i="3"/>
  <c r="L1670" i="3"/>
  <c r="L1257" i="3"/>
  <c r="L1879" i="3"/>
  <c r="L63" i="3"/>
  <c r="L62" i="3"/>
  <c r="L61" i="3"/>
  <c r="L1878" i="3"/>
  <c r="L1034" i="3"/>
  <c r="L1750" i="3"/>
  <c r="L1877" i="3"/>
  <c r="L60" i="3"/>
  <c r="L59" i="3"/>
  <c r="L58" i="3"/>
  <c r="L57" i="3"/>
  <c r="L56" i="3"/>
  <c r="L1669" i="3"/>
  <c r="L55" i="3"/>
  <c r="L54" i="3"/>
  <c r="L53" i="3"/>
  <c r="L52" i="3"/>
  <c r="L51" i="3"/>
  <c r="L1814" i="3"/>
  <c r="L50" i="3"/>
  <c r="L1256" i="3"/>
  <c r="L49" i="3"/>
  <c r="L48" i="3"/>
  <c r="L47" i="3"/>
  <c r="L1591" i="3"/>
  <c r="L2262" i="3"/>
  <c r="L46" i="3"/>
  <c r="L1378" i="3"/>
  <c r="L1590" i="3"/>
  <c r="L1876" i="3"/>
  <c r="L1813" i="3"/>
  <c r="L1749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1748" i="3"/>
  <c r="L1377" i="3"/>
  <c r="L612" i="3"/>
  <c r="L1747" i="3"/>
  <c r="L611" i="3"/>
  <c r="L1589" i="3"/>
  <c r="L1812" i="3"/>
  <c r="L1376" i="3"/>
  <c r="L1375" i="3"/>
  <c r="L1588" i="3"/>
  <c r="L610" i="3"/>
  <c r="L609" i="3"/>
  <c r="L608" i="3"/>
  <c r="L607" i="3"/>
  <c r="L606" i="3"/>
  <c r="L1033" i="3"/>
  <c r="L1032" i="3"/>
  <c r="L1498" i="3"/>
  <c r="L1255" i="3"/>
  <c r="L1031" i="3"/>
  <c r="L1030" i="3"/>
  <c r="L2009" i="3"/>
  <c r="L1029" i="3"/>
  <c r="L1028" i="3"/>
  <c r="L605" i="3"/>
  <c r="L1668" i="3"/>
  <c r="L1933" i="3"/>
  <c r="L1746" i="3"/>
  <c r="L1027" i="3"/>
  <c r="L1667" i="3"/>
  <c r="L1587" i="3"/>
  <c r="L604" i="3"/>
  <c r="L1026" i="3"/>
  <c r="L1666" i="3"/>
  <c r="L603" i="3"/>
  <c r="L1374" i="3"/>
  <c r="L602" i="3"/>
  <c r="L601" i="3"/>
  <c r="L1025" i="3"/>
  <c r="L600" i="3"/>
  <c r="L599" i="3"/>
  <c r="L598" i="3"/>
  <c r="L597" i="3"/>
  <c r="L1024" i="3"/>
  <c r="L1254" i="3"/>
  <c r="L1253" i="3"/>
  <c r="L596" i="3"/>
  <c r="L1745" i="3"/>
  <c r="L2261" i="3"/>
  <c r="L595" i="3"/>
  <c r="L1497" i="3"/>
  <c r="L1252" i="3"/>
  <c r="L594" i="3"/>
  <c r="L593" i="3"/>
  <c r="L592" i="3"/>
  <c r="L1496" i="3"/>
  <c r="L591" i="3"/>
  <c r="L590" i="3"/>
  <c r="L1023" i="3"/>
  <c r="L589" i="3"/>
  <c r="L1495" i="3"/>
  <c r="L1373" i="3"/>
  <c r="L1022" i="3"/>
  <c r="L1251" i="3"/>
  <c r="L1250" i="3"/>
  <c r="L1372" i="3"/>
  <c r="L1249" i="3"/>
  <c r="L1494" i="3"/>
  <c r="L588" i="3"/>
  <c r="L587" i="3"/>
  <c r="L586" i="3"/>
  <c r="L585" i="3"/>
  <c r="L584" i="3"/>
  <c r="L583" i="3"/>
  <c r="L582" i="3"/>
  <c r="L1021" i="3"/>
  <c r="L1020" i="3"/>
  <c r="L581" i="3"/>
  <c r="L580" i="3"/>
  <c r="L579" i="3"/>
  <c r="L578" i="3"/>
  <c r="L577" i="3"/>
  <c r="L1019" i="3"/>
  <c r="L576" i="3"/>
  <c r="L1018" i="3"/>
  <c r="L575" i="3"/>
  <c r="L1248" i="3"/>
  <c r="L1017" i="3"/>
  <c r="L1932" i="3"/>
  <c r="L574" i="3"/>
  <c r="L1016" i="3"/>
  <c r="L573" i="3"/>
  <c r="L1015" i="3"/>
  <c r="L1247" i="3"/>
  <c r="L1931" i="3"/>
  <c r="L1246" i="3"/>
  <c r="L572" i="3"/>
  <c r="L571" i="3"/>
  <c r="L1014" i="3"/>
  <c r="L2047" i="3"/>
  <c r="L1013" i="3"/>
  <c r="L1586" i="3"/>
  <c r="L1744" i="3"/>
  <c r="L570" i="3"/>
  <c r="L1665" i="3"/>
  <c r="L1371" i="3"/>
  <c r="L1811" i="3"/>
  <c r="L1664" i="3"/>
  <c r="L2072" i="3"/>
  <c r="L569" i="3"/>
  <c r="L1012" i="3"/>
  <c r="L1011" i="3"/>
  <c r="L1370" i="3"/>
  <c r="L1010" i="3"/>
  <c r="L1009" i="3"/>
  <c r="L1245" i="3"/>
  <c r="L2058" i="3"/>
  <c r="L1244" i="3"/>
  <c r="L568" i="3"/>
  <c r="L1243" i="3"/>
  <c r="L567" i="3"/>
  <c r="L1369" i="3"/>
  <c r="L1242" i="3"/>
  <c r="L1008" i="3"/>
  <c r="L566" i="3"/>
  <c r="L1007" i="3"/>
  <c r="L1368" i="3"/>
  <c r="L565" i="3"/>
  <c r="L1241" i="3"/>
  <c r="L564" i="3"/>
  <c r="L1367" i="3"/>
  <c r="L563" i="3"/>
  <c r="L2057" i="3"/>
  <c r="L1585" i="3"/>
  <c r="L2181" i="3"/>
  <c r="L562" i="3"/>
  <c r="L1663" i="3"/>
  <c r="L561" i="3"/>
  <c r="L1810" i="3"/>
  <c r="L1584" i="3"/>
  <c r="L1493" i="3"/>
  <c r="L1006" i="3"/>
  <c r="L1930" i="3"/>
  <c r="L2211" i="3"/>
  <c r="L2180" i="3"/>
  <c r="L560" i="3"/>
  <c r="L559" i="3"/>
  <c r="L2143" i="3"/>
  <c r="L2046" i="3"/>
  <c r="L1240" i="3"/>
  <c r="L1492" i="3"/>
  <c r="L1809" i="3"/>
  <c r="L1662" i="3"/>
  <c r="L29" i="3"/>
  <c r="L28" i="3"/>
  <c r="L1743" i="3"/>
  <c r="L558" i="3"/>
  <c r="L1742" i="3"/>
  <c r="L1005" i="3"/>
  <c r="L1239" i="3"/>
  <c r="L1491" i="3"/>
  <c r="L557" i="3"/>
  <c r="L556" i="3"/>
  <c r="L1004" i="3"/>
  <c r="L1583" i="3"/>
  <c r="L1929" i="3"/>
  <c r="L1661" i="3"/>
  <c r="L1238" i="3"/>
  <c r="L1741" i="3"/>
  <c r="L1987" i="3"/>
  <c r="L2172" i="3"/>
  <c r="L2045" i="3"/>
  <c r="L1490" i="3"/>
  <c r="L2139" i="3"/>
  <c r="L555" i="3"/>
  <c r="L2160" i="3"/>
  <c r="L1582" i="3"/>
  <c r="L1660" i="3"/>
  <c r="L2167" i="3"/>
  <c r="L1986" i="3"/>
  <c r="L1003" i="3"/>
  <c r="L2210" i="3"/>
  <c r="L2209" i="3"/>
  <c r="L27" i="3"/>
  <c r="L1985" i="3"/>
  <c r="L2031" i="3"/>
  <c r="L2081" i="3"/>
  <c r="L2138" i="3"/>
  <c r="L1928" i="3"/>
  <c r="L2080" i="3"/>
  <c r="L2151" i="3"/>
  <c r="L2116" i="3"/>
  <c r="L1875" i="3"/>
  <c r="L2233" i="3"/>
  <c r="L2250" i="3"/>
  <c r="L1808" i="3"/>
  <c r="L1927" i="3"/>
  <c r="L1489" i="3"/>
  <c r="L554" i="3"/>
  <c r="L1237" i="3"/>
  <c r="L2179" i="3"/>
  <c r="L553" i="3"/>
  <c r="L1659" i="3"/>
  <c r="L1740" i="3"/>
  <c r="L1807" i="3"/>
  <c r="L1658" i="3"/>
  <c r="L1488" i="3"/>
  <c r="L1581" i="3"/>
  <c r="L1487" i="3"/>
  <c r="L1874" i="3"/>
  <c r="L1739" i="3"/>
  <c r="L1366" i="3"/>
  <c r="L1236" i="3"/>
  <c r="L1365" i="3"/>
  <c r="L1235" i="3"/>
  <c r="L552" i="3"/>
  <c r="L26" i="3"/>
  <c r="L1002" i="3"/>
  <c r="L551" i="3"/>
  <c r="L1873" i="3"/>
  <c r="L1234" i="3"/>
  <c r="L550" i="3"/>
  <c r="L1233" i="3"/>
  <c r="L1872" i="3"/>
  <c r="L1364" i="3"/>
  <c r="L549" i="3"/>
  <c r="L548" i="3"/>
  <c r="L1001" i="3"/>
  <c r="L2224" i="3"/>
  <c r="L1580" i="3"/>
  <c r="L2208" i="3"/>
  <c r="L1000" i="3"/>
  <c r="L547" i="3"/>
  <c r="L1232" i="3"/>
  <c r="L546" i="3"/>
  <c r="L1657" i="3"/>
  <c r="L1656" i="3"/>
  <c r="L545" i="3"/>
  <c r="L999" i="3"/>
  <c r="L1579" i="3"/>
  <c r="L1486" i="3"/>
  <c r="L1231" i="3"/>
  <c r="L1363" i="3"/>
  <c r="L998" i="3"/>
  <c r="L1578" i="3"/>
  <c r="L2176" i="3"/>
  <c r="L544" i="3"/>
  <c r="L543" i="3"/>
  <c r="L542" i="3"/>
  <c r="L997" i="3"/>
  <c r="L541" i="3"/>
  <c r="L2079" i="3"/>
  <c r="L1926" i="3"/>
  <c r="L1485" i="3"/>
  <c r="L540" i="3"/>
  <c r="L539" i="3"/>
  <c r="L538" i="3"/>
  <c r="L537" i="3"/>
  <c r="L996" i="3"/>
  <c r="L536" i="3"/>
  <c r="L535" i="3"/>
  <c r="L1230" i="3"/>
  <c r="L1362" i="3"/>
  <c r="L995" i="3"/>
  <c r="L994" i="3"/>
  <c r="L534" i="3"/>
  <c r="L533" i="3"/>
  <c r="L532" i="3"/>
  <c r="L1484" i="3"/>
  <c r="L993" i="3"/>
  <c r="L992" i="3"/>
  <c r="L1655" i="3"/>
  <c r="L991" i="3"/>
  <c r="L531" i="3"/>
  <c r="L990" i="3"/>
  <c r="L530" i="3"/>
  <c r="L529" i="3"/>
  <c r="L528" i="3"/>
  <c r="L1229" i="3"/>
  <c r="L2078" i="3"/>
  <c r="L2056" i="3"/>
  <c r="L2108" i="3"/>
  <c r="L1228" i="3"/>
  <c r="L527" i="3"/>
  <c r="L25" i="3"/>
  <c r="L2096" i="3"/>
  <c r="L1738" i="3"/>
  <c r="L1871" i="3"/>
  <c r="L1577" i="3"/>
  <c r="L2226" i="3"/>
  <c r="L2178" i="3"/>
  <c r="L1870" i="3"/>
  <c r="L2115" i="3"/>
  <c r="L1737" i="3"/>
  <c r="L1227" i="3"/>
  <c r="L1984" i="3"/>
  <c r="L1806" i="3"/>
  <c r="L1654" i="3"/>
  <c r="L1736" i="3"/>
  <c r="L1869" i="3"/>
  <c r="L1576" i="3"/>
  <c r="L1483" i="3"/>
  <c r="L1575" i="3"/>
  <c r="L1482" i="3"/>
  <c r="L989" i="3"/>
  <c r="L1226" i="3"/>
  <c r="L526" i="3"/>
  <c r="L525" i="3"/>
  <c r="L524" i="3"/>
  <c r="L523" i="3"/>
  <c r="L988" i="3"/>
  <c r="L987" i="3"/>
  <c r="L522" i="3"/>
  <c r="L986" i="3"/>
  <c r="L985" i="3"/>
  <c r="L521" i="3"/>
  <c r="L520" i="3"/>
  <c r="L1574" i="3"/>
  <c r="L1481" i="3"/>
  <c r="L1868" i="3"/>
  <c r="L1225" i="3"/>
  <c r="L1480" i="3"/>
  <c r="L1361" i="3"/>
  <c r="L984" i="3"/>
  <c r="L983" i="3"/>
  <c r="L519" i="3"/>
  <c r="L518" i="3"/>
  <c r="L1479" i="3"/>
  <c r="L517" i="3"/>
  <c r="L982" i="3"/>
  <c r="L516" i="3"/>
  <c r="L981" i="3"/>
  <c r="L515" i="3"/>
  <c r="L514" i="3"/>
  <c r="L513" i="3"/>
  <c r="L512" i="3"/>
  <c r="L511" i="3"/>
  <c r="L510" i="3"/>
  <c r="L1224" i="3"/>
  <c r="L980" i="3"/>
  <c r="L1983" i="3"/>
  <c r="L509" i="3"/>
  <c r="L2030" i="3"/>
  <c r="L508" i="3"/>
  <c r="L1867" i="3"/>
  <c r="L1478" i="3"/>
  <c r="L1573" i="3"/>
  <c r="L1653" i="3"/>
  <c r="L1652" i="3"/>
  <c r="L507" i="3"/>
  <c r="L506" i="3"/>
  <c r="L2029" i="3"/>
  <c r="L979" i="3"/>
  <c r="L2086" i="3"/>
  <c r="L24" i="3"/>
  <c r="L505" i="3"/>
  <c r="L1477" i="3"/>
  <c r="L504" i="3"/>
  <c r="L503" i="3"/>
  <c r="L502" i="3"/>
  <c r="L1866" i="3"/>
  <c r="L1865" i="3"/>
  <c r="L1360" i="3"/>
  <c r="L1223" i="3"/>
  <c r="L978" i="3"/>
  <c r="L1735" i="3"/>
  <c r="L1734" i="3"/>
  <c r="L501" i="3"/>
  <c r="L500" i="3"/>
  <c r="L977" i="3"/>
  <c r="L976" i="3"/>
  <c r="L499" i="3"/>
  <c r="L498" i="3"/>
  <c r="L1222" i="3"/>
  <c r="L975" i="3"/>
  <c r="L1572" i="3"/>
  <c r="L497" i="3"/>
  <c r="L496" i="3"/>
  <c r="L495" i="3"/>
  <c r="L1476" i="3"/>
  <c r="L494" i="3"/>
  <c r="L974" i="3"/>
  <c r="L1982" i="3"/>
  <c r="L973" i="3"/>
  <c r="L1805" i="3"/>
  <c r="L1651" i="3"/>
  <c r="L1475" i="3"/>
  <c r="L1650" i="3"/>
  <c r="L2107" i="3"/>
  <c r="L1804" i="3"/>
  <c r="L1981" i="3"/>
  <c r="L493" i="3"/>
  <c r="L1474" i="3"/>
  <c r="L1473" i="3"/>
  <c r="L972" i="3"/>
  <c r="L492" i="3"/>
  <c r="L491" i="3"/>
  <c r="L971" i="3"/>
  <c r="L490" i="3"/>
  <c r="L489" i="3"/>
  <c r="L488" i="3"/>
  <c r="L970" i="3"/>
  <c r="L1221" i="3"/>
  <c r="L2028" i="3"/>
  <c r="L487" i="3"/>
  <c r="L1359" i="3"/>
  <c r="L969" i="3"/>
  <c r="L486" i="3"/>
  <c r="L485" i="3"/>
  <c r="L484" i="3"/>
  <c r="L483" i="3"/>
  <c r="L968" i="3"/>
  <c r="L482" i="3"/>
  <c r="L481" i="3"/>
  <c r="L480" i="3"/>
  <c r="L479" i="3"/>
  <c r="L478" i="3"/>
  <c r="L967" i="3"/>
  <c r="L1358" i="3"/>
  <c r="L1472" i="3"/>
  <c r="L477" i="3"/>
  <c r="L476" i="3"/>
  <c r="L475" i="3"/>
  <c r="L1357" i="3"/>
  <c r="L966" i="3"/>
  <c r="L1571" i="3"/>
  <c r="L1356" i="3"/>
  <c r="L474" i="3"/>
  <c r="L965" i="3"/>
  <c r="L2071" i="3"/>
  <c r="L473" i="3"/>
  <c r="L472" i="3"/>
  <c r="L471" i="3"/>
  <c r="L964" i="3"/>
  <c r="L1471" i="3"/>
  <c r="L1220" i="3"/>
  <c r="L963" i="3"/>
  <c r="L962" i="3"/>
  <c r="L1355" i="3"/>
  <c r="L1570" i="3"/>
  <c r="L961" i="3"/>
  <c r="L960" i="3"/>
  <c r="L470" i="3"/>
  <c r="L23" i="3"/>
  <c r="L469" i="3"/>
  <c r="L468" i="3"/>
  <c r="L1219" i="3"/>
  <c r="L959" i="3"/>
  <c r="L467" i="3"/>
  <c r="L466" i="3"/>
  <c r="L465" i="3"/>
  <c r="L1569" i="3"/>
  <c r="L464" i="3"/>
  <c r="L22" i="3"/>
  <c r="L1354" i="3"/>
  <c r="L463" i="3"/>
  <c r="L2027" i="3"/>
  <c r="L1864" i="3"/>
  <c r="L1733" i="3"/>
  <c r="L1803" i="3"/>
  <c r="L1649" i="3"/>
  <c r="L958" i="3"/>
  <c r="L1732" i="3"/>
  <c r="L21" i="3"/>
  <c r="L2171" i="3"/>
  <c r="L20" i="3"/>
  <c r="L1925" i="3"/>
  <c r="L1980" i="3"/>
  <c r="L1470" i="3"/>
  <c r="L2232" i="3"/>
  <c r="L1218" i="3"/>
  <c r="L1731" i="3"/>
  <c r="L2154" i="3"/>
  <c r="L19" i="3"/>
  <c r="L462" i="3"/>
  <c r="L1469" i="3"/>
  <c r="L1568" i="3"/>
  <c r="L1648" i="3"/>
  <c r="L1979" i="3"/>
  <c r="L1924" i="3"/>
  <c r="L1647" i="3"/>
  <c r="L1978" i="3"/>
  <c r="L1863" i="3"/>
  <c r="L2195" i="3"/>
  <c r="L2026" i="3"/>
  <c r="L1802" i="3"/>
  <c r="L1567" i="3"/>
  <c r="L461" i="3"/>
  <c r="L460" i="3"/>
  <c r="L459" i="3"/>
  <c r="L458" i="3"/>
  <c r="L1217" i="3"/>
  <c r="L457" i="3"/>
  <c r="L18" i="3"/>
  <c r="L17" i="3"/>
  <c r="L2025" i="3"/>
  <c r="L16" i="3"/>
  <c r="L456" i="3"/>
  <c r="L957" i="3"/>
  <c r="L1566" i="3"/>
  <c r="L455" i="3"/>
  <c r="L454" i="3"/>
  <c r="L453" i="3"/>
  <c r="L15" i="3"/>
  <c r="L452" i="3"/>
  <c r="L451" i="3"/>
  <c r="L450" i="3"/>
  <c r="L1801" i="3"/>
  <c r="L1800" i="3"/>
  <c r="L1468" i="3"/>
  <c r="L14" i="3"/>
  <c r="L449" i="3"/>
  <c r="L2106" i="3"/>
  <c r="L2125" i="3"/>
  <c r="L2114" i="3"/>
  <c r="L13" i="3"/>
  <c r="L1646" i="3"/>
  <c r="L1645" i="3"/>
  <c r="L448" i="3"/>
  <c r="L1799" i="3"/>
  <c r="L447" i="3"/>
  <c r="L956" i="3"/>
  <c r="L1353" i="3"/>
  <c r="L446" i="3"/>
  <c r="L955" i="3"/>
  <c r="L445" i="3"/>
  <c r="L1923" i="3"/>
  <c r="L1467" i="3"/>
  <c r="L1644" i="3"/>
  <c r="L444" i="3"/>
  <c r="L443" i="3"/>
  <c r="L954" i="3"/>
  <c r="L442" i="3"/>
  <c r="L441" i="3"/>
  <c r="L440" i="3"/>
  <c r="L953" i="3"/>
  <c r="L439" i="3"/>
  <c r="L438" i="3"/>
  <c r="L437" i="3"/>
  <c r="L436" i="3"/>
  <c r="L952" i="3"/>
  <c r="L435" i="3"/>
  <c r="L434" i="3"/>
  <c r="L433" i="3"/>
  <c r="L432" i="3"/>
  <c r="L431" i="3"/>
  <c r="L430" i="3"/>
  <c r="L951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950" i="3"/>
  <c r="L949" i="3"/>
  <c r="L948" i="3"/>
  <c r="L417" i="3"/>
  <c r="L416" i="3"/>
  <c r="L415" i="3"/>
  <c r="L414" i="3"/>
  <c r="L947" i="3"/>
  <c r="L413" i="3"/>
  <c r="L412" i="3"/>
  <c r="L411" i="3"/>
  <c r="L410" i="3"/>
  <c r="L409" i="3"/>
  <c r="L408" i="3"/>
  <c r="L946" i="3"/>
  <c r="L407" i="3"/>
  <c r="L406" i="3"/>
  <c r="L405" i="3"/>
  <c r="L404" i="3"/>
  <c r="L1352" i="3"/>
  <c r="L403" i="3"/>
  <c r="L945" i="3"/>
  <c r="L402" i="3"/>
  <c r="L401" i="3"/>
  <c r="L944" i="3"/>
  <c r="L1216" i="3"/>
  <c r="L1215" i="3"/>
  <c r="L943" i="3"/>
  <c r="L942" i="3"/>
  <c r="L400" i="3"/>
  <c r="L399" i="3"/>
  <c r="L398" i="3"/>
  <c r="L941" i="3"/>
  <c r="L940" i="3"/>
  <c r="L397" i="3"/>
  <c r="L1214" i="3"/>
  <c r="L396" i="3"/>
  <c r="L395" i="3"/>
  <c r="L939" i="3"/>
  <c r="L394" i="3"/>
  <c r="L393" i="3"/>
  <c r="L392" i="3"/>
  <c r="L391" i="3"/>
  <c r="L390" i="3"/>
  <c r="L389" i="3"/>
  <c r="L388" i="3"/>
  <c r="L387" i="3"/>
  <c r="L386" i="3"/>
  <c r="L2202" i="3"/>
  <c r="L1351" i="3"/>
  <c r="L385" i="3"/>
  <c r="L384" i="3"/>
  <c r="L1350" i="3"/>
  <c r="L383" i="3"/>
  <c r="L382" i="3"/>
  <c r="L381" i="3"/>
  <c r="L380" i="3"/>
  <c r="L379" i="3"/>
  <c r="L378" i="3"/>
  <c r="L377" i="3"/>
  <c r="L376" i="3"/>
  <c r="L375" i="3"/>
  <c r="L374" i="3"/>
  <c r="L373" i="3"/>
  <c r="L1213" i="3"/>
  <c r="L1349" i="3"/>
  <c r="L938" i="3"/>
  <c r="L1212" i="3"/>
  <c r="L372" i="3"/>
  <c r="L371" i="3"/>
  <c r="L370" i="3"/>
  <c r="L369" i="3"/>
  <c r="L1466" i="3"/>
  <c r="L368" i="3"/>
  <c r="L367" i="3"/>
  <c r="L366" i="3"/>
  <c r="L365" i="3"/>
  <c r="L937" i="3"/>
  <c r="L936" i="3"/>
  <c r="L935" i="3"/>
  <c r="L934" i="3"/>
  <c r="L364" i="3"/>
  <c r="L933" i="3"/>
  <c r="L1211" i="3"/>
  <c r="L363" i="3"/>
  <c r="L932" i="3"/>
  <c r="L362" i="3"/>
  <c r="L931" i="3"/>
  <c r="L1210" i="3"/>
  <c r="L361" i="3"/>
  <c r="L360" i="3"/>
  <c r="L359" i="3"/>
  <c r="L358" i="3"/>
  <c r="L357" i="3"/>
  <c r="L1348" i="3"/>
  <c r="L356" i="3"/>
  <c r="L1209" i="3"/>
  <c r="L355" i="3"/>
  <c r="L354" i="3"/>
  <c r="L353" i="3"/>
  <c r="L1208" i="3"/>
  <c r="L352" i="3"/>
  <c r="L930" i="3"/>
  <c r="L1207" i="3"/>
  <c r="L351" i="3"/>
  <c r="L929" i="3"/>
  <c r="L928" i="3"/>
  <c r="L350" i="3"/>
  <c r="L927" i="3"/>
  <c r="L349" i="3"/>
  <c r="L926" i="3"/>
  <c r="L1206" i="3"/>
  <c r="L925" i="3"/>
  <c r="L924" i="3"/>
  <c r="L348" i="3"/>
  <c r="L1465" i="3"/>
  <c r="L923" i="3"/>
  <c r="L1205" i="3"/>
  <c r="L922" i="3"/>
  <c r="L1347" i="3"/>
  <c r="L921" i="3"/>
  <c r="L347" i="3"/>
  <c r="L920" i="3"/>
  <c r="L346" i="3"/>
  <c r="L345" i="3"/>
  <c r="L1204" i="3"/>
  <c r="L344" i="3"/>
  <c r="L343" i="3"/>
  <c r="L1203" i="3"/>
  <c r="L919" i="3"/>
  <c r="L342" i="3"/>
  <c r="L341" i="3"/>
  <c r="L340" i="3"/>
  <c r="L339" i="3"/>
  <c r="L338" i="3"/>
  <c r="L918" i="3"/>
  <c r="L917" i="3"/>
  <c r="L1977" i="3"/>
  <c r="L2142" i="3"/>
  <c r="L1730" i="3"/>
  <c r="L337" i="3"/>
  <c r="L336" i="3"/>
  <c r="L335" i="3"/>
  <c r="L334" i="3"/>
  <c r="L1202" i="3"/>
  <c r="L333" i="3"/>
  <c r="L332" i="3"/>
  <c r="L331" i="3"/>
  <c r="L330" i="3"/>
  <c r="L329" i="3"/>
  <c r="L328" i="3"/>
  <c r="L916" i="3"/>
  <c r="L1201" i="3"/>
  <c r="L915" i="3"/>
  <c r="L914" i="3"/>
  <c r="L327" i="3"/>
  <c r="L326" i="3"/>
  <c r="L325" i="3"/>
  <c r="L324" i="3"/>
  <c r="L1200" i="3"/>
  <c r="L323" i="3"/>
  <c r="L322" i="3"/>
  <c r="L913" i="3"/>
  <c r="L1199" i="3"/>
  <c r="L321" i="3"/>
  <c r="L1346" i="3"/>
  <c r="L912" i="3"/>
  <c r="L911" i="3"/>
  <c r="L320" i="3"/>
  <c r="L319" i="3"/>
  <c r="L1729" i="3"/>
  <c r="L318" i="3"/>
  <c r="L317" i="3"/>
  <c r="L316" i="3"/>
  <c r="L910" i="3"/>
  <c r="L315" i="3"/>
  <c r="L909" i="3"/>
  <c r="L1565" i="3"/>
  <c r="L1198" i="3"/>
  <c r="L908" i="3"/>
  <c r="L1197" i="3"/>
  <c r="L1464" i="3"/>
  <c r="L1564" i="3"/>
  <c r="L314" i="3"/>
  <c r="L1463" i="3"/>
  <c r="L1922" i="3"/>
  <c r="L1196" i="3"/>
  <c r="L2095" i="3"/>
  <c r="L2070" i="3"/>
  <c r="L313" i="3"/>
  <c r="L907" i="3"/>
  <c r="L312" i="3"/>
  <c r="L906" i="3"/>
  <c r="L311" i="3"/>
  <c r="L1462" i="3"/>
  <c r="L1195" i="3"/>
  <c r="L310" i="3"/>
  <c r="L309" i="3"/>
  <c r="L308" i="3"/>
  <c r="L1563" i="3"/>
  <c r="L307" i="3"/>
  <c r="L306" i="3"/>
  <c r="L905" i="3"/>
  <c r="L1345" i="3"/>
  <c r="L1643" i="3"/>
  <c r="L904" i="3"/>
  <c r="L1461" i="3"/>
  <c r="L1728" i="3"/>
  <c r="L305" i="3"/>
  <c r="L903" i="3"/>
  <c r="L2260" i="3"/>
  <c r="L1344" i="3"/>
  <c r="L1343" i="3"/>
  <c r="L1921" i="3"/>
  <c r="L2120" i="3"/>
  <c r="L1727" i="3"/>
  <c r="L304" i="3"/>
  <c r="L1194" i="3"/>
  <c r="L12" i="3"/>
  <c r="L11" i="3"/>
  <c r="L303" i="3"/>
  <c r="L302" i="3"/>
  <c r="L301" i="3"/>
  <c r="L902" i="3"/>
  <c r="L1460" i="3"/>
  <c r="L1459" i="3"/>
  <c r="L901" i="3"/>
  <c r="L900" i="3"/>
  <c r="L300" i="3"/>
  <c r="L299" i="3"/>
  <c r="L1862" i="3"/>
  <c r="L1458" i="3"/>
  <c r="L899" i="3"/>
  <c r="L1976" i="3"/>
  <c r="L2044" i="3"/>
  <c r="L1861" i="3"/>
  <c r="L298" i="3"/>
  <c r="L898" i="3"/>
  <c r="L297" i="3"/>
  <c r="L296" i="3"/>
  <c r="L897" i="3"/>
  <c r="L295" i="3"/>
  <c r="L896" i="3"/>
  <c r="L895" i="3"/>
  <c r="L1798" i="3"/>
  <c r="L294" i="3"/>
  <c r="L1797" i="3"/>
  <c r="L2024" i="3"/>
  <c r="L293" i="3"/>
  <c r="L894" i="3"/>
  <c r="L893" i="3"/>
  <c r="L1457" i="3"/>
  <c r="L1342" i="3"/>
  <c r="L1456" i="3"/>
  <c r="L1193" i="3"/>
  <c r="L2043" i="3"/>
  <c r="L1192" i="3"/>
  <c r="L1455" i="3"/>
  <c r="L1726" i="3"/>
  <c r="L292" i="3"/>
  <c r="L1191" i="3"/>
  <c r="L291" i="3"/>
  <c r="L290" i="3"/>
  <c r="L289" i="3"/>
  <c r="L892" i="3"/>
  <c r="L1562" i="3"/>
  <c r="L1454" i="3"/>
  <c r="L1561" i="3"/>
  <c r="L288" i="3"/>
  <c r="L10" i="3"/>
  <c r="L287" i="3"/>
  <c r="L286" i="3"/>
  <c r="L285" i="3"/>
  <c r="L1796" i="3"/>
  <c r="L891" i="3"/>
  <c r="L284" i="3"/>
  <c r="L283" i="3"/>
  <c r="L282" i="3"/>
  <c r="L890" i="3"/>
  <c r="L281" i="3"/>
  <c r="L280" i="3"/>
  <c r="L279" i="3"/>
  <c r="L278" i="3"/>
  <c r="L889" i="3"/>
  <c r="L277" i="3"/>
  <c r="L1190" i="3"/>
  <c r="L1341" i="3"/>
  <c r="L2055" i="3"/>
  <c r="L276" i="3"/>
  <c r="L888" i="3"/>
  <c r="L275" i="3"/>
  <c r="L887" i="3"/>
  <c r="L274" i="3"/>
  <c r="L273" i="3"/>
  <c r="L272" i="3"/>
  <c r="L1340" i="3"/>
  <c r="L271" i="3"/>
  <c r="L270" i="3"/>
  <c r="L269" i="3"/>
  <c r="L886" i="3"/>
  <c r="L885" i="3"/>
  <c r="L9" i="3"/>
  <c r="L1860" i="3"/>
  <c r="L268" i="3"/>
  <c r="L1453" i="3"/>
  <c r="L267" i="3"/>
  <c r="L884" i="3"/>
  <c r="L1189" i="3"/>
  <c r="L266" i="3"/>
  <c r="L265" i="3"/>
  <c r="L1725" i="3"/>
  <c r="L264" i="3"/>
  <c r="L1188" i="3"/>
  <c r="L263" i="3"/>
  <c r="L1642" i="3"/>
  <c r="L262" i="3"/>
  <c r="L261" i="3"/>
  <c r="L260" i="3"/>
  <c r="L1339" i="3"/>
  <c r="L1560" i="3"/>
  <c r="L1452" i="3"/>
  <c r="L1187" i="3"/>
  <c r="L259" i="3"/>
  <c r="L258" i="3"/>
  <c r="L1338" i="3"/>
  <c r="L257" i="3"/>
  <c r="L1641" i="3"/>
  <c r="L1975" i="3"/>
  <c r="L256" i="3"/>
  <c r="L255" i="3"/>
  <c r="L254" i="3"/>
  <c r="L1186" i="3"/>
  <c r="L1559" i="3"/>
  <c r="L253" i="3"/>
  <c r="L1185" i="3"/>
  <c r="L1184" i="3"/>
  <c r="L1183" i="3"/>
  <c r="L1451" i="3"/>
  <c r="L1450" i="3"/>
  <c r="L1640" i="3"/>
  <c r="L1859" i="3"/>
  <c r="L252" i="3"/>
  <c r="L1558" i="3"/>
  <c r="L1724" i="3"/>
  <c r="L883" i="3"/>
  <c r="L8" i="3"/>
  <c r="L7" i="3"/>
  <c r="L6" i="3"/>
  <c r="L251" i="3"/>
  <c r="L1182" i="3"/>
  <c r="L250" i="3"/>
  <c r="L249" i="3"/>
  <c r="L248" i="3"/>
  <c r="L247" i="3"/>
  <c r="L246" i="3"/>
  <c r="L245" i="3"/>
  <c r="L244" i="3"/>
  <c r="L243" i="3"/>
  <c r="L242" i="3"/>
  <c r="L1639" i="3"/>
  <c r="L882" i="3"/>
  <c r="L241" i="3"/>
  <c r="L1974" i="3"/>
  <c r="L1337" i="3"/>
  <c r="L240" i="3"/>
  <c r="L881" i="3"/>
  <c r="L5" i="3"/>
  <c r="L880" i="3"/>
  <c r="L239" i="3"/>
  <c r="L879" i="3"/>
  <c r="L1449" i="3"/>
  <c r="L238" i="3"/>
  <c r="L237" i="3"/>
  <c r="L236" i="3"/>
  <c r="L235" i="3"/>
  <c r="L234" i="3"/>
  <c r="L233" i="3"/>
  <c r="L878" i="3"/>
  <c r="L877" i="3"/>
  <c r="L1723" i="3"/>
  <c r="L232" i="3"/>
  <c r="L231" i="3"/>
  <c r="L230" i="3"/>
  <c r="L1448" i="3"/>
  <c r="L229" i="3"/>
  <c r="L228" i="3"/>
  <c r="L227" i="3"/>
  <c r="L1447" i="3"/>
  <c r="L1181" i="3"/>
  <c r="L876" i="3"/>
  <c r="L226" i="3"/>
  <c r="L225" i="3"/>
  <c r="L224" i="3"/>
  <c r="L223" i="3"/>
  <c r="L875" i="3"/>
  <c r="L222" i="3"/>
  <c r="L874" i="3"/>
  <c r="L221" i="3"/>
  <c r="L220" i="3"/>
  <c r="L219" i="3"/>
  <c r="L218" i="3"/>
  <c r="L217" i="3"/>
  <c r="L1180" i="3"/>
  <c r="L873" i="3"/>
  <c r="L216" i="3"/>
  <c r="L1446" i="3"/>
  <c r="L215" i="3"/>
  <c r="L214" i="3"/>
  <c r="L1179" i="3"/>
  <c r="L872" i="3"/>
  <c r="L1920" i="3"/>
  <c r="L213" i="3"/>
  <c r="L212" i="3"/>
  <c r="L211" i="3"/>
  <c r="L210" i="3"/>
  <c r="L209" i="3"/>
  <c r="L871" i="3"/>
  <c r="L208" i="3"/>
  <c r="L1178" i="3"/>
  <c r="L207" i="3"/>
  <c r="L1557" i="3"/>
  <c r="L206" i="3"/>
  <c r="L1556" i="3"/>
  <c r="L1336" i="3"/>
  <c r="L1555" i="3"/>
  <c r="L1554" i="3"/>
  <c r="L870" i="3"/>
  <c r="L869" i="3"/>
  <c r="L205" i="3"/>
  <c r="L868" i="3"/>
  <c r="L867" i="3"/>
  <c r="L866" i="3"/>
  <c r="L1795" i="3"/>
  <c r="L1445" i="3"/>
  <c r="L204" i="3"/>
  <c r="L203" i="3"/>
  <c r="L202" i="3"/>
  <c r="L1553" i="3"/>
  <c r="L1335" i="3"/>
  <c r="L1177" i="3"/>
  <c r="L1334" i="3"/>
  <c r="L1552" i="3"/>
  <c r="L1176" i="3"/>
  <c r="L201" i="3"/>
  <c r="L1333" i="3"/>
  <c r="L1444" i="3"/>
  <c r="L2023" i="3"/>
  <c r="L1794" i="3"/>
  <c r="L1443" i="3"/>
  <c r="L1722" i="3"/>
  <c r="L200" i="3"/>
  <c r="L1638" i="3"/>
  <c r="L1175" i="3"/>
  <c r="L1793" i="3"/>
  <c r="L2069" i="3"/>
  <c r="L1721" i="3"/>
  <c r="L2077" i="3"/>
  <c r="L199" i="3"/>
  <c r="L198" i="3"/>
  <c r="L865" i="3"/>
  <c r="L1551" i="3"/>
  <c r="L4" i="3"/>
  <c r="L197" i="3"/>
  <c r="L864" i="3"/>
  <c r="L196" i="3"/>
  <c r="L195" i="3"/>
  <c r="L2175" i="3"/>
  <c r="L1720" i="3"/>
  <c r="L1919" i="3"/>
  <c r="L1637" i="3"/>
  <c r="L863" i="3"/>
  <c r="L194" i="3"/>
  <c r="L193" i="3"/>
  <c r="L192" i="3"/>
  <c r="L191" i="3"/>
  <c r="L862" i="3"/>
  <c r="L190" i="3"/>
  <c r="L861" i="3"/>
  <c r="L189" i="3"/>
  <c r="L188" i="3"/>
  <c r="L187" i="3"/>
  <c r="L186" i="3"/>
  <c r="L185" i="3"/>
  <c r="L184" i="3"/>
  <c r="L860" i="3"/>
  <c r="L183" i="3"/>
  <c r="L2042" i="3"/>
  <c r="L1174" i="3"/>
  <c r="L182" i="3"/>
  <c r="L859" i="3"/>
  <c r="L3" i="3"/>
  <c r="L1332" i="3"/>
  <c r="L1173" i="3"/>
  <c r="L858" i="3"/>
  <c r="L857" i="3"/>
  <c r="L856" i="3"/>
  <c r="L1172" i="3"/>
  <c r="L1171" i="3"/>
  <c r="L181" i="3"/>
  <c r="L1170" i="3"/>
  <c r="L180" i="3"/>
  <c r="L2094" i="3"/>
  <c r="L2068" i="3"/>
  <c r="L2022" i="3"/>
  <c r="L1636" i="3"/>
  <c r="L855" i="3"/>
  <c r="L1169" i="3"/>
  <c r="L1168" i="3"/>
  <c r="L854" i="3"/>
  <c r="L2076" i="3"/>
  <c r="L1167" i="3"/>
  <c r="L1550" i="3"/>
  <c r="L2204" i="3"/>
  <c r="L2085" i="3"/>
  <c r="L2192" i="3"/>
  <c r="L1166" i="3"/>
  <c r="L179" i="3"/>
  <c r="L178" i="3"/>
  <c r="L2141" i="3"/>
  <c r="L1442" i="3"/>
  <c r="L2067" i="3"/>
  <c r="L1918" i="3"/>
  <c r="L177" i="3"/>
  <c r="L853" i="3"/>
  <c r="L852" i="3"/>
  <c r="L1165" i="3"/>
  <c r="L176" i="3"/>
  <c r="L175" i="3"/>
  <c r="L174" i="3"/>
  <c r="L2" i="3"/>
  <c r="L851" i="3"/>
  <c r="L850" i="3"/>
  <c r="L173" i="3"/>
  <c r="L172" i="3"/>
  <c r="L171" i="3"/>
  <c r="L849" i="3"/>
  <c r="L1331" i="3"/>
  <c r="L170" i="3"/>
  <c r="L1330" i="3"/>
  <c r="L169" i="3"/>
  <c r="L1164" i="3"/>
  <c r="L848" i="3"/>
  <c r="L168" i="3"/>
  <c r="L2054" i="3"/>
  <c r="L847" i="3"/>
  <c r="L167" i="3"/>
  <c r="L166" i="3"/>
  <c r="L1163" i="3"/>
  <c r="L165" i="3"/>
  <c r="L846" i="3"/>
  <c r="L1329" i="3"/>
  <c r="L164" i="3"/>
  <c r="L1162" i="3"/>
  <c r="L1161" i="3"/>
  <c r="L1328" i="3"/>
  <c r="L1858" i="3"/>
  <c r="L1160" i="3"/>
  <c r="L163" i="3"/>
  <c r="L1327" i="3"/>
  <c r="L2285" i="3" l="1"/>
  <c r="T1006" i="2"/>
  <c r="T10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03" i="2"/>
  <c r="T204" i="2"/>
  <c r="T205" i="2"/>
  <c r="T202" i="2"/>
  <c r="T200" i="2"/>
  <c r="T199" i="2"/>
  <c r="T198" i="2"/>
  <c r="T194" i="2"/>
  <c r="T192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Q1139" i="2"/>
  <c r="P1139" i="2"/>
  <c r="R1139" i="2" s="1"/>
  <c r="O1139" i="2"/>
  <c r="L1139" i="2"/>
  <c r="N1139" i="2" s="1"/>
  <c r="Q1142" i="2"/>
  <c r="P1142" i="2"/>
  <c r="R1142" i="2" s="1"/>
  <c r="O1142" i="2"/>
  <c r="L1142" i="2"/>
  <c r="N1142" i="2" s="1"/>
  <c r="L1145" i="2"/>
  <c r="R928" i="2"/>
  <c r="L853" i="2"/>
  <c r="H1001" i="2"/>
  <c r="L767" i="2"/>
  <c r="M767" i="2" s="1"/>
  <c r="O767" i="2"/>
  <c r="P767" i="2"/>
  <c r="Q767" i="2"/>
  <c r="R767" i="2"/>
  <c r="L763" i="2"/>
  <c r="M763" i="2" s="1"/>
  <c r="O763" i="2"/>
  <c r="P763" i="2"/>
  <c r="Q763" i="2"/>
  <c r="R763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S255" i="2"/>
  <c r="S256" i="2"/>
  <c r="S300" i="2"/>
  <c r="S301" i="2"/>
  <c r="S304" i="2"/>
  <c r="S305" i="2"/>
  <c r="R251" i="2"/>
  <c r="R252" i="2"/>
  <c r="R253" i="2"/>
  <c r="R254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9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55" i="2"/>
  <c r="R407" i="2"/>
  <c r="R507" i="2"/>
  <c r="R508" i="2"/>
  <c r="R524" i="2"/>
  <c r="R562" i="2"/>
  <c r="R582" i="2"/>
  <c r="R643" i="2"/>
  <c r="R652" i="2"/>
  <c r="R714" i="2"/>
  <c r="R736" i="2"/>
  <c r="R811" i="2"/>
  <c r="R814" i="2"/>
  <c r="R924" i="2"/>
  <c r="R927" i="2"/>
  <c r="Q251" i="2"/>
  <c r="S251" i="2" s="1"/>
  <c r="Q252" i="2"/>
  <c r="S252" i="2" s="1"/>
  <c r="Q253" i="2"/>
  <c r="S253" i="2" s="1"/>
  <c r="Q254" i="2"/>
  <c r="S254" i="2" s="1"/>
  <c r="Q255" i="2"/>
  <c r="Q256" i="2"/>
  <c r="Q257" i="2"/>
  <c r="S257" i="2" s="1"/>
  <c r="Q258" i="2"/>
  <c r="S258" i="2" s="1"/>
  <c r="Q259" i="2"/>
  <c r="S259" i="2" s="1"/>
  <c r="Q260" i="2"/>
  <c r="S260" i="2" s="1"/>
  <c r="Q261" i="2"/>
  <c r="S261" i="2" s="1"/>
  <c r="Q262" i="2"/>
  <c r="S262" i="2" s="1"/>
  <c r="Q263" i="2"/>
  <c r="S263" i="2" s="1"/>
  <c r="Q264" i="2"/>
  <c r="S264" i="2" s="1"/>
  <c r="Q265" i="2"/>
  <c r="S265" i="2" s="1"/>
  <c r="Q266" i="2"/>
  <c r="S266" i="2" s="1"/>
  <c r="Q267" i="2"/>
  <c r="S267" i="2" s="1"/>
  <c r="Q268" i="2"/>
  <c r="S268" i="2" s="1"/>
  <c r="Q269" i="2"/>
  <c r="S269" i="2" s="1"/>
  <c r="Q270" i="2"/>
  <c r="S270" i="2" s="1"/>
  <c r="Q271" i="2"/>
  <c r="S271" i="2" s="1"/>
  <c r="Q272" i="2"/>
  <c r="S272" i="2" s="1"/>
  <c r="Q273" i="2"/>
  <c r="S273" i="2" s="1"/>
  <c r="Q274" i="2"/>
  <c r="S274" i="2" s="1"/>
  <c r="Q275" i="2"/>
  <c r="S275" i="2" s="1"/>
  <c r="Q276" i="2"/>
  <c r="S276" i="2" s="1"/>
  <c r="Q277" i="2"/>
  <c r="S277" i="2" s="1"/>
  <c r="Q278" i="2"/>
  <c r="S278" i="2" s="1"/>
  <c r="Q279" i="2"/>
  <c r="S279" i="2" s="1"/>
  <c r="Q280" i="2"/>
  <c r="S280" i="2" s="1"/>
  <c r="Q281" i="2"/>
  <c r="S281" i="2" s="1"/>
  <c r="Q282" i="2"/>
  <c r="S282" i="2" s="1"/>
  <c r="Q283" i="2"/>
  <c r="S283" i="2" s="1"/>
  <c r="Q284" i="2"/>
  <c r="S284" i="2" s="1"/>
  <c r="Q285" i="2"/>
  <c r="S285" i="2" s="1"/>
  <c r="Q286" i="2"/>
  <c r="S286" i="2" s="1"/>
  <c r="Q287" i="2"/>
  <c r="S287" i="2" s="1"/>
  <c r="Q288" i="2"/>
  <c r="S288" i="2" s="1"/>
  <c r="Q289" i="2"/>
  <c r="S289" i="2" s="1"/>
  <c r="Q290" i="2"/>
  <c r="S290" i="2" s="1"/>
  <c r="Q291" i="2"/>
  <c r="S291" i="2" s="1"/>
  <c r="Q292" i="2"/>
  <c r="S292" i="2" s="1"/>
  <c r="Q293" i="2"/>
  <c r="S293" i="2" s="1"/>
  <c r="Q294" i="2"/>
  <c r="S294" i="2" s="1"/>
  <c r="Q295" i="2"/>
  <c r="S295" i="2" s="1"/>
  <c r="Q296" i="2"/>
  <c r="S296" i="2" s="1"/>
  <c r="Q297" i="2"/>
  <c r="S297" i="2" s="1"/>
  <c r="Q298" i="2"/>
  <c r="S298" i="2" s="1"/>
  <c r="Q299" i="2"/>
  <c r="S299" i="2" s="1"/>
  <c r="Q300" i="2"/>
  <c r="Q301" i="2"/>
  <c r="Q302" i="2"/>
  <c r="S302" i="2" s="1"/>
  <c r="Q303" i="2"/>
  <c r="S303" i="2" s="1"/>
  <c r="Q304" i="2"/>
  <c r="Q305" i="2"/>
  <c r="Q306" i="2"/>
  <c r="S306" i="2" s="1"/>
  <c r="Q307" i="2"/>
  <c r="S307" i="2" s="1"/>
  <c r="Q308" i="2"/>
  <c r="S308" i="2" s="1"/>
  <c r="Q309" i="2"/>
  <c r="S309" i="2" s="1"/>
  <c r="Q310" i="2"/>
  <c r="S310" i="2" s="1"/>
  <c r="Q311" i="2"/>
  <c r="S311" i="2" s="1"/>
  <c r="Q312" i="2"/>
  <c r="S312" i="2" s="1"/>
  <c r="Q313" i="2"/>
  <c r="S313" i="2" s="1"/>
  <c r="Q314" i="2"/>
  <c r="S314" i="2" s="1"/>
  <c r="Q315" i="2"/>
  <c r="S315" i="2" s="1"/>
  <c r="Q316" i="2"/>
  <c r="S316" i="2" s="1"/>
  <c r="Q317" i="2"/>
  <c r="S317" i="2" s="1"/>
  <c r="Q318" i="2"/>
  <c r="S318" i="2" s="1"/>
  <c r="Q319" i="2"/>
  <c r="S319" i="2" s="1"/>
  <c r="Q320" i="2"/>
  <c r="S320" i="2" s="1"/>
  <c r="Q321" i="2"/>
  <c r="S321" i="2" s="1"/>
  <c r="Q322" i="2"/>
  <c r="S322" i="2" s="1"/>
  <c r="Q323" i="2"/>
  <c r="S323" i="2" s="1"/>
  <c r="Q324" i="2"/>
  <c r="S324" i="2" s="1"/>
  <c r="Q325" i="2"/>
  <c r="S325" i="2" s="1"/>
  <c r="Q326" i="2"/>
  <c r="S326" i="2" s="1"/>
  <c r="Q327" i="2"/>
  <c r="S327" i="2" s="1"/>
  <c r="Q328" i="2"/>
  <c r="S328" i="2" s="1"/>
  <c r="Q329" i="2"/>
  <c r="S329" i="2" s="1"/>
  <c r="Q330" i="2"/>
  <c r="S330" i="2" s="1"/>
  <c r="Q331" i="2"/>
  <c r="S331" i="2" s="1"/>
  <c r="Q332" i="2"/>
  <c r="S332" i="2" s="1"/>
  <c r="Q333" i="2"/>
  <c r="S333" i="2" s="1"/>
  <c r="Q334" i="2"/>
  <c r="S334" i="2" s="1"/>
  <c r="Q335" i="2"/>
  <c r="S335" i="2" s="1"/>
  <c r="Q336" i="2"/>
  <c r="S336" i="2" s="1"/>
  <c r="Q337" i="2"/>
  <c r="S337" i="2" s="1"/>
  <c r="Q338" i="2"/>
  <c r="S338" i="2" s="1"/>
  <c r="Q339" i="2"/>
  <c r="S339" i="2" s="1"/>
  <c r="Q340" i="2"/>
  <c r="S340" i="2" s="1"/>
  <c r="Q341" i="2"/>
  <c r="S341" i="2" s="1"/>
  <c r="Q342" i="2"/>
  <c r="S342" i="2" s="1"/>
  <c r="Q343" i="2"/>
  <c r="S343" i="2" s="1"/>
  <c r="Q344" i="2"/>
  <c r="S344" i="2" s="1"/>
  <c r="Q345" i="2"/>
  <c r="S345" i="2" s="1"/>
  <c r="Q346" i="2"/>
  <c r="S346" i="2" s="1"/>
  <c r="Q347" i="2"/>
  <c r="S347" i="2" s="1"/>
  <c r="Q348" i="2"/>
  <c r="S348" i="2" s="1"/>
  <c r="Q349" i="2"/>
  <c r="S349" i="2" s="1"/>
  <c r="Q350" i="2"/>
  <c r="S350" i="2" s="1"/>
  <c r="Q351" i="2"/>
  <c r="S351" i="2" s="1"/>
  <c r="Q352" i="2"/>
  <c r="S352" i="2" s="1"/>
  <c r="Q353" i="2"/>
  <c r="S353" i="2" s="1"/>
  <c r="Q354" i="2"/>
  <c r="S354" i="2" s="1"/>
  <c r="Q355" i="2"/>
  <c r="S355" i="2" s="1"/>
  <c r="Q356" i="2"/>
  <c r="S356" i="2" s="1"/>
  <c r="Q357" i="2"/>
  <c r="S357" i="2" s="1"/>
  <c r="Q358" i="2"/>
  <c r="S358" i="2" s="1"/>
  <c r="Q359" i="2"/>
  <c r="S359" i="2" s="1"/>
  <c r="Q360" i="2"/>
  <c r="S360" i="2" s="1"/>
  <c r="Q361" i="2"/>
  <c r="S361" i="2" s="1"/>
  <c r="Q362" i="2"/>
  <c r="S362" i="2" s="1"/>
  <c r="Q363" i="2"/>
  <c r="S363" i="2" s="1"/>
  <c r="Q364" i="2"/>
  <c r="S364" i="2" s="1"/>
  <c r="Q365" i="2"/>
  <c r="S365" i="2" s="1"/>
  <c r="Q366" i="2"/>
  <c r="S366" i="2" s="1"/>
  <c r="Q367" i="2"/>
  <c r="S367" i="2" s="1"/>
  <c r="Q368" i="2"/>
  <c r="S368" i="2" s="1"/>
  <c r="Q369" i="2"/>
  <c r="S369" i="2" s="1"/>
  <c r="Q370" i="2"/>
  <c r="S370" i="2" s="1"/>
  <c r="Q371" i="2"/>
  <c r="S371" i="2" s="1"/>
  <c r="Q372" i="2"/>
  <c r="S372" i="2" s="1"/>
  <c r="Q373" i="2"/>
  <c r="S373" i="2" s="1"/>
  <c r="Q374" i="2"/>
  <c r="S374" i="2" s="1"/>
  <c r="Q375" i="2"/>
  <c r="S375" i="2" s="1"/>
  <c r="Q376" i="2"/>
  <c r="S376" i="2" s="1"/>
  <c r="Q377" i="2"/>
  <c r="S377" i="2" s="1"/>
  <c r="Q378" i="2"/>
  <c r="S378" i="2" s="1"/>
  <c r="Q379" i="2"/>
  <c r="S379" i="2" s="1"/>
  <c r="Q380" i="2"/>
  <c r="S380" i="2" s="1"/>
  <c r="Q381" i="2"/>
  <c r="S381" i="2" s="1"/>
  <c r="Q382" i="2"/>
  <c r="S382" i="2" s="1"/>
  <c r="Q383" i="2"/>
  <c r="S383" i="2" s="1"/>
  <c r="Q384" i="2"/>
  <c r="S384" i="2" s="1"/>
  <c r="Q385" i="2"/>
  <c r="S385" i="2" s="1"/>
  <c r="Q386" i="2"/>
  <c r="S386" i="2" s="1"/>
  <c r="Q387" i="2"/>
  <c r="S387" i="2" s="1"/>
  <c r="Q388" i="2"/>
  <c r="S388" i="2" s="1"/>
  <c r="Q389" i="2"/>
  <c r="S389" i="2" s="1"/>
  <c r="Q390" i="2"/>
  <c r="S390" i="2" s="1"/>
  <c r="Q391" i="2"/>
  <c r="S391" i="2" s="1"/>
  <c r="Q392" i="2"/>
  <c r="S392" i="2" s="1"/>
  <c r="Q393" i="2"/>
  <c r="S393" i="2" s="1"/>
  <c r="Q394" i="2"/>
  <c r="S394" i="2" s="1"/>
  <c r="Q395" i="2"/>
  <c r="S395" i="2" s="1"/>
  <c r="Q396" i="2"/>
  <c r="S396" i="2" s="1"/>
  <c r="Q397" i="2"/>
  <c r="S397" i="2" s="1"/>
  <c r="Q398" i="2"/>
  <c r="S398" i="2" s="1"/>
  <c r="Q399" i="2"/>
  <c r="S399" i="2" s="1"/>
  <c r="Q400" i="2"/>
  <c r="S400" i="2" s="1"/>
  <c r="Q401" i="2"/>
  <c r="S401" i="2" s="1"/>
  <c r="Q402" i="2"/>
  <c r="S402" i="2" s="1"/>
  <c r="Q403" i="2"/>
  <c r="S403" i="2" s="1"/>
  <c r="Q404" i="2"/>
  <c r="S404" i="2" s="1"/>
  <c r="Q405" i="2"/>
  <c r="S405" i="2" s="1"/>
  <c r="Q406" i="2"/>
  <c r="S406" i="2" s="1"/>
  <c r="Q407" i="2"/>
  <c r="S407" i="2" s="1"/>
  <c r="Q408" i="2"/>
  <c r="S408" i="2" s="1"/>
  <c r="Q409" i="2"/>
  <c r="S409" i="2" s="1"/>
  <c r="Q410" i="2"/>
  <c r="S410" i="2" s="1"/>
  <c r="Q411" i="2"/>
  <c r="S411" i="2" s="1"/>
  <c r="Q412" i="2"/>
  <c r="S412" i="2" s="1"/>
  <c r="Q413" i="2"/>
  <c r="S413" i="2" s="1"/>
  <c r="Q414" i="2"/>
  <c r="S414" i="2" s="1"/>
  <c r="Q415" i="2"/>
  <c r="S415" i="2" s="1"/>
  <c r="Q416" i="2"/>
  <c r="S416" i="2" s="1"/>
  <c r="Q417" i="2"/>
  <c r="S417" i="2" s="1"/>
  <c r="Q418" i="2"/>
  <c r="S418" i="2" s="1"/>
  <c r="Q419" i="2"/>
  <c r="S419" i="2" s="1"/>
  <c r="Q420" i="2"/>
  <c r="S420" i="2" s="1"/>
  <c r="Q421" i="2"/>
  <c r="S421" i="2" s="1"/>
  <c r="Q422" i="2"/>
  <c r="S422" i="2" s="1"/>
  <c r="Q423" i="2"/>
  <c r="S423" i="2" s="1"/>
  <c r="Q424" i="2"/>
  <c r="S424" i="2" s="1"/>
  <c r="Q425" i="2"/>
  <c r="S425" i="2" s="1"/>
  <c r="Q426" i="2"/>
  <c r="S426" i="2" s="1"/>
  <c r="Q427" i="2"/>
  <c r="S427" i="2" s="1"/>
  <c r="Q428" i="2"/>
  <c r="S428" i="2" s="1"/>
  <c r="Q429" i="2"/>
  <c r="S429" i="2" s="1"/>
  <c r="Q430" i="2"/>
  <c r="S430" i="2" s="1"/>
  <c r="Q431" i="2"/>
  <c r="S431" i="2" s="1"/>
  <c r="Q432" i="2"/>
  <c r="S432" i="2" s="1"/>
  <c r="Q433" i="2"/>
  <c r="S433" i="2" s="1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4" i="2"/>
  <c r="Q765" i="2"/>
  <c r="Q766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40" i="2"/>
  <c r="Q1141" i="2"/>
  <c r="Q1143" i="2"/>
  <c r="Q1144" i="2"/>
  <c r="Q1145" i="2"/>
  <c r="Q1146" i="2"/>
  <c r="P251" i="2"/>
  <c r="P252" i="2"/>
  <c r="P253" i="2"/>
  <c r="P254" i="2"/>
  <c r="P255" i="2"/>
  <c r="R255" i="2" s="1"/>
  <c r="P256" i="2"/>
  <c r="R256" i="2" s="1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R298" i="2" s="1"/>
  <c r="P299" i="2"/>
  <c r="P300" i="2"/>
  <c r="R300" i="2" s="1"/>
  <c r="P301" i="2"/>
  <c r="R301" i="2" s="1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R320" i="2" s="1"/>
  <c r="P321" i="2"/>
  <c r="R321" i="2" s="1"/>
  <c r="P322" i="2"/>
  <c r="R322" i="2" s="1"/>
  <c r="P323" i="2"/>
  <c r="R323" i="2" s="1"/>
  <c r="P324" i="2"/>
  <c r="R324" i="2" s="1"/>
  <c r="P325" i="2"/>
  <c r="R325" i="2" s="1"/>
  <c r="P326" i="2"/>
  <c r="R326" i="2" s="1"/>
  <c r="P327" i="2"/>
  <c r="R327" i="2" s="1"/>
  <c r="P328" i="2"/>
  <c r="R328" i="2" s="1"/>
  <c r="P329" i="2"/>
  <c r="R329" i="2" s="1"/>
  <c r="P330" i="2"/>
  <c r="R330" i="2" s="1"/>
  <c r="P331" i="2"/>
  <c r="R331" i="2" s="1"/>
  <c r="P332" i="2"/>
  <c r="R332" i="2" s="1"/>
  <c r="P333" i="2"/>
  <c r="R333" i="2" s="1"/>
  <c r="P334" i="2"/>
  <c r="R334" i="2" s="1"/>
  <c r="P335" i="2"/>
  <c r="R335" i="2" s="1"/>
  <c r="P336" i="2"/>
  <c r="R336" i="2" s="1"/>
  <c r="P337" i="2"/>
  <c r="R337" i="2" s="1"/>
  <c r="P338" i="2"/>
  <c r="R338" i="2" s="1"/>
  <c r="P339" i="2"/>
  <c r="R339" i="2" s="1"/>
  <c r="P340" i="2"/>
  <c r="R340" i="2" s="1"/>
  <c r="P341" i="2"/>
  <c r="R341" i="2" s="1"/>
  <c r="P342" i="2"/>
  <c r="R342" i="2" s="1"/>
  <c r="P343" i="2"/>
  <c r="R343" i="2" s="1"/>
  <c r="P344" i="2"/>
  <c r="R344" i="2" s="1"/>
  <c r="P345" i="2"/>
  <c r="R345" i="2" s="1"/>
  <c r="P346" i="2"/>
  <c r="R346" i="2" s="1"/>
  <c r="P347" i="2"/>
  <c r="R347" i="2" s="1"/>
  <c r="P348" i="2"/>
  <c r="R348" i="2" s="1"/>
  <c r="P349" i="2"/>
  <c r="R349" i="2" s="1"/>
  <c r="P350" i="2"/>
  <c r="R350" i="2" s="1"/>
  <c r="P351" i="2"/>
  <c r="R351" i="2" s="1"/>
  <c r="P352" i="2"/>
  <c r="R352" i="2" s="1"/>
  <c r="P353" i="2"/>
  <c r="R353" i="2" s="1"/>
  <c r="P354" i="2"/>
  <c r="R354" i="2" s="1"/>
  <c r="P355" i="2"/>
  <c r="P356" i="2"/>
  <c r="R356" i="2" s="1"/>
  <c r="P357" i="2"/>
  <c r="R357" i="2" s="1"/>
  <c r="P358" i="2"/>
  <c r="R358" i="2" s="1"/>
  <c r="P359" i="2"/>
  <c r="R359" i="2" s="1"/>
  <c r="P360" i="2"/>
  <c r="R360" i="2" s="1"/>
  <c r="P361" i="2"/>
  <c r="R361" i="2" s="1"/>
  <c r="P362" i="2"/>
  <c r="R362" i="2" s="1"/>
  <c r="P363" i="2"/>
  <c r="R363" i="2" s="1"/>
  <c r="P364" i="2"/>
  <c r="R364" i="2" s="1"/>
  <c r="P365" i="2"/>
  <c r="R365" i="2" s="1"/>
  <c r="P366" i="2"/>
  <c r="R366" i="2" s="1"/>
  <c r="P367" i="2"/>
  <c r="R367" i="2" s="1"/>
  <c r="P368" i="2"/>
  <c r="R368" i="2" s="1"/>
  <c r="P369" i="2"/>
  <c r="R369" i="2" s="1"/>
  <c r="P370" i="2"/>
  <c r="R370" i="2" s="1"/>
  <c r="P371" i="2"/>
  <c r="R371" i="2" s="1"/>
  <c r="P372" i="2"/>
  <c r="R372" i="2" s="1"/>
  <c r="P373" i="2"/>
  <c r="R373" i="2" s="1"/>
  <c r="P374" i="2"/>
  <c r="R374" i="2" s="1"/>
  <c r="P375" i="2"/>
  <c r="R375" i="2" s="1"/>
  <c r="P376" i="2"/>
  <c r="R376" i="2" s="1"/>
  <c r="P377" i="2"/>
  <c r="R377" i="2" s="1"/>
  <c r="P378" i="2"/>
  <c r="R378" i="2" s="1"/>
  <c r="P379" i="2"/>
  <c r="R379" i="2" s="1"/>
  <c r="P380" i="2"/>
  <c r="R380" i="2" s="1"/>
  <c r="P381" i="2"/>
  <c r="R381" i="2" s="1"/>
  <c r="P382" i="2"/>
  <c r="R382" i="2" s="1"/>
  <c r="P383" i="2"/>
  <c r="R383" i="2" s="1"/>
  <c r="P384" i="2"/>
  <c r="R384" i="2" s="1"/>
  <c r="P385" i="2"/>
  <c r="R385" i="2" s="1"/>
  <c r="P386" i="2"/>
  <c r="R386" i="2" s="1"/>
  <c r="P387" i="2"/>
  <c r="R387" i="2" s="1"/>
  <c r="P388" i="2"/>
  <c r="R388" i="2" s="1"/>
  <c r="P389" i="2"/>
  <c r="R389" i="2" s="1"/>
  <c r="P390" i="2"/>
  <c r="R390" i="2" s="1"/>
  <c r="P391" i="2"/>
  <c r="R391" i="2" s="1"/>
  <c r="P392" i="2"/>
  <c r="R392" i="2" s="1"/>
  <c r="P393" i="2"/>
  <c r="R393" i="2" s="1"/>
  <c r="P394" i="2"/>
  <c r="R394" i="2" s="1"/>
  <c r="P395" i="2"/>
  <c r="R395" i="2" s="1"/>
  <c r="P396" i="2"/>
  <c r="R396" i="2" s="1"/>
  <c r="P397" i="2"/>
  <c r="R397" i="2" s="1"/>
  <c r="P398" i="2"/>
  <c r="R398" i="2" s="1"/>
  <c r="P399" i="2"/>
  <c r="R399" i="2" s="1"/>
  <c r="P400" i="2"/>
  <c r="R400" i="2" s="1"/>
  <c r="P401" i="2"/>
  <c r="R401" i="2" s="1"/>
  <c r="P402" i="2"/>
  <c r="R402" i="2" s="1"/>
  <c r="P403" i="2"/>
  <c r="R403" i="2" s="1"/>
  <c r="P404" i="2"/>
  <c r="R404" i="2" s="1"/>
  <c r="P405" i="2"/>
  <c r="R405" i="2" s="1"/>
  <c r="P406" i="2"/>
  <c r="R406" i="2" s="1"/>
  <c r="P407" i="2"/>
  <c r="P408" i="2"/>
  <c r="R408" i="2" s="1"/>
  <c r="P409" i="2"/>
  <c r="R409" i="2" s="1"/>
  <c r="P410" i="2"/>
  <c r="R410" i="2" s="1"/>
  <c r="P411" i="2"/>
  <c r="R411" i="2" s="1"/>
  <c r="P412" i="2"/>
  <c r="R412" i="2" s="1"/>
  <c r="P413" i="2"/>
  <c r="R413" i="2" s="1"/>
  <c r="P414" i="2"/>
  <c r="R414" i="2" s="1"/>
  <c r="P415" i="2"/>
  <c r="R415" i="2" s="1"/>
  <c r="P416" i="2"/>
  <c r="R416" i="2" s="1"/>
  <c r="P417" i="2"/>
  <c r="R417" i="2" s="1"/>
  <c r="P418" i="2"/>
  <c r="R418" i="2" s="1"/>
  <c r="P419" i="2"/>
  <c r="R419" i="2" s="1"/>
  <c r="P420" i="2"/>
  <c r="R420" i="2" s="1"/>
  <c r="P421" i="2"/>
  <c r="R421" i="2" s="1"/>
  <c r="P422" i="2"/>
  <c r="R422" i="2" s="1"/>
  <c r="P423" i="2"/>
  <c r="R423" i="2" s="1"/>
  <c r="P424" i="2"/>
  <c r="R424" i="2" s="1"/>
  <c r="P425" i="2"/>
  <c r="R425" i="2" s="1"/>
  <c r="P426" i="2"/>
  <c r="R426" i="2" s="1"/>
  <c r="P427" i="2"/>
  <c r="R427" i="2" s="1"/>
  <c r="P428" i="2"/>
  <c r="R428" i="2" s="1"/>
  <c r="P429" i="2"/>
  <c r="R429" i="2" s="1"/>
  <c r="P430" i="2"/>
  <c r="R430" i="2" s="1"/>
  <c r="P431" i="2"/>
  <c r="R431" i="2" s="1"/>
  <c r="P432" i="2"/>
  <c r="R432" i="2" s="1"/>
  <c r="P433" i="2"/>
  <c r="R433" i="2" s="1"/>
  <c r="P434" i="2"/>
  <c r="R434" i="2" s="1"/>
  <c r="P435" i="2"/>
  <c r="R435" i="2" s="1"/>
  <c r="P436" i="2"/>
  <c r="R436" i="2" s="1"/>
  <c r="P437" i="2"/>
  <c r="R437" i="2" s="1"/>
  <c r="P438" i="2"/>
  <c r="R438" i="2" s="1"/>
  <c r="P439" i="2"/>
  <c r="R439" i="2" s="1"/>
  <c r="P440" i="2"/>
  <c r="R440" i="2" s="1"/>
  <c r="P441" i="2"/>
  <c r="R441" i="2" s="1"/>
  <c r="P442" i="2"/>
  <c r="R442" i="2" s="1"/>
  <c r="P443" i="2"/>
  <c r="R443" i="2" s="1"/>
  <c r="P444" i="2"/>
  <c r="R444" i="2" s="1"/>
  <c r="P445" i="2"/>
  <c r="R445" i="2" s="1"/>
  <c r="P446" i="2"/>
  <c r="R446" i="2" s="1"/>
  <c r="P447" i="2"/>
  <c r="R447" i="2" s="1"/>
  <c r="P448" i="2"/>
  <c r="R448" i="2" s="1"/>
  <c r="P449" i="2"/>
  <c r="R449" i="2" s="1"/>
  <c r="P450" i="2"/>
  <c r="R450" i="2" s="1"/>
  <c r="P451" i="2"/>
  <c r="R451" i="2" s="1"/>
  <c r="P452" i="2"/>
  <c r="R452" i="2" s="1"/>
  <c r="P453" i="2"/>
  <c r="R453" i="2" s="1"/>
  <c r="P454" i="2"/>
  <c r="R454" i="2" s="1"/>
  <c r="P455" i="2"/>
  <c r="R455" i="2" s="1"/>
  <c r="P456" i="2"/>
  <c r="R456" i="2" s="1"/>
  <c r="P457" i="2"/>
  <c r="R457" i="2" s="1"/>
  <c r="P458" i="2"/>
  <c r="R458" i="2" s="1"/>
  <c r="P459" i="2"/>
  <c r="R459" i="2" s="1"/>
  <c r="P460" i="2"/>
  <c r="R460" i="2" s="1"/>
  <c r="P461" i="2"/>
  <c r="R461" i="2" s="1"/>
  <c r="P462" i="2"/>
  <c r="R462" i="2" s="1"/>
  <c r="P463" i="2"/>
  <c r="R463" i="2" s="1"/>
  <c r="P464" i="2"/>
  <c r="R464" i="2" s="1"/>
  <c r="P465" i="2"/>
  <c r="R465" i="2" s="1"/>
  <c r="P466" i="2"/>
  <c r="R466" i="2" s="1"/>
  <c r="P467" i="2"/>
  <c r="R467" i="2" s="1"/>
  <c r="P468" i="2"/>
  <c r="R468" i="2" s="1"/>
  <c r="P469" i="2"/>
  <c r="R469" i="2" s="1"/>
  <c r="P470" i="2"/>
  <c r="R470" i="2" s="1"/>
  <c r="P471" i="2"/>
  <c r="R471" i="2" s="1"/>
  <c r="P472" i="2"/>
  <c r="R472" i="2" s="1"/>
  <c r="P473" i="2"/>
  <c r="R473" i="2" s="1"/>
  <c r="P474" i="2"/>
  <c r="R474" i="2" s="1"/>
  <c r="P475" i="2"/>
  <c r="R475" i="2" s="1"/>
  <c r="P476" i="2"/>
  <c r="R476" i="2" s="1"/>
  <c r="P477" i="2"/>
  <c r="R477" i="2" s="1"/>
  <c r="P478" i="2"/>
  <c r="R478" i="2" s="1"/>
  <c r="P479" i="2"/>
  <c r="R479" i="2" s="1"/>
  <c r="P480" i="2"/>
  <c r="R480" i="2" s="1"/>
  <c r="P481" i="2"/>
  <c r="R481" i="2" s="1"/>
  <c r="P482" i="2"/>
  <c r="R482" i="2" s="1"/>
  <c r="P483" i="2"/>
  <c r="R483" i="2" s="1"/>
  <c r="P484" i="2"/>
  <c r="R484" i="2" s="1"/>
  <c r="P485" i="2"/>
  <c r="R485" i="2" s="1"/>
  <c r="P486" i="2"/>
  <c r="R486" i="2" s="1"/>
  <c r="P487" i="2"/>
  <c r="R487" i="2" s="1"/>
  <c r="P488" i="2"/>
  <c r="R488" i="2" s="1"/>
  <c r="P489" i="2"/>
  <c r="R489" i="2" s="1"/>
  <c r="P490" i="2"/>
  <c r="R490" i="2" s="1"/>
  <c r="P491" i="2"/>
  <c r="R491" i="2" s="1"/>
  <c r="P492" i="2"/>
  <c r="R492" i="2" s="1"/>
  <c r="P493" i="2"/>
  <c r="R493" i="2" s="1"/>
  <c r="P494" i="2"/>
  <c r="R494" i="2" s="1"/>
  <c r="P495" i="2"/>
  <c r="R495" i="2" s="1"/>
  <c r="P496" i="2"/>
  <c r="R496" i="2" s="1"/>
  <c r="P497" i="2"/>
  <c r="R497" i="2" s="1"/>
  <c r="P498" i="2"/>
  <c r="R498" i="2" s="1"/>
  <c r="P499" i="2"/>
  <c r="R499" i="2" s="1"/>
  <c r="P500" i="2"/>
  <c r="R500" i="2" s="1"/>
  <c r="P501" i="2"/>
  <c r="R501" i="2" s="1"/>
  <c r="P502" i="2"/>
  <c r="R502" i="2" s="1"/>
  <c r="P503" i="2"/>
  <c r="R503" i="2" s="1"/>
  <c r="P504" i="2"/>
  <c r="R504" i="2" s="1"/>
  <c r="P505" i="2"/>
  <c r="R505" i="2" s="1"/>
  <c r="P506" i="2"/>
  <c r="R506" i="2" s="1"/>
  <c r="P507" i="2"/>
  <c r="P508" i="2"/>
  <c r="P509" i="2"/>
  <c r="R509" i="2" s="1"/>
  <c r="P510" i="2"/>
  <c r="R510" i="2" s="1"/>
  <c r="P511" i="2"/>
  <c r="R511" i="2" s="1"/>
  <c r="P512" i="2"/>
  <c r="R512" i="2" s="1"/>
  <c r="P514" i="2"/>
  <c r="R514" i="2" s="1"/>
  <c r="P515" i="2"/>
  <c r="R515" i="2" s="1"/>
  <c r="P516" i="2"/>
  <c r="R516" i="2" s="1"/>
  <c r="P517" i="2"/>
  <c r="R517" i="2" s="1"/>
  <c r="P518" i="2"/>
  <c r="R518" i="2" s="1"/>
  <c r="P519" i="2"/>
  <c r="R519" i="2" s="1"/>
  <c r="P520" i="2"/>
  <c r="R520" i="2" s="1"/>
  <c r="P521" i="2"/>
  <c r="R521" i="2" s="1"/>
  <c r="P522" i="2"/>
  <c r="R522" i="2" s="1"/>
  <c r="P523" i="2"/>
  <c r="R523" i="2" s="1"/>
  <c r="P524" i="2"/>
  <c r="P525" i="2"/>
  <c r="R525" i="2" s="1"/>
  <c r="P526" i="2"/>
  <c r="R526" i="2" s="1"/>
  <c r="P527" i="2"/>
  <c r="R527" i="2" s="1"/>
  <c r="P528" i="2"/>
  <c r="R528" i="2" s="1"/>
  <c r="P529" i="2"/>
  <c r="R529" i="2" s="1"/>
  <c r="P530" i="2"/>
  <c r="R530" i="2" s="1"/>
  <c r="P531" i="2"/>
  <c r="R531" i="2" s="1"/>
  <c r="P532" i="2"/>
  <c r="R532" i="2" s="1"/>
  <c r="P533" i="2"/>
  <c r="R533" i="2" s="1"/>
  <c r="P534" i="2"/>
  <c r="R534" i="2" s="1"/>
  <c r="P535" i="2"/>
  <c r="R535" i="2" s="1"/>
  <c r="P536" i="2"/>
  <c r="R536" i="2" s="1"/>
  <c r="P537" i="2"/>
  <c r="R537" i="2" s="1"/>
  <c r="P538" i="2"/>
  <c r="R538" i="2" s="1"/>
  <c r="P539" i="2"/>
  <c r="R539" i="2" s="1"/>
  <c r="P540" i="2"/>
  <c r="R540" i="2" s="1"/>
  <c r="P541" i="2"/>
  <c r="R541" i="2" s="1"/>
  <c r="P542" i="2"/>
  <c r="R542" i="2" s="1"/>
  <c r="P543" i="2"/>
  <c r="R543" i="2" s="1"/>
  <c r="P544" i="2"/>
  <c r="R544" i="2" s="1"/>
  <c r="P545" i="2"/>
  <c r="R545" i="2" s="1"/>
  <c r="P546" i="2"/>
  <c r="R546" i="2" s="1"/>
  <c r="P547" i="2"/>
  <c r="R547" i="2" s="1"/>
  <c r="P548" i="2"/>
  <c r="R548" i="2" s="1"/>
  <c r="P549" i="2"/>
  <c r="R549" i="2" s="1"/>
  <c r="P550" i="2"/>
  <c r="R550" i="2" s="1"/>
  <c r="P551" i="2"/>
  <c r="R551" i="2" s="1"/>
  <c r="P552" i="2"/>
  <c r="R552" i="2" s="1"/>
  <c r="P553" i="2"/>
  <c r="R553" i="2" s="1"/>
  <c r="P554" i="2"/>
  <c r="R554" i="2" s="1"/>
  <c r="P555" i="2"/>
  <c r="R555" i="2" s="1"/>
  <c r="P556" i="2"/>
  <c r="R556" i="2" s="1"/>
  <c r="P557" i="2"/>
  <c r="R557" i="2" s="1"/>
  <c r="P558" i="2"/>
  <c r="R558" i="2" s="1"/>
  <c r="P559" i="2"/>
  <c r="R559" i="2" s="1"/>
  <c r="P560" i="2"/>
  <c r="R560" i="2" s="1"/>
  <c r="P561" i="2"/>
  <c r="R561" i="2" s="1"/>
  <c r="P562" i="2"/>
  <c r="P563" i="2"/>
  <c r="R563" i="2" s="1"/>
  <c r="P564" i="2"/>
  <c r="R564" i="2" s="1"/>
  <c r="P565" i="2"/>
  <c r="R565" i="2" s="1"/>
  <c r="P566" i="2"/>
  <c r="R566" i="2" s="1"/>
  <c r="P567" i="2"/>
  <c r="R567" i="2" s="1"/>
  <c r="P568" i="2"/>
  <c r="R568" i="2" s="1"/>
  <c r="P569" i="2"/>
  <c r="R569" i="2" s="1"/>
  <c r="P570" i="2"/>
  <c r="R570" i="2" s="1"/>
  <c r="P571" i="2"/>
  <c r="R571" i="2" s="1"/>
  <c r="P572" i="2"/>
  <c r="R572" i="2" s="1"/>
  <c r="P573" i="2"/>
  <c r="R573" i="2" s="1"/>
  <c r="P574" i="2"/>
  <c r="R574" i="2" s="1"/>
  <c r="P575" i="2"/>
  <c r="R575" i="2" s="1"/>
  <c r="P576" i="2"/>
  <c r="R576" i="2" s="1"/>
  <c r="P577" i="2"/>
  <c r="R577" i="2" s="1"/>
  <c r="P578" i="2"/>
  <c r="R578" i="2" s="1"/>
  <c r="P579" i="2"/>
  <c r="R579" i="2" s="1"/>
  <c r="P580" i="2"/>
  <c r="R580" i="2" s="1"/>
  <c r="P581" i="2"/>
  <c r="R581" i="2" s="1"/>
  <c r="P582" i="2"/>
  <c r="P583" i="2"/>
  <c r="R583" i="2" s="1"/>
  <c r="P584" i="2"/>
  <c r="R584" i="2" s="1"/>
  <c r="P585" i="2"/>
  <c r="R585" i="2" s="1"/>
  <c r="P586" i="2"/>
  <c r="R586" i="2" s="1"/>
  <c r="P587" i="2"/>
  <c r="R587" i="2" s="1"/>
  <c r="P588" i="2"/>
  <c r="R588" i="2" s="1"/>
  <c r="P589" i="2"/>
  <c r="R589" i="2" s="1"/>
  <c r="P590" i="2"/>
  <c r="R590" i="2" s="1"/>
  <c r="P591" i="2"/>
  <c r="R591" i="2" s="1"/>
  <c r="P592" i="2"/>
  <c r="R592" i="2" s="1"/>
  <c r="P593" i="2"/>
  <c r="R593" i="2" s="1"/>
  <c r="P594" i="2"/>
  <c r="R594" i="2" s="1"/>
  <c r="P595" i="2"/>
  <c r="R595" i="2" s="1"/>
  <c r="P596" i="2"/>
  <c r="R596" i="2" s="1"/>
  <c r="P597" i="2"/>
  <c r="R597" i="2" s="1"/>
  <c r="P598" i="2"/>
  <c r="R598" i="2" s="1"/>
  <c r="P599" i="2"/>
  <c r="R599" i="2" s="1"/>
  <c r="P600" i="2"/>
  <c r="R600" i="2" s="1"/>
  <c r="P601" i="2"/>
  <c r="R601" i="2" s="1"/>
  <c r="P602" i="2"/>
  <c r="R602" i="2" s="1"/>
  <c r="P603" i="2"/>
  <c r="R603" i="2" s="1"/>
  <c r="P604" i="2"/>
  <c r="R604" i="2" s="1"/>
  <c r="P605" i="2"/>
  <c r="R605" i="2" s="1"/>
  <c r="P606" i="2"/>
  <c r="R606" i="2" s="1"/>
  <c r="P607" i="2"/>
  <c r="R607" i="2" s="1"/>
  <c r="P608" i="2"/>
  <c r="R608" i="2" s="1"/>
  <c r="P609" i="2"/>
  <c r="R609" i="2" s="1"/>
  <c r="P610" i="2"/>
  <c r="R610" i="2" s="1"/>
  <c r="P611" i="2"/>
  <c r="R611" i="2" s="1"/>
  <c r="P612" i="2"/>
  <c r="R612" i="2" s="1"/>
  <c r="P613" i="2"/>
  <c r="R613" i="2" s="1"/>
  <c r="P614" i="2"/>
  <c r="R614" i="2" s="1"/>
  <c r="P615" i="2"/>
  <c r="R615" i="2" s="1"/>
  <c r="P616" i="2"/>
  <c r="R616" i="2" s="1"/>
  <c r="P617" i="2"/>
  <c r="R617" i="2" s="1"/>
  <c r="P618" i="2"/>
  <c r="R618" i="2" s="1"/>
  <c r="P619" i="2"/>
  <c r="R619" i="2" s="1"/>
  <c r="P620" i="2"/>
  <c r="R620" i="2" s="1"/>
  <c r="P621" i="2"/>
  <c r="R621" i="2" s="1"/>
  <c r="P622" i="2"/>
  <c r="R622" i="2" s="1"/>
  <c r="P623" i="2"/>
  <c r="R623" i="2" s="1"/>
  <c r="P624" i="2"/>
  <c r="R624" i="2" s="1"/>
  <c r="P625" i="2"/>
  <c r="R625" i="2" s="1"/>
  <c r="P626" i="2"/>
  <c r="R626" i="2" s="1"/>
  <c r="P627" i="2"/>
  <c r="R627" i="2" s="1"/>
  <c r="P628" i="2"/>
  <c r="R628" i="2" s="1"/>
  <c r="P629" i="2"/>
  <c r="R629" i="2" s="1"/>
  <c r="P630" i="2"/>
  <c r="R630" i="2" s="1"/>
  <c r="P631" i="2"/>
  <c r="R631" i="2" s="1"/>
  <c r="P632" i="2"/>
  <c r="R632" i="2" s="1"/>
  <c r="P633" i="2"/>
  <c r="R633" i="2" s="1"/>
  <c r="P634" i="2"/>
  <c r="R634" i="2" s="1"/>
  <c r="P635" i="2"/>
  <c r="R635" i="2" s="1"/>
  <c r="P636" i="2"/>
  <c r="R636" i="2" s="1"/>
  <c r="P637" i="2"/>
  <c r="R637" i="2" s="1"/>
  <c r="P638" i="2"/>
  <c r="R638" i="2" s="1"/>
  <c r="P639" i="2"/>
  <c r="R639" i="2" s="1"/>
  <c r="P640" i="2"/>
  <c r="R640" i="2" s="1"/>
  <c r="P641" i="2"/>
  <c r="R641" i="2" s="1"/>
  <c r="P642" i="2"/>
  <c r="R642" i="2" s="1"/>
  <c r="P643" i="2"/>
  <c r="P644" i="2"/>
  <c r="R644" i="2" s="1"/>
  <c r="P645" i="2"/>
  <c r="R645" i="2" s="1"/>
  <c r="P646" i="2"/>
  <c r="R646" i="2" s="1"/>
  <c r="P647" i="2"/>
  <c r="R647" i="2" s="1"/>
  <c r="P648" i="2"/>
  <c r="R648" i="2" s="1"/>
  <c r="P649" i="2"/>
  <c r="R649" i="2" s="1"/>
  <c r="P650" i="2"/>
  <c r="R650" i="2" s="1"/>
  <c r="P651" i="2"/>
  <c r="R651" i="2" s="1"/>
  <c r="P652" i="2"/>
  <c r="P653" i="2"/>
  <c r="R653" i="2" s="1"/>
  <c r="P654" i="2"/>
  <c r="R654" i="2" s="1"/>
  <c r="P655" i="2"/>
  <c r="R655" i="2" s="1"/>
  <c r="P656" i="2"/>
  <c r="R656" i="2" s="1"/>
  <c r="P657" i="2"/>
  <c r="R657" i="2" s="1"/>
  <c r="P658" i="2"/>
  <c r="R658" i="2" s="1"/>
  <c r="P659" i="2"/>
  <c r="R659" i="2" s="1"/>
  <c r="P660" i="2"/>
  <c r="R660" i="2" s="1"/>
  <c r="P661" i="2"/>
  <c r="R661" i="2" s="1"/>
  <c r="P662" i="2"/>
  <c r="R662" i="2" s="1"/>
  <c r="P663" i="2"/>
  <c r="R663" i="2" s="1"/>
  <c r="P664" i="2"/>
  <c r="R664" i="2" s="1"/>
  <c r="P665" i="2"/>
  <c r="R665" i="2" s="1"/>
  <c r="P666" i="2"/>
  <c r="R666" i="2" s="1"/>
  <c r="P667" i="2"/>
  <c r="R667" i="2" s="1"/>
  <c r="P668" i="2"/>
  <c r="R668" i="2" s="1"/>
  <c r="P669" i="2"/>
  <c r="R669" i="2" s="1"/>
  <c r="P670" i="2"/>
  <c r="R670" i="2" s="1"/>
  <c r="P671" i="2"/>
  <c r="R671" i="2" s="1"/>
  <c r="P672" i="2"/>
  <c r="R672" i="2" s="1"/>
  <c r="P673" i="2"/>
  <c r="R673" i="2" s="1"/>
  <c r="P674" i="2"/>
  <c r="R674" i="2" s="1"/>
  <c r="P675" i="2"/>
  <c r="R675" i="2" s="1"/>
  <c r="P676" i="2"/>
  <c r="R676" i="2" s="1"/>
  <c r="P677" i="2"/>
  <c r="R677" i="2" s="1"/>
  <c r="P678" i="2"/>
  <c r="R678" i="2" s="1"/>
  <c r="P679" i="2"/>
  <c r="R679" i="2" s="1"/>
  <c r="P680" i="2"/>
  <c r="R680" i="2" s="1"/>
  <c r="P681" i="2"/>
  <c r="R681" i="2" s="1"/>
  <c r="P682" i="2"/>
  <c r="R682" i="2" s="1"/>
  <c r="P683" i="2"/>
  <c r="R683" i="2" s="1"/>
  <c r="P684" i="2"/>
  <c r="R684" i="2" s="1"/>
  <c r="P685" i="2"/>
  <c r="R685" i="2" s="1"/>
  <c r="P686" i="2"/>
  <c r="R686" i="2" s="1"/>
  <c r="P687" i="2"/>
  <c r="R687" i="2" s="1"/>
  <c r="P688" i="2"/>
  <c r="R688" i="2" s="1"/>
  <c r="P689" i="2"/>
  <c r="R689" i="2" s="1"/>
  <c r="P690" i="2"/>
  <c r="R690" i="2" s="1"/>
  <c r="P691" i="2"/>
  <c r="R691" i="2" s="1"/>
  <c r="P692" i="2"/>
  <c r="R692" i="2" s="1"/>
  <c r="P693" i="2"/>
  <c r="R693" i="2" s="1"/>
  <c r="P694" i="2"/>
  <c r="R694" i="2" s="1"/>
  <c r="P695" i="2"/>
  <c r="R695" i="2" s="1"/>
  <c r="P696" i="2"/>
  <c r="R696" i="2" s="1"/>
  <c r="P697" i="2"/>
  <c r="R697" i="2" s="1"/>
  <c r="P698" i="2"/>
  <c r="R698" i="2" s="1"/>
  <c r="P699" i="2"/>
  <c r="R699" i="2" s="1"/>
  <c r="P700" i="2"/>
  <c r="R700" i="2" s="1"/>
  <c r="P701" i="2"/>
  <c r="R701" i="2" s="1"/>
  <c r="P702" i="2"/>
  <c r="R702" i="2" s="1"/>
  <c r="P703" i="2"/>
  <c r="R703" i="2" s="1"/>
  <c r="P704" i="2"/>
  <c r="R704" i="2" s="1"/>
  <c r="P705" i="2"/>
  <c r="R705" i="2" s="1"/>
  <c r="P706" i="2"/>
  <c r="R706" i="2" s="1"/>
  <c r="P707" i="2"/>
  <c r="R707" i="2" s="1"/>
  <c r="P708" i="2"/>
  <c r="R708" i="2" s="1"/>
  <c r="P709" i="2"/>
  <c r="R709" i="2" s="1"/>
  <c r="P710" i="2"/>
  <c r="R710" i="2" s="1"/>
  <c r="P711" i="2"/>
  <c r="R711" i="2" s="1"/>
  <c r="P712" i="2"/>
  <c r="R712" i="2" s="1"/>
  <c r="P713" i="2"/>
  <c r="R713" i="2" s="1"/>
  <c r="P714" i="2"/>
  <c r="P715" i="2"/>
  <c r="R715" i="2" s="1"/>
  <c r="P716" i="2"/>
  <c r="R716" i="2" s="1"/>
  <c r="P717" i="2"/>
  <c r="R717" i="2" s="1"/>
  <c r="P718" i="2"/>
  <c r="R718" i="2" s="1"/>
  <c r="P719" i="2"/>
  <c r="R719" i="2" s="1"/>
  <c r="P720" i="2"/>
  <c r="R720" i="2" s="1"/>
  <c r="P721" i="2"/>
  <c r="R721" i="2" s="1"/>
  <c r="P722" i="2"/>
  <c r="R722" i="2" s="1"/>
  <c r="P723" i="2"/>
  <c r="R723" i="2" s="1"/>
  <c r="P724" i="2"/>
  <c r="R724" i="2" s="1"/>
  <c r="P725" i="2"/>
  <c r="R725" i="2" s="1"/>
  <c r="P726" i="2"/>
  <c r="R726" i="2" s="1"/>
  <c r="P727" i="2"/>
  <c r="R727" i="2" s="1"/>
  <c r="P728" i="2"/>
  <c r="R728" i="2" s="1"/>
  <c r="P729" i="2"/>
  <c r="R729" i="2" s="1"/>
  <c r="P730" i="2"/>
  <c r="R730" i="2" s="1"/>
  <c r="P731" i="2"/>
  <c r="R731" i="2" s="1"/>
  <c r="P732" i="2"/>
  <c r="R732" i="2" s="1"/>
  <c r="P733" i="2"/>
  <c r="R733" i="2" s="1"/>
  <c r="P734" i="2"/>
  <c r="R734" i="2" s="1"/>
  <c r="P735" i="2"/>
  <c r="R735" i="2" s="1"/>
  <c r="P736" i="2"/>
  <c r="P737" i="2"/>
  <c r="R737" i="2" s="1"/>
  <c r="P738" i="2"/>
  <c r="R738" i="2" s="1"/>
  <c r="P739" i="2"/>
  <c r="R739" i="2" s="1"/>
  <c r="P740" i="2"/>
  <c r="R740" i="2" s="1"/>
  <c r="P741" i="2"/>
  <c r="R741" i="2" s="1"/>
  <c r="P742" i="2"/>
  <c r="R742" i="2" s="1"/>
  <c r="P743" i="2"/>
  <c r="R743" i="2" s="1"/>
  <c r="P744" i="2"/>
  <c r="R744" i="2" s="1"/>
  <c r="P745" i="2"/>
  <c r="R745" i="2" s="1"/>
  <c r="P746" i="2"/>
  <c r="R746" i="2" s="1"/>
  <c r="P747" i="2"/>
  <c r="R747" i="2" s="1"/>
  <c r="P748" i="2"/>
  <c r="R748" i="2" s="1"/>
  <c r="P749" i="2"/>
  <c r="R749" i="2" s="1"/>
  <c r="P750" i="2"/>
  <c r="R750" i="2" s="1"/>
  <c r="P751" i="2"/>
  <c r="R751" i="2" s="1"/>
  <c r="P752" i="2"/>
  <c r="R752" i="2" s="1"/>
  <c r="P753" i="2"/>
  <c r="R753" i="2" s="1"/>
  <c r="P754" i="2"/>
  <c r="R754" i="2" s="1"/>
  <c r="P755" i="2"/>
  <c r="R755" i="2" s="1"/>
  <c r="P756" i="2"/>
  <c r="R756" i="2" s="1"/>
  <c r="P757" i="2"/>
  <c r="R757" i="2" s="1"/>
  <c r="P758" i="2"/>
  <c r="R758" i="2" s="1"/>
  <c r="P759" i="2"/>
  <c r="R759" i="2" s="1"/>
  <c r="P760" i="2"/>
  <c r="R760" i="2" s="1"/>
  <c r="P761" i="2"/>
  <c r="R761" i="2" s="1"/>
  <c r="P762" i="2"/>
  <c r="R762" i="2" s="1"/>
  <c r="P764" i="2"/>
  <c r="R764" i="2" s="1"/>
  <c r="P765" i="2"/>
  <c r="R765" i="2" s="1"/>
  <c r="P766" i="2"/>
  <c r="R766" i="2" s="1"/>
  <c r="P768" i="2"/>
  <c r="R768" i="2" s="1"/>
  <c r="P769" i="2"/>
  <c r="R769" i="2" s="1"/>
  <c r="P770" i="2"/>
  <c r="R770" i="2" s="1"/>
  <c r="P771" i="2"/>
  <c r="R771" i="2" s="1"/>
  <c r="P772" i="2"/>
  <c r="R772" i="2" s="1"/>
  <c r="P773" i="2"/>
  <c r="R773" i="2" s="1"/>
  <c r="P774" i="2"/>
  <c r="R774" i="2" s="1"/>
  <c r="P775" i="2"/>
  <c r="R775" i="2" s="1"/>
  <c r="P776" i="2"/>
  <c r="R776" i="2" s="1"/>
  <c r="P777" i="2"/>
  <c r="R777" i="2" s="1"/>
  <c r="P778" i="2"/>
  <c r="R778" i="2" s="1"/>
  <c r="P779" i="2"/>
  <c r="R779" i="2" s="1"/>
  <c r="P780" i="2"/>
  <c r="R780" i="2" s="1"/>
  <c r="P781" i="2"/>
  <c r="R781" i="2" s="1"/>
  <c r="P782" i="2"/>
  <c r="R782" i="2" s="1"/>
  <c r="P783" i="2"/>
  <c r="R783" i="2" s="1"/>
  <c r="P784" i="2"/>
  <c r="R784" i="2" s="1"/>
  <c r="P785" i="2"/>
  <c r="R785" i="2" s="1"/>
  <c r="P786" i="2"/>
  <c r="R786" i="2" s="1"/>
  <c r="P787" i="2"/>
  <c r="R787" i="2" s="1"/>
  <c r="P788" i="2"/>
  <c r="R788" i="2" s="1"/>
  <c r="P789" i="2"/>
  <c r="R789" i="2" s="1"/>
  <c r="P790" i="2"/>
  <c r="R790" i="2" s="1"/>
  <c r="P791" i="2"/>
  <c r="R791" i="2" s="1"/>
  <c r="P792" i="2"/>
  <c r="R792" i="2" s="1"/>
  <c r="P793" i="2"/>
  <c r="R793" i="2" s="1"/>
  <c r="P794" i="2"/>
  <c r="R794" i="2" s="1"/>
  <c r="P795" i="2"/>
  <c r="R795" i="2" s="1"/>
  <c r="P796" i="2"/>
  <c r="R796" i="2" s="1"/>
  <c r="P797" i="2"/>
  <c r="R797" i="2" s="1"/>
  <c r="P798" i="2"/>
  <c r="R798" i="2" s="1"/>
  <c r="P799" i="2"/>
  <c r="R799" i="2" s="1"/>
  <c r="P800" i="2"/>
  <c r="R800" i="2" s="1"/>
  <c r="P801" i="2"/>
  <c r="R801" i="2" s="1"/>
  <c r="P802" i="2"/>
  <c r="R802" i="2" s="1"/>
  <c r="P803" i="2"/>
  <c r="R803" i="2" s="1"/>
  <c r="P804" i="2"/>
  <c r="R804" i="2" s="1"/>
  <c r="P805" i="2"/>
  <c r="R805" i="2" s="1"/>
  <c r="P806" i="2"/>
  <c r="R806" i="2" s="1"/>
  <c r="P807" i="2"/>
  <c r="R807" i="2" s="1"/>
  <c r="P808" i="2"/>
  <c r="R808" i="2" s="1"/>
  <c r="P809" i="2"/>
  <c r="R809" i="2" s="1"/>
  <c r="P810" i="2"/>
  <c r="R810" i="2" s="1"/>
  <c r="P811" i="2"/>
  <c r="P812" i="2"/>
  <c r="R812" i="2" s="1"/>
  <c r="P813" i="2"/>
  <c r="R813" i="2" s="1"/>
  <c r="P814" i="2"/>
  <c r="P815" i="2"/>
  <c r="R815" i="2" s="1"/>
  <c r="P816" i="2"/>
  <c r="R816" i="2" s="1"/>
  <c r="P817" i="2"/>
  <c r="R817" i="2" s="1"/>
  <c r="P818" i="2"/>
  <c r="R818" i="2" s="1"/>
  <c r="P819" i="2"/>
  <c r="R819" i="2" s="1"/>
  <c r="P820" i="2"/>
  <c r="R820" i="2" s="1"/>
  <c r="P821" i="2"/>
  <c r="R821" i="2" s="1"/>
  <c r="P822" i="2"/>
  <c r="R822" i="2" s="1"/>
  <c r="P823" i="2"/>
  <c r="R823" i="2" s="1"/>
  <c r="P824" i="2"/>
  <c r="R824" i="2" s="1"/>
  <c r="P825" i="2"/>
  <c r="R825" i="2" s="1"/>
  <c r="P826" i="2"/>
  <c r="R826" i="2" s="1"/>
  <c r="P827" i="2"/>
  <c r="R827" i="2" s="1"/>
  <c r="P828" i="2"/>
  <c r="R828" i="2" s="1"/>
  <c r="P829" i="2"/>
  <c r="R829" i="2" s="1"/>
  <c r="P830" i="2"/>
  <c r="R830" i="2" s="1"/>
  <c r="P831" i="2"/>
  <c r="R831" i="2" s="1"/>
  <c r="P832" i="2"/>
  <c r="R832" i="2" s="1"/>
  <c r="P833" i="2"/>
  <c r="R833" i="2" s="1"/>
  <c r="P834" i="2"/>
  <c r="R834" i="2" s="1"/>
  <c r="P835" i="2"/>
  <c r="R835" i="2" s="1"/>
  <c r="P836" i="2"/>
  <c r="R836" i="2" s="1"/>
  <c r="P837" i="2"/>
  <c r="R837" i="2" s="1"/>
  <c r="P838" i="2"/>
  <c r="R838" i="2" s="1"/>
  <c r="P839" i="2"/>
  <c r="R839" i="2" s="1"/>
  <c r="P840" i="2"/>
  <c r="R840" i="2" s="1"/>
  <c r="P841" i="2"/>
  <c r="R841" i="2" s="1"/>
  <c r="P842" i="2"/>
  <c r="R842" i="2" s="1"/>
  <c r="P843" i="2"/>
  <c r="R843" i="2" s="1"/>
  <c r="P844" i="2"/>
  <c r="R844" i="2" s="1"/>
  <c r="P845" i="2"/>
  <c r="R845" i="2" s="1"/>
  <c r="P846" i="2"/>
  <c r="R846" i="2" s="1"/>
  <c r="P847" i="2"/>
  <c r="R847" i="2" s="1"/>
  <c r="P848" i="2"/>
  <c r="R848" i="2" s="1"/>
  <c r="P849" i="2"/>
  <c r="R849" i="2" s="1"/>
  <c r="P850" i="2"/>
  <c r="R850" i="2" s="1"/>
  <c r="P851" i="2"/>
  <c r="R851" i="2" s="1"/>
  <c r="P852" i="2"/>
  <c r="R852" i="2" s="1"/>
  <c r="P853" i="2"/>
  <c r="R853" i="2" s="1"/>
  <c r="P854" i="2"/>
  <c r="R854" i="2" s="1"/>
  <c r="P855" i="2"/>
  <c r="R855" i="2" s="1"/>
  <c r="P856" i="2"/>
  <c r="R856" i="2" s="1"/>
  <c r="P857" i="2"/>
  <c r="R857" i="2" s="1"/>
  <c r="P858" i="2"/>
  <c r="R858" i="2" s="1"/>
  <c r="P859" i="2"/>
  <c r="R859" i="2" s="1"/>
  <c r="P860" i="2"/>
  <c r="R860" i="2" s="1"/>
  <c r="P861" i="2"/>
  <c r="R861" i="2" s="1"/>
  <c r="P862" i="2"/>
  <c r="R862" i="2" s="1"/>
  <c r="P863" i="2"/>
  <c r="R863" i="2" s="1"/>
  <c r="P864" i="2"/>
  <c r="R864" i="2" s="1"/>
  <c r="P865" i="2"/>
  <c r="R865" i="2" s="1"/>
  <c r="P866" i="2"/>
  <c r="R866" i="2" s="1"/>
  <c r="P867" i="2"/>
  <c r="R867" i="2" s="1"/>
  <c r="P868" i="2"/>
  <c r="R868" i="2" s="1"/>
  <c r="P869" i="2"/>
  <c r="R869" i="2" s="1"/>
  <c r="P870" i="2"/>
  <c r="R870" i="2" s="1"/>
  <c r="P871" i="2"/>
  <c r="R871" i="2" s="1"/>
  <c r="P872" i="2"/>
  <c r="R872" i="2" s="1"/>
  <c r="P873" i="2"/>
  <c r="R873" i="2" s="1"/>
  <c r="P874" i="2"/>
  <c r="R874" i="2" s="1"/>
  <c r="P875" i="2"/>
  <c r="R875" i="2" s="1"/>
  <c r="P876" i="2"/>
  <c r="R876" i="2" s="1"/>
  <c r="P877" i="2"/>
  <c r="R877" i="2" s="1"/>
  <c r="P878" i="2"/>
  <c r="R878" i="2" s="1"/>
  <c r="P879" i="2"/>
  <c r="R879" i="2" s="1"/>
  <c r="P880" i="2"/>
  <c r="R880" i="2" s="1"/>
  <c r="P881" i="2"/>
  <c r="R881" i="2" s="1"/>
  <c r="P882" i="2"/>
  <c r="R882" i="2" s="1"/>
  <c r="P883" i="2"/>
  <c r="R883" i="2" s="1"/>
  <c r="P884" i="2"/>
  <c r="R884" i="2" s="1"/>
  <c r="P885" i="2"/>
  <c r="R885" i="2" s="1"/>
  <c r="P886" i="2"/>
  <c r="R886" i="2" s="1"/>
  <c r="P887" i="2"/>
  <c r="R887" i="2" s="1"/>
  <c r="P888" i="2"/>
  <c r="R888" i="2" s="1"/>
  <c r="P889" i="2"/>
  <c r="R889" i="2" s="1"/>
  <c r="P890" i="2"/>
  <c r="R890" i="2" s="1"/>
  <c r="P891" i="2"/>
  <c r="R891" i="2" s="1"/>
  <c r="P892" i="2"/>
  <c r="R892" i="2" s="1"/>
  <c r="P893" i="2"/>
  <c r="R893" i="2" s="1"/>
  <c r="P894" i="2"/>
  <c r="R894" i="2" s="1"/>
  <c r="P895" i="2"/>
  <c r="R895" i="2" s="1"/>
  <c r="P896" i="2"/>
  <c r="R896" i="2" s="1"/>
  <c r="P897" i="2"/>
  <c r="R897" i="2" s="1"/>
  <c r="P898" i="2"/>
  <c r="R898" i="2" s="1"/>
  <c r="P899" i="2"/>
  <c r="R899" i="2" s="1"/>
  <c r="P900" i="2"/>
  <c r="R900" i="2" s="1"/>
  <c r="P901" i="2"/>
  <c r="R901" i="2" s="1"/>
  <c r="P902" i="2"/>
  <c r="R902" i="2" s="1"/>
  <c r="P903" i="2"/>
  <c r="R903" i="2" s="1"/>
  <c r="P904" i="2"/>
  <c r="R904" i="2" s="1"/>
  <c r="P905" i="2"/>
  <c r="R905" i="2" s="1"/>
  <c r="P906" i="2"/>
  <c r="R906" i="2" s="1"/>
  <c r="P907" i="2"/>
  <c r="R907" i="2" s="1"/>
  <c r="P908" i="2"/>
  <c r="R908" i="2" s="1"/>
  <c r="P909" i="2"/>
  <c r="R909" i="2" s="1"/>
  <c r="P910" i="2"/>
  <c r="R910" i="2" s="1"/>
  <c r="P911" i="2"/>
  <c r="R911" i="2" s="1"/>
  <c r="P912" i="2"/>
  <c r="R912" i="2" s="1"/>
  <c r="P913" i="2"/>
  <c r="R913" i="2" s="1"/>
  <c r="P914" i="2"/>
  <c r="R914" i="2" s="1"/>
  <c r="P915" i="2"/>
  <c r="R915" i="2" s="1"/>
  <c r="P916" i="2"/>
  <c r="R916" i="2" s="1"/>
  <c r="P917" i="2"/>
  <c r="R917" i="2" s="1"/>
  <c r="P918" i="2"/>
  <c r="R918" i="2" s="1"/>
  <c r="P919" i="2"/>
  <c r="R919" i="2" s="1"/>
  <c r="P920" i="2"/>
  <c r="R920" i="2" s="1"/>
  <c r="P921" i="2"/>
  <c r="R921" i="2" s="1"/>
  <c r="P922" i="2"/>
  <c r="R922" i="2" s="1"/>
  <c r="P923" i="2"/>
  <c r="R923" i="2" s="1"/>
  <c r="P924" i="2"/>
  <c r="P925" i="2"/>
  <c r="R925" i="2" s="1"/>
  <c r="P926" i="2"/>
  <c r="R926" i="2" s="1"/>
  <c r="P927" i="2"/>
  <c r="P929" i="2"/>
  <c r="R929" i="2" s="1"/>
  <c r="P930" i="2"/>
  <c r="R930" i="2" s="1"/>
  <c r="P931" i="2"/>
  <c r="R931" i="2" s="1"/>
  <c r="P932" i="2"/>
  <c r="R932" i="2" s="1"/>
  <c r="P933" i="2"/>
  <c r="R933" i="2" s="1"/>
  <c r="P934" i="2"/>
  <c r="R934" i="2" s="1"/>
  <c r="P935" i="2"/>
  <c r="R935" i="2" s="1"/>
  <c r="P936" i="2"/>
  <c r="R936" i="2" s="1"/>
  <c r="P937" i="2"/>
  <c r="R937" i="2" s="1"/>
  <c r="P938" i="2"/>
  <c r="R938" i="2" s="1"/>
  <c r="P939" i="2"/>
  <c r="R939" i="2" s="1"/>
  <c r="P940" i="2"/>
  <c r="R940" i="2" s="1"/>
  <c r="P941" i="2"/>
  <c r="R941" i="2" s="1"/>
  <c r="P942" i="2"/>
  <c r="R942" i="2" s="1"/>
  <c r="P943" i="2"/>
  <c r="R943" i="2" s="1"/>
  <c r="P944" i="2"/>
  <c r="R944" i="2" s="1"/>
  <c r="P945" i="2"/>
  <c r="R945" i="2" s="1"/>
  <c r="P946" i="2"/>
  <c r="R946" i="2" s="1"/>
  <c r="P947" i="2"/>
  <c r="R947" i="2" s="1"/>
  <c r="P948" i="2"/>
  <c r="R948" i="2" s="1"/>
  <c r="P949" i="2"/>
  <c r="R949" i="2" s="1"/>
  <c r="P950" i="2"/>
  <c r="R950" i="2" s="1"/>
  <c r="P951" i="2"/>
  <c r="R951" i="2" s="1"/>
  <c r="P952" i="2"/>
  <c r="R952" i="2" s="1"/>
  <c r="P953" i="2"/>
  <c r="R953" i="2" s="1"/>
  <c r="P954" i="2"/>
  <c r="R954" i="2" s="1"/>
  <c r="P955" i="2"/>
  <c r="R955" i="2" s="1"/>
  <c r="P956" i="2"/>
  <c r="R956" i="2" s="1"/>
  <c r="P957" i="2"/>
  <c r="R957" i="2" s="1"/>
  <c r="P958" i="2"/>
  <c r="R958" i="2" s="1"/>
  <c r="P959" i="2"/>
  <c r="R959" i="2" s="1"/>
  <c r="P960" i="2"/>
  <c r="R960" i="2" s="1"/>
  <c r="P961" i="2"/>
  <c r="R961" i="2" s="1"/>
  <c r="P962" i="2"/>
  <c r="R962" i="2" s="1"/>
  <c r="P963" i="2"/>
  <c r="R963" i="2" s="1"/>
  <c r="P964" i="2"/>
  <c r="R964" i="2" s="1"/>
  <c r="P965" i="2"/>
  <c r="R965" i="2" s="1"/>
  <c r="P966" i="2"/>
  <c r="R966" i="2" s="1"/>
  <c r="P967" i="2"/>
  <c r="R967" i="2" s="1"/>
  <c r="P968" i="2"/>
  <c r="R968" i="2" s="1"/>
  <c r="P969" i="2"/>
  <c r="R969" i="2" s="1"/>
  <c r="P970" i="2"/>
  <c r="R970" i="2" s="1"/>
  <c r="P971" i="2"/>
  <c r="R971" i="2" s="1"/>
  <c r="P972" i="2"/>
  <c r="R972" i="2" s="1"/>
  <c r="P973" i="2"/>
  <c r="R973" i="2" s="1"/>
  <c r="P974" i="2"/>
  <c r="R974" i="2" s="1"/>
  <c r="P975" i="2"/>
  <c r="R975" i="2" s="1"/>
  <c r="P976" i="2"/>
  <c r="R976" i="2" s="1"/>
  <c r="P977" i="2"/>
  <c r="R977" i="2" s="1"/>
  <c r="P978" i="2"/>
  <c r="R978" i="2" s="1"/>
  <c r="P979" i="2"/>
  <c r="R979" i="2" s="1"/>
  <c r="P980" i="2"/>
  <c r="R980" i="2" s="1"/>
  <c r="P981" i="2"/>
  <c r="R981" i="2" s="1"/>
  <c r="P982" i="2"/>
  <c r="R982" i="2" s="1"/>
  <c r="P983" i="2"/>
  <c r="R983" i="2" s="1"/>
  <c r="P984" i="2"/>
  <c r="R984" i="2" s="1"/>
  <c r="P985" i="2"/>
  <c r="R985" i="2" s="1"/>
  <c r="P986" i="2"/>
  <c r="R986" i="2" s="1"/>
  <c r="P987" i="2"/>
  <c r="R987" i="2" s="1"/>
  <c r="P988" i="2"/>
  <c r="R988" i="2" s="1"/>
  <c r="P989" i="2"/>
  <c r="R989" i="2" s="1"/>
  <c r="P990" i="2"/>
  <c r="R990" i="2" s="1"/>
  <c r="P991" i="2"/>
  <c r="R991" i="2" s="1"/>
  <c r="P992" i="2"/>
  <c r="R992" i="2" s="1"/>
  <c r="P993" i="2"/>
  <c r="R993" i="2" s="1"/>
  <c r="P994" i="2"/>
  <c r="R994" i="2" s="1"/>
  <c r="P995" i="2"/>
  <c r="R995" i="2" s="1"/>
  <c r="P996" i="2"/>
  <c r="R996" i="2" s="1"/>
  <c r="P997" i="2"/>
  <c r="R997" i="2" s="1"/>
  <c r="P998" i="2"/>
  <c r="R998" i="2" s="1"/>
  <c r="P999" i="2"/>
  <c r="R999" i="2" s="1"/>
  <c r="P1000" i="2"/>
  <c r="R1000" i="2" s="1"/>
  <c r="P1001" i="2"/>
  <c r="R1001" i="2" s="1"/>
  <c r="P1002" i="2"/>
  <c r="R1002" i="2" s="1"/>
  <c r="P1003" i="2"/>
  <c r="R1003" i="2" s="1"/>
  <c r="P1004" i="2"/>
  <c r="R1004" i="2" s="1"/>
  <c r="P1005" i="2"/>
  <c r="R1005" i="2" s="1"/>
  <c r="P1006" i="2"/>
  <c r="R1006" i="2" s="1"/>
  <c r="P1007" i="2"/>
  <c r="R1007" i="2" s="1"/>
  <c r="P1008" i="2"/>
  <c r="R1008" i="2" s="1"/>
  <c r="P1009" i="2"/>
  <c r="R1009" i="2" s="1"/>
  <c r="P1010" i="2"/>
  <c r="R1010" i="2" s="1"/>
  <c r="P1011" i="2"/>
  <c r="R1011" i="2" s="1"/>
  <c r="P1012" i="2"/>
  <c r="R1012" i="2" s="1"/>
  <c r="P1013" i="2"/>
  <c r="R1013" i="2" s="1"/>
  <c r="P1014" i="2"/>
  <c r="R1014" i="2" s="1"/>
  <c r="P1015" i="2"/>
  <c r="R1015" i="2" s="1"/>
  <c r="P1016" i="2"/>
  <c r="R1016" i="2" s="1"/>
  <c r="P1017" i="2"/>
  <c r="R1017" i="2" s="1"/>
  <c r="P1018" i="2"/>
  <c r="R1018" i="2" s="1"/>
  <c r="P1019" i="2"/>
  <c r="R1019" i="2" s="1"/>
  <c r="P1020" i="2"/>
  <c r="R1020" i="2" s="1"/>
  <c r="P1021" i="2"/>
  <c r="R1021" i="2" s="1"/>
  <c r="P1022" i="2"/>
  <c r="R1022" i="2" s="1"/>
  <c r="P1023" i="2"/>
  <c r="R1023" i="2" s="1"/>
  <c r="P1024" i="2"/>
  <c r="R1024" i="2" s="1"/>
  <c r="P1025" i="2"/>
  <c r="R1025" i="2" s="1"/>
  <c r="P1026" i="2"/>
  <c r="R1026" i="2" s="1"/>
  <c r="P1027" i="2"/>
  <c r="R1027" i="2" s="1"/>
  <c r="P1028" i="2"/>
  <c r="R1028" i="2" s="1"/>
  <c r="P1029" i="2"/>
  <c r="R1029" i="2" s="1"/>
  <c r="P1030" i="2"/>
  <c r="R1030" i="2" s="1"/>
  <c r="P1031" i="2"/>
  <c r="R1031" i="2" s="1"/>
  <c r="P1032" i="2"/>
  <c r="R1032" i="2" s="1"/>
  <c r="P1033" i="2"/>
  <c r="R1033" i="2" s="1"/>
  <c r="P1034" i="2"/>
  <c r="R1034" i="2" s="1"/>
  <c r="P1035" i="2"/>
  <c r="R1035" i="2" s="1"/>
  <c r="P1036" i="2"/>
  <c r="R1036" i="2" s="1"/>
  <c r="P1037" i="2"/>
  <c r="R1037" i="2" s="1"/>
  <c r="P1038" i="2"/>
  <c r="R1038" i="2" s="1"/>
  <c r="P1039" i="2"/>
  <c r="R1039" i="2" s="1"/>
  <c r="P1040" i="2"/>
  <c r="R1040" i="2" s="1"/>
  <c r="P1041" i="2"/>
  <c r="R1041" i="2" s="1"/>
  <c r="P1042" i="2"/>
  <c r="R1042" i="2" s="1"/>
  <c r="P1043" i="2"/>
  <c r="R1043" i="2" s="1"/>
  <c r="P1044" i="2"/>
  <c r="R1044" i="2" s="1"/>
  <c r="P1045" i="2"/>
  <c r="R1045" i="2" s="1"/>
  <c r="P1046" i="2"/>
  <c r="R1046" i="2" s="1"/>
  <c r="P1047" i="2"/>
  <c r="R1047" i="2" s="1"/>
  <c r="P1048" i="2"/>
  <c r="R1048" i="2" s="1"/>
  <c r="P1049" i="2"/>
  <c r="R1049" i="2" s="1"/>
  <c r="P1050" i="2"/>
  <c r="R1050" i="2" s="1"/>
  <c r="P1051" i="2"/>
  <c r="R1051" i="2" s="1"/>
  <c r="P1052" i="2"/>
  <c r="R1052" i="2" s="1"/>
  <c r="P1053" i="2"/>
  <c r="R1053" i="2" s="1"/>
  <c r="P1054" i="2"/>
  <c r="R1054" i="2" s="1"/>
  <c r="P1055" i="2"/>
  <c r="R1055" i="2" s="1"/>
  <c r="P1056" i="2"/>
  <c r="R1056" i="2" s="1"/>
  <c r="P1057" i="2"/>
  <c r="R1057" i="2" s="1"/>
  <c r="P1058" i="2"/>
  <c r="R1058" i="2" s="1"/>
  <c r="P1059" i="2"/>
  <c r="R1059" i="2" s="1"/>
  <c r="P1060" i="2"/>
  <c r="R1060" i="2" s="1"/>
  <c r="P1061" i="2"/>
  <c r="R1061" i="2" s="1"/>
  <c r="P1062" i="2"/>
  <c r="R1062" i="2" s="1"/>
  <c r="P1063" i="2"/>
  <c r="R1063" i="2" s="1"/>
  <c r="P1064" i="2"/>
  <c r="R1064" i="2" s="1"/>
  <c r="P1065" i="2"/>
  <c r="R1065" i="2" s="1"/>
  <c r="P1066" i="2"/>
  <c r="R1066" i="2" s="1"/>
  <c r="P1067" i="2"/>
  <c r="R1067" i="2" s="1"/>
  <c r="P1068" i="2"/>
  <c r="R1068" i="2" s="1"/>
  <c r="P1069" i="2"/>
  <c r="R1069" i="2" s="1"/>
  <c r="P1070" i="2"/>
  <c r="R1070" i="2" s="1"/>
  <c r="P1071" i="2"/>
  <c r="R1071" i="2" s="1"/>
  <c r="P1072" i="2"/>
  <c r="R1072" i="2" s="1"/>
  <c r="P1073" i="2"/>
  <c r="R1073" i="2" s="1"/>
  <c r="P1074" i="2"/>
  <c r="R1074" i="2" s="1"/>
  <c r="P1075" i="2"/>
  <c r="R1075" i="2" s="1"/>
  <c r="P1076" i="2"/>
  <c r="R1076" i="2" s="1"/>
  <c r="P1077" i="2"/>
  <c r="R1077" i="2" s="1"/>
  <c r="P1078" i="2"/>
  <c r="R1078" i="2" s="1"/>
  <c r="P1079" i="2"/>
  <c r="R1079" i="2" s="1"/>
  <c r="P1080" i="2"/>
  <c r="R1080" i="2" s="1"/>
  <c r="P1081" i="2"/>
  <c r="R1081" i="2" s="1"/>
  <c r="P1082" i="2"/>
  <c r="R1082" i="2" s="1"/>
  <c r="P1083" i="2"/>
  <c r="R1083" i="2" s="1"/>
  <c r="P1084" i="2"/>
  <c r="R1084" i="2" s="1"/>
  <c r="P1085" i="2"/>
  <c r="R1085" i="2" s="1"/>
  <c r="P1086" i="2"/>
  <c r="R1086" i="2" s="1"/>
  <c r="P1087" i="2"/>
  <c r="R1087" i="2" s="1"/>
  <c r="P1088" i="2"/>
  <c r="R1088" i="2" s="1"/>
  <c r="P1089" i="2"/>
  <c r="R1089" i="2" s="1"/>
  <c r="P1090" i="2"/>
  <c r="R1090" i="2" s="1"/>
  <c r="P1091" i="2"/>
  <c r="R1091" i="2" s="1"/>
  <c r="P1092" i="2"/>
  <c r="R1092" i="2" s="1"/>
  <c r="P1093" i="2"/>
  <c r="R1093" i="2" s="1"/>
  <c r="P1094" i="2"/>
  <c r="R1094" i="2" s="1"/>
  <c r="P1095" i="2"/>
  <c r="R1095" i="2" s="1"/>
  <c r="P1096" i="2"/>
  <c r="R1096" i="2" s="1"/>
  <c r="P1097" i="2"/>
  <c r="R1097" i="2" s="1"/>
  <c r="P1098" i="2"/>
  <c r="R1098" i="2" s="1"/>
  <c r="P1099" i="2"/>
  <c r="R1099" i="2" s="1"/>
  <c r="P1100" i="2"/>
  <c r="R1100" i="2" s="1"/>
  <c r="P1101" i="2"/>
  <c r="R1101" i="2" s="1"/>
  <c r="P1102" i="2"/>
  <c r="R1102" i="2" s="1"/>
  <c r="P1103" i="2"/>
  <c r="R1103" i="2" s="1"/>
  <c r="P1104" i="2"/>
  <c r="R1104" i="2" s="1"/>
  <c r="P1105" i="2"/>
  <c r="R1105" i="2" s="1"/>
  <c r="P1106" i="2"/>
  <c r="R1106" i="2" s="1"/>
  <c r="P1107" i="2"/>
  <c r="R1107" i="2" s="1"/>
  <c r="P1108" i="2"/>
  <c r="R1108" i="2" s="1"/>
  <c r="P1109" i="2"/>
  <c r="R1109" i="2" s="1"/>
  <c r="P1110" i="2"/>
  <c r="R1110" i="2" s="1"/>
  <c r="P1111" i="2"/>
  <c r="R1111" i="2" s="1"/>
  <c r="P1112" i="2"/>
  <c r="R1112" i="2" s="1"/>
  <c r="P1113" i="2"/>
  <c r="R1113" i="2" s="1"/>
  <c r="P1114" i="2"/>
  <c r="R1114" i="2" s="1"/>
  <c r="P1115" i="2"/>
  <c r="R1115" i="2" s="1"/>
  <c r="P1116" i="2"/>
  <c r="R1116" i="2" s="1"/>
  <c r="P1117" i="2"/>
  <c r="R1117" i="2" s="1"/>
  <c r="P1118" i="2"/>
  <c r="R1118" i="2" s="1"/>
  <c r="P1119" i="2"/>
  <c r="R1119" i="2" s="1"/>
  <c r="P1120" i="2"/>
  <c r="R1120" i="2" s="1"/>
  <c r="P1121" i="2"/>
  <c r="R1121" i="2" s="1"/>
  <c r="P1122" i="2"/>
  <c r="R1122" i="2" s="1"/>
  <c r="P1123" i="2"/>
  <c r="R1123" i="2" s="1"/>
  <c r="P1124" i="2"/>
  <c r="R1124" i="2" s="1"/>
  <c r="P1125" i="2"/>
  <c r="R1125" i="2" s="1"/>
  <c r="P1126" i="2"/>
  <c r="R1126" i="2" s="1"/>
  <c r="P1127" i="2"/>
  <c r="R1127" i="2" s="1"/>
  <c r="P1128" i="2"/>
  <c r="R1128" i="2" s="1"/>
  <c r="P1129" i="2"/>
  <c r="R1129" i="2" s="1"/>
  <c r="P1130" i="2"/>
  <c r="R1130" i="2" s="1"/>
  <c r="P1131" i="2"/>
  <c r="R1131" i="2" s="1"/>
  <c r="P1132" i="2"/>
  <c r="R1132" i="2" s="1"/>
  <c r="P1133" i="2"/>
  <c r="R1133" i="2" s="1"/>
  <c r="P1134" i="2"/>
  <c r="R1134" i="2" s="1"/>
  <c r="P1135" i="2"/>
  <c r="R1135" i="2" s="1"/>
  <c r="P1136" i="2"/>
  <c r="R1136" i="2" s="1"/>
  <c r="P1137" i="2"/>
  <c r="R1137" i="2" s="1"/>
  <c r="P1138" i="2"/>
  <c r="R1138" i="2" s="1"/>
  <c r="P1140" i="2"/>
  <c r="R1140" i="2" s="1"/>
  <c r="P1141" i="2"/>
  <c r="R1141" i="2" s="1"/>
  <c r="P1143" i="2"/>
  <c r="R1143" i="2" s="1"/>
  <c r="P1144" i="2"/>
  <c r="R1144" i="2" s="1"/>
  <c r="P1145" i="2"/>
  <c r="R1145" i="2" s="1"/>
  <c r="P1146" i="2"/>
  <c r="R1146" i="2" s="1"/>
  <c r="P1147" i="2"/>
  <c r="O251" i="2"/>
  <c r="O252" i="2"/>
  <c r="O253" i="2"/>
  <c r="O254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3" i="2"/>
  <c r="O626" i="2"/>
  <c r="O628" i="2"/>
  <c r="O629" i="2"/>
  <c r="O630" i="2"/>
  <c r="O631" i="2"/>
  <c r="O632" i="2"/>
  <c r="O633" i="2"/>
  <c r="O634" i="2"/>
  <c r="O635" i="2"/>
  <c r="O637" i="2"/>
  <c r="O638" i="2"/>
  <c r="O643" i="2"/>
  <c r="O644" i="2"/>
  <c r="O645" i="2"/>
  <c r="O646" i="2"/>
  <c r="O647" i="2"/>
  <c r="O648" i="2"/>
  <c r="O649" i="2"/>
  <c r="O650" i="2"/>
  <c r="O651" i="2"/>
  <c r="O653" i="2"/>
  <c r="O654" i="2"/>
  <c r="O655" i="2"/>
  <c r="O656" i="2"/>
  <c r="O657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80" i="2"/>
  <c r="O681" i="2"/>
  <c r="O682" i="2"/>
  <c r="O683" i="2"/>
  <c r="O684" i="2"/>
  <c r="O686" i="2"/>
  <c r="O687" i="2"/>
  <c r="O688" i="2"/>
  <c r="O689" i="2"/>
  <c r="O690" i="2"/>
  <c r="O691" i="2"/>
  <c r="O692" i="2"/>
  <c r="O694" i="2"/>
  <c r="O695" i="2"/>
  <c r="O696" i="2"/>
  <c r="O697" i="2"/>
  <c r="O698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4" i="2"/>
  <c r="O725" i="2"/>
  <c r="O727" i="2"/>
  <c r="O728" i="2"/>
  <c r="O729" i="2"/>
  <c r="O730" i="2"/>
  <c r="O731" i="2"/>
  <c r="O732" i="2"/>
  <c r="O733" i="2"/>
  <c r="O734" i="2"/>
  <c r="O736" i="2"/>
  <c r="O737" i="2"/>
  <c r="O738" i="2"/>
  <c r="O739" i="2"/>
  <c r="O740" i="2"/>
  <c r="O741" i="2"/>
  <c r="O742" i="2"/>
  <c r="O743" i="2"/>
  <c r="O744" i="2"/>
  <c r="O745" i="2"/>
  <c r="O748" i="2"/>
  <c r="O750" i="2"/>
  <c r="O751" i="2"/>
  <c r="O753" i="2"/>
  <c r="O754" i="2"/>
  <c r="O755" i="2"/>
  <c r="O756" i="2"/>
  <c r="O757" i="2"/>
  <c r="O758" i="2"/>
  <c r="O759" i="2"/>
  <c r="O761" i="2"/>
  <c r="O762" i="2"/>
  <c r="O764" i="2"/>
  <c r="O765" i="2"/>
  <c r="O766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90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1000" i="2"/>
  <c r="O1003" i="2"/>
  <c r="O1004" i="2"/>
  <c r="O1006" i="2"/>
  <c r="O1007" i="2"/>
  <c r="O1008" i="2"/>
  <c r="O1009" i="2"/>
  <c r="O1010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8" i="2"/>
  <c r="O1061" i="2"/>
  <c r="O1062" i="2"/>
  <c r="O1063" i="2"/>
  <c r="O1064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9" i="2"/>
  <c r="O1080" i="2"/>
  <c r="O1081" i="2"/>
  <c r="O1082" i="2"/>
  <c r="O1084" i="2"/>
  <c r="O1085" i="2"/>
  <c r="O1086" i="2"/>
  <c r="O1087" i="2"/>
  <c r="O1088" i="2"/>
  <c r="O1090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5" i="2"/>
  <c r="O1106" i="2"/>
  <c r="O1107" i="2"/>
  <c r="O1108" i="2"/>
  <c r="O1109" i="2"/>
  <c r="O1110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4" i="2"/>
  <c r="O1135" i="2"/>
  <c r="O1136" i="2"/>
  <c r="O1137" i="2"/>
  <c r="O1138" i="2"/>
  <c r="O1140" i="2"/>
  <c r="O1141" i="2"/>
  <c r="O1143" i="2"/>
  <c r="O1144" i="2"/>
  <c r="O1145" i="2"/>
  <c r="O1146" i="2"/>
  <c r="N511" i="2"/>
  <c r="N1146" i="2"/>
  <c r="M511" i="2"/>
  <c r="L249" i="2"/>
  <c r="L250" i="2"/>
  <c r="L251" i="2"/>
  <c r="L252" i="2"/>
  <c r="L253" i="2"/>
  <c r="N253" i="2" s="1"/>
  <c r="L254" i="2"/>
  <c r="L255" i="2"/>
  <c r="M255" i="2" s="1"/>
  <c r="L256" i="2"/>
  <c r="M256" i="2" s="1"/>
  <c r="L257" i="2"/>
  <c r="N257" i="2" s="1"/>
  <c r="L258" i="2"/>
  <c r="L259" i="2"/>
  <c r="L260" i="2"/>
  <c r="L261" i="2"/>
  <c r="N261" i="2" s="1"/>
  <c r="L262" i="2"/>
  <c r="L263" i="2"/>
  <c r="L264" i="2"/>
  <c r="L265" i="2"/>
  <c r="N265" i="2" s="1"/>
  <c r="L266" i="2"/>
  <c r="L267" i="2"/>
  <c r="L268" i="2"/>
  <c r="L269" i="2"/>
  <c r="N269" i="2" s="1"/>
  <c r="L270" i="2"/>
  <c r="L271" i="2"/>
  <c r="L272" i="2"/>
  <c r="L273" i="2"/>
  <c r="N273" i="2" s="1"/>
  <c r="L274" i="2"/>
  <c r="L275" i="2"/>
  <c r="L276" i="2"/>
  <c r="L277" i="2"/>
  <c r="N277" i="2" s="1"/>
  <c r="L278" i="2"/>
  <c r="L279" i="2"/>
  <c r="L280" i="2"/>
  <c r="L281" i="2"/>
  <c r="N281" i="2" s="1"/>
  <c r="L282" i="2"/>
  <c r="L283" i="2"/>
  <c r="L284" i="2"/>
  <c r="L285" i="2"/>
  <c r="N285" i="2" s="1"/>
  <c r="L286" i="2"/>
  <c r="L287" i="2"/>
  <c r="L288" i="2"/>
  <c r="L289" i="2"/>
  <c r="N289" i="2" s="1"/>
  <c r="L290" i="2"/>
  <c r="M290" i="2" s="1"/>
  <c r="O290" i="2" s="1"/>
  <c r="N290" i="2" s="1"/>
  <c r="L291" i="2"/>
  <c r="M291" i="2" s="1"/>
  <c r="L292" i="2"/>
  <c r="M292" i="2" s="1"/>
  <c r="L293" i="2"/>
  <c r="M293" i="2" s="1"/>
  <c r="L294" i="2"/>
  <c r="M294" i="2" s="1"/>
  <c r="O294" i="2" s="1"/>
  <c r="N294" i="2" s="1"/>
  <c r="L295" i="2"/>
  <c r="M295" i="2" s="1"/>
  <c r="L296" i="2"/>
  <c r="M296" i="2" s="1"/>
  <c r="L297" i="2"/>
  <c r="M297" i="2" s="1"/>
  <c r="L298" i="2"/>
  <c r="M298" i="2" s="1"/>
  <c r="O298" i="2" s="1"/>
  <c r="N298" i="2" s="1"/>
  <c r="L299" i="2"/>
  <c r="M299" i="2" s="1"/>
  <c r="L300" i="2"/>
  <c r="M300" i="2" s="1"/>
  <c r="L301" i="2"/>
  <c r="M301" i="2" s="1"/>
  <c r="L302" i="2"/>
  <c r="M302" i="2" s="1"/>
  <c r="O302" i="2" s="1"/>
  <c r="N302" i="2" s="1"/>
  <c r="L303" i="2"/>
  <c r="M303" i="2" s="1"/>
  <c r="L304" i="2"/>
  <c r="M304" i="2" s="1"/>
  <c r="L305" i="2"/>
  <c r="M305" i="2" s="1"/>
  <c r="L306" i="2"/>
  <c r="M306" i="2" s="1"/>
  <c r="O306" i="2" s="1"/>
  <c r="N306" i="2" s="1"/>
  <c r="L307" i="2"/>
  <c r="L308" i="2"/>
  <c r="L309" i="2"/>
  <c r="N309" i="2" s="1"/>
  <c r="L310" i="2"/>
  <c r="L311" i="2"/>
  <c r="L312" i="2"/>
  <c r="L313" i="2"/>
  <c r="N313" i="2" s="1"/>
  <c r="L314" i="2"/>
  <c r="L315" i="2"/>
  <c r="L316" i="2"/>
  <c r="L317" i="2"/>
  <c r="N317" i="2" s="1"/>
  <c r="L318" i="2"/>
  <c r="L319" i="2"/>
  <c r="L320" i="2"/>
  <c r="L321" i="2"/>
  <c r="N321" i="2" s="1"/>
  <c r="L322" i="2"/>
  <c r="L323" i="2"/>
  <c r="L324" i="2"/>
  <c r="L325" i="2"/>
  <c r="N325" i="2" s="1"/>
  <c r="L326" i="2"/>
  <c r="L327" i="2"/>
  <c r="L328" i="2"/>
  <c r="L329" i="2"/>
  <c r="N329" i="2" s="1"/>
  <c r="L330" i="2"/>
  <c r="L331" i="2"/>
  <c r="L332" i="2"/>
  <c r="L333" i="2"/>
  <c r="N333" i="2" s="1"/>
  <c r="L334" i="2"/>
  <c r="L335" i="2"/>
  <c r="L336" i="2"/>
  <c r="L337" i="2"/>
  <c r="N337" i="2" s="1"/>
  <c r="L338" i="2"/>
  <c r="L339" i="2"/>
  <c r="L340" i="2"/>
  <c r="L341" i="2"/>
  <c r="N341" i="2" s="1"/>
  <c r="L342" i="2"/>
  <c r="L343" i="2"/>
  <c r="L344" i="2"/>
  <c r="L345" i="2"/>
  <c r="N345" i="2" s="1"/>
  <c r="L346" i="2"/>
  <c r="L347" i="2"/>
  <c r="L348" i="2"/>
  <c r="L349" i="2"/>
  <c r="N349" i="2" s="1"/>
  <c r="L350" i="2"/>
  <c r="L351" i="2"/>
  <c r="L352" i="2"/>
  <c r="L353" i="2"/>
  <c r="N353" i="2" s="1"/>
  <c r="L354" i="2"/>
  <c r="L355" i="2"/>
  <c r="L356" i="2"/>
  <c r="L357" i="2"/>
  <c r="N357" i="2" s="1"/>
  <c r="L358" i="2"/>
  <c r="L359" i="2"/>
  <c r="L360" i="2"/>
  <c r="L361" i="2"/>
  <c r="N361" i="2" s="1"/>
  <c r="L362" i="2"/>
  <c r="L363" i="2"/>
  <c r="L364" i="2"/>
  <c r="L365" i="2"/>
  <c r="N365" i="2" s="1"/>
  <c r="L366" i="2"/>
  <c r="L367" i="2"/>
  <c r="L368" i="2"/>
  <c r="L369" i="2"/>
  <c r="N369" i="2" s="1"/>
  <c r="L370" i="2"/>
  <c r="L371" i="2"/>
  <c r="L372" i="2"/>
  <c r="L373" i="2"/>
  <c r="N373" i="2" s="1"/>
  <c r="L374" i="2"/>
  <c r="L375" i="2"/>
  <c r="L376" i="2"/>
  <c r="L377" i="2"/>
  <c r="N377" i="2" s="1"/>
  <c r="L378" i="2"/>
  <c r="L379" i="2"/>
  <c r="L380" i="2"/>
  <c r="L381" i="2"/>
  <c r="N381" i="2" s="1"/>
  <c r="L382" i="2"/>
  <c r="L383" i="2"/>
  <c r="L384" i="2"/>
  <c r="L385" i="2"/>
  <c r="N385" i="2" s="1"/>
  <c r="L386" i="2"/>
  <c r="L387" i="2"/>
  <c r="L388" i="2"/>
  <c r="L389" i="2"/>
  <c r="N389" i="2" s="1"/>
  <c r="L390" i="2"/>
  <c r="L391" i="2"/>
  <c r="L392" i="2"/>
  <c r="L393" i="2"/>
  <c r="N393" i="2" s="1"/>
  <c r="L394" i="2"/>
  <c r="L395" i="2"/>
  <c r="L396" i="2"/>
  <c r="L397" i="2"/>
  <c r="N397" i="2" s="1"/>
  <c r="L398" i="2"/>
  <c r="L399" i="2"/>
  <c r="L400" i="2"/>
  <c r="L401" i="2"/>
  <c r="N401" i="2" s="1"/>
  <c r="L402" i="2"/>
  <c r="L403" i="2"/>
  <c r="L404" i="2"/>
  <c r="L405" i="2"/>
  <c r="N405" i="2" s="1"/>
  <c r="L406" i="2"/>
  <c r="L407" i="2"/>
  <c r="L408" i="2"/>
  <c r="L409" i="2"/>
  <c r="N409" i="2" s="1"/>
  <c r="L410" i="2"/>
  <c r="L411" i="2"/>
  <c r="L412" i="2"/>
  <c r="L413" i="2"/>
  <c r="N413" i="2" s="1"/>
  <c r="L414" i="2"/>
  <c r="L415" i="2"/>
  <c r="L416" i="2"/>
  <c r="L417" i="2"/>
  <c r="N417" i="2" s="1"/>
  <c r="L418" i="2"/>
  <c r="L419" i="2"/>
  <c r="L420" i="2"/>
  <c r="L421" i="2"/>
  <c r="N421" i="2" s="1"/>
  <c r="L422" i="2"/>
  <c r="L423" i="2"/>
  <c r="L424" i="2"/>
  <c r="L425" i="2"/>
  <c r="N425" i="2" s="1"/>
  <c r="L426" i="2"/>
  <c r="L427" i="2"/>
  <c r="L428" i="2"/>
  <c r="L429" i="2"/>
  <c r="N429" i="2" s="1"/>
  <c r="L430" i="2"/>
  <c r="L431" i="2"/>
  <c r="L432" i="2"/>
  <c r="L433" i="2"/>
  <c r="N433" i="2" s="1"/>
  <c r="L434" i="2"/>
  <c r="L435" i="2"/>
  <c r="L436" i="2"/>
  <c r="L437" i="2"/>
  <c r="N437" i="2" s="1"/>
  <c r="L438" i="2"/>
  <c r="L439" i="2"/>
  <c r="L440" i="2"/>
  <c r="L441" i="2"/>
  <c r="N441" i="2" s="1"/>
  <c r="L442" i="2"/>
  <c r="L443" i="2"/>
  <c r="L444" i="2"/>
  <c r="L445" i="2"/>
  <c r="N445" i="2" s="1"/>
  <c r="L446" i="2"/>
  <c r="L447" i="2"/>
  <c r="L448" i="2"/>
  <c r="L449" i="2"/>
  <c r="N449" i="2" s="1"/>
  <c r="L450" i="2"/>
  <c r="L451" i="2"/>
  <c r="L452" i="2"/>
  <c r="L453" i="2"/>
  <c r="N453" i="2" s="1"/>
  <c r="L454" i="2"/>
  <c r="L455" i="2"/>
  <c r="L456" i="2"/>
  <c r="L457" i="2"/>
  <c r="N457" i="2" s="1"/>
  <c r="L458" i="2"/>
  <c r="L459" i="2"/>
  <c r="L460" i="2"/>
  <c r="L461" i="2"/>
  <c r="N461" i="2" s="1"/>
  <c r="L462" i="2"/>
  <c r="L463" i="2"/>
  <c r="L464" i="2"/>
  <c r="L465" i="2"/>
  <c r="N465" i="2" s="1"/>
  <c r="L466" i="2"/>
  <c r="L467" i="2"/>
  <c r="L468" i="2"/>
  <c r="L469" i="2"/>
  <c r="N469" i="2" s="1"/>
  <c r="L470" i="2"/>
  <c r="L471" i="2"/>
  <c r="L472" i="2"/>
  <c r="L473" i="2"/>
  <c r="N473" i="2" s="1"/>
  <c r="L474" i="2"/>
  <c r="L475" i="2"/>
  <c r="L476" i="2"/>
  <c r="L477" i="2"/>
  <c r="N477" i="2" s="1"/>
  <c r="L478" i="2"/>
  <c r="L479" i="2"/>
  <c r="L480" i="2"/>
  <c r="L481" i="2"/>
  <c r="N481" i="2" s="1"/>
  <c r="L482" i="2"/>
  <c r="L483" i="2"/>
  <c r="L484" i="2"/>
  <c r="L485" i="2"/>
  <c r="N485" i="2" s="1"/>
  <c r="L486" i="2"/>
  <c r="L487" i="2"/>
  <c r="L488" i="2"/>
  <c r="L489" i="2"/>
  <c r="N489" i="2" s="1"/>
  <c r="L490" i="2"/>
  <c r="L491" i="2"/>
  <c r="L492" i="2"/>
  <c r="L493" i="2"/>
  <c r="N493" i="2" s="1"/>
  <c r="L494" i="2"/>
  <c r="L495" i="2"/>
  <c r="L496" i="2"/>
  <c r="L497" i="2"/>
  <c r="N497" i="2" s="1"/>
  <c r="L498" i="2"/>
  <c r="L499" i="2"/>
  <c r="L500" i="2"/>
  <c r="L501" i="2"/>
  <c r="N501" i="2" s="1"/>
  <c r="L502" i="2"/>
  <c r="L503" i="2"/>
  <c r="L504" i="2"/>
  <c r="L505" i="2"/>
  <c r="N505" i="2" s="1"/>
  <c r="L506" i="2"/>
  <c r="L507" i="2"/>
  <c r="L508" i="2"/>
  <c r="L509" i="2"/>
  <c r="N509" i="2" s="1"/>
  <c r="L510" i="2"/>
  <c r="L541" i="2"/>
  <c r="N541" i="2" s="1"/>
  <c r="L542" i="2"/>
  <c r="L543" i="2"/>
  <c r="L544" i="2"/>
  <c r="L545" i="2"/>
  <c r="N545" i="2" s="1"/>
  <c r="L546" i="2"/>
  <c r="L547" i="2"/>
  <c r="L548" i="2"/>
  <c r="L549" i="2"/>
  <c r="N549" i="2" s="1"/>
  <c r="L550" i="2"/>
  <c r="L551" i="2"/>
  <c r="L552" i="2"/>
  <c r="L553" i="2"/>
  <c r="N553" i="2" s="1"/>
  <c r="L554" i="2"/>
  <c r="L555" i="2"/>
  <c r="L556" i="2"/>
  <c r="L557" i="2"/>
  <c r="N557" i="2" s="1"/>
  <c r="L558" i="2"/>
  <c r="L559" i="2"/>
  <c r="L560" i="2"/>
  <c r="L561" i="2"/>
  <c r="N561" i="2" s="1"/>
  <c r="L562" i="2"/>
  <c r="L563" i="2"/>
  <c r="L564" i="2"/>
  <c r="L565" i="2"/>
  <c r="N565" i="2" s="1"/>
  <c r="L566" i="2"/>
  <c r="L567" i="2"/>
  <c r="L568" i="2"/>
  <c r="L569" i="2"/>
  <c r="N569" i="2" s="1"/>
  <c r="L570" i="2"/>
  <c r="L571" i="2"/>
  <c r="L572" i="2"/>
  <c r="L573" i="2"/>
  <c r="N573" i="2" s="1"/>
  <c r="L574" i="2"/>
  <c r="L575" i="2"/>
  <c r="L576" i="2"/>
  <c r="L577" i="2"/>
  <c r="N577" i="2" s="1"/>
  <c r="L578" i="2"/>
  <c r="L579" i="2"/>
  <c r="L580" i="2"/>
  <c r="L581" i="2"/>
  <c r="N581" i="2" s="1"/>
  <c r="L582" i="2"/>
  <c r="L583" i="2"/>
  <c r="L584" i="2"/>
  <c r="L585" i="2"/>
  <c r="N585" i="2" s="1"/>
  <c r="L586" i="2"/>
  <c r="L587" i="2"/>
  <c r="L588" i="2"/>
  <c r="L589" i="2"/>
  <c r="N589" i="2" s="1"/>
  <c r="L590" i="2"/>
  <c r="L591" i="2"/>
  <c r="L592" i="2"/>
  <c r="L593" i="2"/>
  <c r="N593" i="2" s="1"/>
  <c r="L594" i="2"/>
  <c r="L595" i="2"/>
  <c r="L596" i="2"/>
  <c r="L597" i="2"/>
  <c r="N597" i="2" s="1"/>
  <c r="L598" i="2"/>
  <c r="L599" i="2"/>
  <c r="L600" i="2"/>
  <c r="L601" i="2"/>
  <c r="N601" i="2" s="1"/>
  <c r="L602" i="2"/>
  <c r="L603" i="2"/>
  <c r="L604" i="2"/>
  <c r="L605" i="2"/>
  <c r="N605" i="2" s="1"/>
  <c r="L606" i="2"/>
  <c r="L607" i="2"/>
  <c r="L608" i="2"/>
  <c r="L609" i="2"/>
  <c r="N609" i="2" s="1"/>
  <c r="L610" i="2"/>
  <c r="L611" i="2"/>
  <c r="L612" i="2"/>
  <c r="L613" i="2"/>
  <c r="N613" i="2" s="1"/>
  <c r="L614" i="2"/>
  <c r="L615" i="2"/>
  <c r="L616" i="2"/>
  <c r="L617" i="2"/>
  <c r="N617" i="2" s="1"/>
  <c r="L618" i="2"/>
  <c r="L619" i="2"/>
  <c r="L620" i="2"/>
  <c r="L621" i="2"/>
  <c r="N621" i="2" s="1"/>
  <c r="L622" i="2"/>
  <c r="M622" i="2" s="1"/>
  <c r="O622" i="2" s="1"/>
  <c r="N622" i="2" s="1"/>
  <c r="L623" i="2"/>
  <c r="L624" i="2"/>
  <c r="M624" i="2" s="1"/>
  <c r="L625" i="2"/>
  <c r="M625" i="2" s="1"/>
  <c r="L626" i="2"/>
  <c r="L627" i="2"/>
  <c r="M627" i="2" s="1"/>
  <c r="L628" i="2"/>
  <c r="L629" i="2"/>
  <c r="N629" i="2" s="1"/>
  <c r="L630" i="2"/>
  <c r="L631" i="2"/>
  <c r="L632" i="2"/>
  <c r="L633" i="2"/>
  <c r="N633" i="2" s="1"/>
  <c r="L634" i="2"/>
  <c r="L635" i="2"/>
  <c r="L636" i="2"/>
  <c r="M636" i="2" s="1"/>
  <c r="L637" i="2"/>
  <c r="N637" i="2" s="1"/>
  <c r="L638" i="2"/>
  <c r="L639" i="2"/>
  <c r="M639" i="2" s="1"/>
  <c r="L640" i="2"/>
  <c r="M640" i="2" s="1"/>
  <c r="L641" i="2"/>
  <c r="M641" i="2" s="1"/>
  <c r="L642" i="2"/>
  <c r="M642" i="2" s="1"/>
  <c r="O642" i="2" s="1"/>
  <c r="N642" i="2" s="1"/>
  <c r="L643" i="2"/>
  <c r="L644" i="2"/>
  <c r="L645" i="2"/>
  <c r="N645" i="2" s="1"/>
  <c r="L646" i="2"/>
  <c r="L647" i="2"/>
  <c r="L648" i="2"/>
  <c r="L649" i="2"/>
  <c r="N649" i="2" s="1"/>
  <c r="L650" i="2"/>
  <c r="L651" i="2"/>
  <c r="L652" i="2"/>
  <c r="M652" i="2" s="1"/>
  <c r="L653" i="2"/>
  <c r="N653" i="2" s="1"/>
  <c r="L654" i="2"/>
  <c r="N654" i="2" s="1"/>
  <c r="L655" i="2"/>
  <c r="N655" i="2" s="1"/>
  <c r="L656" i="2"/>
  <c r="N656" i="2" s="1"/>
  <c r="L657" i="2"/>
  <c r="N657" i="2" s="1"/>
  <c r="L658" i="2"/>
  <c r="M658" i="2" s="1"/>
  <c r="L659" i="2"/>
  <c r="N659" i="2" s="1"/>
  <c r="L660" i="2"/>
  <c r="N660" i="2" s="1"/>
  <c r="L661" i="2"/>
  <c r="N661" i="2" s="1"/>
  <c r="L662" i="2"/>
  <c r="M662" i="2" s="1"/>
  <c r="L663" i="2"/>
  <c r="N663" i="2" s="1"/>
  <c r="L664" i="2"/>
  <c r="N664" i="2" s="1"/>
  <c r="L665" i="2"/>
  <c r="N665" i="2" s="1"/>
  <c r="L666" i="2"/>
  <c r="M666" i="2" s="1"/>
  <c r="L667" i="2"/>
  <c r="N667" i="2" s="1"/>
  <c r="L668" i="2"/>
  <c r="N668" i="2" s="1"/>
  <c r="L669" i="2"/>
  <c r="N669" i="2" s="1"/>
  <c r="L670" i="2"/>
  <c r="M670" i="2" s="1"/>
  <c r="L671" i="2"/>
  <c r="N671" i="2" s="1"/>
  <c r="L672" i="2"/>
  <c r="N672" i="2" s="1"/>
  <c r="L673" i="2"/>
  <c r="N673" i="2" s="1"/>
  <c r="L674" i="2"/>
  <c r="M674" i="2" s="1"/>
  <c r="L675" i="2"/>
  <c r="N675" i="2" s="1"/>
  <c r="L676" i="2"/>
  <c r="N676" i="2" s="1"/>
  <c r="L677" i="2"/>
  <c r="N677" i="2" s="1"/>
  <c r="L678" i="2"/>
  <c r="M678" i="2" s="1"/>
  <c r="L679" i="2"/>
  <c r="M679" i="2" s="1"/>
  <c r="L680" i="2"/>
  <c r="N680" i="2" s="1"/>
  <c r="L681" i="2"/>
  <c r="N681" i="2" s="1"/>
  <c r="L682" i="2"/>
  <c r="M682" i="2" s="1"/>
  <c r="L683" i="2"/>
  <c r="M683" i="2" s="1"/>
  <c r="L684" i="2"/>
  <c r="N684" i="2" s="1"/>
  <c r="L685" i="2"/>
  <c r="L686" i="2"/>
  <c r="M686" i="2" s="1"/>
  <c r="L687" i="2"/>
  <c r="M687" i="2" s="1"/>
  <c r="L688" i="2"/>
  <c r="M688" i="2" s="1"/>
  <c r="L689" i="2"/>
  <c r="N689" i="2" s="1"/>
  <c r="L690" i="2"/>
  <c r="M690" i="2" s="1"/>
  <c r="L691" i="2"/>
  <c r="M691" i="2" s="1"/>
  <c r="L692" i="2"/>
  <c r="M692" i="2" s="1"/>
  <c r="L693" i="2"/>
  <c r="M693" i="2" s="1"/>
  <c r="L694" i="2"/>
  <c r="N694" i="2" s="1"/>
  <c r="L695" i="2"/>
  <c r="N695" i="2" s="1"/>
  <c r="L696" i="2"/>
  <c r="N696" i="2" s="1"/>
  <c r="L697" i="2"/>
  <c r="N697" i="2" s="1"/>
  <c r="L698" i="2"/>
  <c r="N698" i="2" s="1"/>
  <c r="L699" i="2"/>
  <c r="L700" i="2"/>
  <c r="M700" i="2" s="1"/>
  <c r="L701" i="2"/>
  <c r="N701" i="2" s="1"/>
  <c r="L702" i="2"/>
  <c r="M702" i="2" s="1"/>
  <c r="L703" i="2"/>
  <c r="M703" i="2" s="1"/>
  <c r="L704" i="2"/>
  <c r="N704" i="2" s="1"/>
  <c r="L705" i="2"/>
  <c r="N705" i="2" s="1"/>
  <c r="L706" i="2"/>
  <c r="M706" i="2" s="1"/>
  <c r="L707" i="2"/>
  <c r="M707" i="2" s="1"/>
  <c r="L708" i="2"/>
  <c r="N708" i="2" s="1"/>
  <c r="L709" i="2"/>
  <c r="N709" i="2" s="1"/>
  <c r="L710" i="2"/>
  <c r="M710" i="2" s="1"/>
  <c r="L711" i="2"/>
  <c r="M711" i="2" s="1"/>
  <c r="L712" i="2"/>
  <c r="N712" i="2" s="1"/>
  <c r="L713" i="2"/>
  <c r="N713" i="2" s="1"/>
  <c r="L714" i="2"/>
  <c r="M714" i="2" s="1"/>
  <c r="L715" i="2"/>
  <c r="N715" i="2" s="1"/>
  <c r="L716" i="2"/>
  <c r="N716" i="2" s="1"/>
  <c r="L717" i="2"/>
  <c r="M717" i="2" s="1"/>
  <c r="L718" i="2"/>
  <c r="N718" i="2" s="1"/>
  <c r="L719" i="2"/>
  <c r="M719" i="2" s="1"/>
  <c r="L720" i="2"/>
  <c r="L721" i="2"/>
  <c r="L722" i="2"/>
  <c r="M722" i="2" s="1"/>
  <c r="O722" i="2" s="1"/>
  <c r="L723" i="2"/>
  <c r="M723" i="2" s="1"/>
  <c r="O723" i="2" s="1"/>
  <c r="L724" i="2"/>
  <c r="N724" i="2" s="1"/>
  <c r="L725" i="2"/>
  <c r="N725" i="2" s="1"/>
  <c r="L726" i="2"/>
  <c r="M726" i="2" s="1"/>
  <c r="O726" i="2" s="1"/>
  <c r="L727" i="2"/>
  <c r="L728" i="2"/>
  <c r="N728" i="2" s="1"/>
  <c r="L729" i="2"/>
  <c r="N729" i="2" s="1"/>
  <c r="L730" i="2"/>
  <c r="N730" i="2" s="1"/>
  <c r="L731" i="2"/>
  <c r="M731" i="2" s="1"/>
  <c r="L732" i="2"/>
  <c r="N732" i="2" s="1"/>
  <c r="L733" i="2"/>
  <c r="N733" i="2" s="1"/>
  <c r="L734" i="2"/>
  <c r="N734" i="2" s="1"/>
  <c r="L735" i="2"/>
  <c r="M735" i="2" s="1"/>
  <c r="O735" i="2" s="1"/>
  <c r="L736" i="2"/>
  <c r="M736" i="2" s="1"/>
  <c r="L737" i="2"/>
  <c r="N737" i="2" s="1"/>
  <c r="L738" i="2"/>
  <c r="N738" i="2" s="1"/>
  <c r="L739" i="2"/>
  <c r="M739" i="2" s="1"/>
  <c r="L740" i="2"/>
  <c r="L741" i="2"/>
  <c r="N741" i="2" s="1"/>
  <c r="L742" i="2"/>
  <c r="N742" i="2" s="1"/>
  <c r="L743" i="2"/>
  <c r="N743" i="2" s="1"/>
  <c r="L744" i="2"/>
  <c r="M744" i="2" s="1"/>
  <c r="L745" i="2"/>
  <c r="N745" i="2" s="1"/>
  <c r="L746" i="2"/>
  <c r="L747" i="2"/>
  <c r="M747" i="2" s="1"/>
  <c r="L748" i="2"/>
  <c r="M748" i="2" s="1"/>
  <c r="L749" i="2"/>
  <c r="M749" i="2" s="1"/>
  <c r="L750" i="2"/>
  <c r="N750" i="2" s="1"/>
  <c r="L751" i="2"/>
  <c r="N751" i="2" s="1"/>
  <c r="L752" i="2"/>
  <c r="L753" i="2"/>
  <c r="N753" i="2" s="1"/>
  <c r="L754" i="2"/>
  <c r="N754" i="2" s="1"/>
  <c r="L755" i="2"/>
  <c r="N755" i="2" s="1"/>
  <c r="L756" i="2"/>
  <c r="N756" i="2" s="1"/>
  <c r="L757" i="2"/>
  <c r="N757" i="2" s="1"/>
  <c r="L758" i="2"/>
  <c r="N758" i="2" s="1"/>
  <c r="L759" i="2"/>
  <c r="M759" i="2" s="1"/>
  <c r="L760" i="2"/>
  <c r="L761" i="2"/>
  <c r="N761" i="2" s="1"/>
  <c r="L762" i="2"/>
  <c r="N762" i="2" s="1"/>
  <c r="L764" i="2"/>
  <c r="M764" i="2" s="1"/>
  <c r="L765" i="2"/>
  <c r="M765" i="2" s="1"/>
  <c r="L766" i="2"/>
  <c r="N766" i="2" s="1"/>
  <c r="L768" i="2"/>
  <c r="N768" i="2" s="1"/>
  <c r="L769" i="2"/>
  <c r="M769" i="2" s="1"/>
  <c r="L770" i="2"/>
  <c r="M770" i="2" s="1"/>
  <c r="L771" i="2"/>
  <c r="N771" i="2" s="1"/>
  <c r="L772" i="2"/>
  <c r="N772" i="2" s="1"/>
  <c r="L773" i="2"/>
  <c r="M773" i="2" s="1"/>
  <c r="L774" i="2"/>
  <c r="L775" i="2"/>
  <c r="M775" i="2" s="1"/>
  <c r="L776" i="2"/>
  <c r="N776" i="2" s="1"/>
  <c r="L777" i="2"/>
  <c r="N777" i="2" s="1"/>
  <c r="L778" i="2"/>
  <c r="M778" i="2" s="1"/>
  <c r="L779" i="2"/>
  <c r="M779" i="2" s="1"/>
  <c r="L780" i="2"/>
  <c r="N780" i="2" s="1"/>
  <c r="L781" i="2"/>
  <c r="N781" i="2" s="1"/>
  <c r="L782" i="2"/>
  <c r="M782" i="2" s="1"/>
  <c r="L783" i="2"/>
  <c r="M783" i="2" s="1"/>
  <c r="L784" i="2"/>
  <c r="N784" i="2" s="1"/>
  <c r="L785" i="2"/>
  <c r="N785" i="2" s="1"/>
  <c r="L786" i="2"/>
  <c r="N786" i="2" s="1"/>
  <c r="L787" i="2"/>
  <c r="M787" i="2" s="1"/>
  <c r="L788" i="2"/>
  <c r="L789" i="2"/>
  <c r="L790" i="2"/>
  <c r="N790" i="2" s="1"/>
  <c r="L791" i="2"/>
  <c r="L792" i="2"/>
  <c r="M792" i="2" s="1"/>
  <c r="O792" i="2" s="1"/>
  <c r="L793" i="2"/>
  <c r="L794" i="2"/>
  <c r="N794" i="2" s="1"/>
  <c r="L795" i="2"/>
  <c r="N795" i="2" s="1"/>
  <c r="L796" i="2"/>
  <c r="L797" i="2"/>
  <c r="L798" i="2"/>
  <c r="N798" i="2" s="1"/>
  <c r="L799" i="2"/>
  <c r="L800" i="2"/>
  <c r="L801" i="2"/>
  <c r="L802" i="2"/>
  <c r="N802" i="2" s="1"/>
  <c r="L803" i="2"/>
  <c r="L804" i="2"/>
  <c r="L805" i="2"/>
  <c r="L806" i="2"/>
  <c r="N806" i="2" s="1"/>
  <c r="L807" i="2"/>
  <c r="L808" i="2"/>
  <c r="L809" i="2"/>
  <c r="L810" i="2"/>
  <c r="N810" i="2" s="1"/>
  <c r="L811" i="2"/>
  <c r="L812" i="2"/>
  <c r="L813" i="2"/>
  <c r="L814" i="2"/>
  <c r="N814" i="2" s="1"/>
  <c r="L815" i="2"/>
  <c r="L816" i="2"/>
  <c r="L817" i="2"/>
  <c r="L818" i="2"/>
  <c r="N818" i="2" s="1"/>
  <c r="L819" i="2"/>
  <c r="L820" i="2"/>
  <c r="L821" i="2"/>
  <c r="L822" i="2"/>
  <c r="N822" i="2" s="1"/>
  <c r="L823" i="2"/>
  <c r="L824" i="2"/>
  <c r="L825" i="2"/>
  <c r="L826" i="2"/>
  <c r="N826" i="2" s="1"/>
  <c r="L827" i="2"/>
  <c r="L828" i="2"/>
  <c r="L829" i="2"/>
  <c r="L830" i="2"/>
  <c r="N830" i="2" s="1"/>
  <c r="L831" i="2"/>
  <c r="L832" i="2"/>
  <c r="L833" i="2"/>
  <c r="L834" i="2"/>
  <c r="N834" i="2" s="1"/>
  <c r="L835" i="2"/>
  <c r="L836" i="2"/>
  <c r="L837" i="2"/>
  <c r="L838" i="2"/>
  <c r="N838" i="2" s="1"/>
  <c r="L839" i="2"/>
  <c r="L840" i="2"/>
  <c r="L841" i="2"/>
  <c r="L842" i="2"/>
  <c r="N842" i="2" s="1"/>
  <c r="L843" i="2"/>
  <c r="L844" i="2"/>
  <c r="L845" i="2"/>
  <c r="L846" i="2"/>
  <c r="N846" i="2" s="1"/>
  <c r="L847" i="2"/>
  <c r="L848" i="2"/>
  <c r="L849" i="2"/>
  <c r="L850" i="2"/>
  <c r="N850" i="2" s="1"/>
  <c r="L851" i="2"/>
  <c r="L852" i="2"/>
  <c r="L854" i="2"/>
  <c r="N854" i="2" s="1"/>
  <c r="L855" i="2"/>
  <c r="L856" i="2"/>
  <c r="L857" i="2"/>
  <c r="L858" i="2"/>
  <c r="N858" i="2" s="1"/>
  <c r="L859" i="2"/>
  <c r="L860" i="2"/>
  <c r="L861" i="2"/>
  <c r="L862" i="2"/>
  <c r="N862" i="2" s="1"/>
  <c r="L863" i="2"/>
  <c r="L864" i="2"/>
  <c r="L865" i="2"/>
  <c r="L866" i="2"/>
  <c r="N866" i="2" s="1"/>
  <c r="L867" i="2"/>
  <c r="L868" i="2"/>
  <c r="L869" i="2"/>
  <c r="L870" i="2"/>
  <c r="N870" i="2" s="1"/>
  <c r="L871" i="2"/>
  <c r="L872" i="2"/>
  <c r="L873" i="2"/>
  <c r="L874" i="2"/>
  <c r="N874" i="2" s="1"/>
  <c r="L875" i="2"/>
  <c r="L876" i="2"/>
  <c r="L877" i="2"/>
  <c r="L878" i="2"/>
  <c r="N878" i="2" s="1"/>
  <c r="L879" i="2"/>
  <c r="L880" i="2"/>
  <c r="L881" i="2"/>
  <c r="L882" i="2"/>
  <c r="N882" i="2" s="1"/>
  <c r="L883" i="2"/>
  <c r="L884" i="2"/>
  <c r="L885" i="2"/>
  <c r="L886" i="2"/>
  <c r="N886" i="2" s="1"/>
  <c r="L887" i="2"/>
  <c r="L888" i="2"/>
  <c r="L889" i="2"/>
  <c r="L890" i="2"/>
  <c r="N890" i="2" s="1"/>
  <c r="L891" i="2"/>
  <c r="L892" i="2"/>
  <c r="L893" i="2"/>
  <c r="L894" i="2"/>
  <c r="N894" i="2" s="1"/>
  <c r="L895" i="2"/>
  <c r="L896" i="2"/>
  <c r="L897" i="2"/>
  <c r="L898" i="2"/>
  <c r="N898" i="2" s="1"/>
  <c r="L899" i="2"/>
  <c r="L900" i="2"/>
  <c r="L901" i="2"/>
  <c r="L902" i="2"/>
  <c r="N902" i="2" s="1"/>
  <c r="L903" i="2"/>
  <c r="L904" i="2"/>
  <c r="L905" i="2"/>
  <c r="L906" i="2"/>
  <c r="N906" i="2" s="1"/>
  <c r="L907" i="2"/>
  <c r="L908" i="2"/>
  <c r="L909" i="2"/>
  <c r="L910" i="2"/>
  <c r="N910" i="2" s="1"/>
  <c r="L911" i="2"/>
  <c r="L912" i="2"/>
  <c r="L913" i="2"/>
  <c r="L914" i="2"/>
  <c r="N914" i="2" s="1"/>
  <c r="L915" i="2"/>
  <c r="L916" i="2"/>
  <c r="L917" i="2"/>
  <c r="L918" i="2"/>
  <c r="N918" i="2" s="1"/>
  <c r="L919" i="2"/>
  <c r="L920" i="2"/>
  <c r="L921" i="2"/>
  <c r="L922" i="2"/>
  <c r="N922" i="2" s="1"/>
  <c r="L923" i="2"/>
  <c r="L924" i="2"/>
  <c r="L925" i="2"/>
  <c r="L926" i="2"/>
  <c r="N926" i="2" s="1"/>
  <c r="L927" i="2"/>
  <c r="L929" i="2"/>
  <c r="L930" i="2"/>
  <c r="N930" i="2" s="1"/>
  <c r="L931" i="2"/>
  <c r="L932" i="2"/>
  <c r="L933" i="2"/>
  <c r="L934" i="2"/>
  <c r="N934" i="2" s="1"/>
  <c r="L935" i="2"/>
  <c r="L936" i="2"/>
  <c r="L937" i="2"/>
  <c r="L938" i="2"/>
  <c r="N938" i="2" s="1"/>
  <c r="L939" i="2"/>
  <c r="L940" i="2"/>
  <c r="L941" i="2"/>
  <c r="L942" i="2"/>
  <c r="N942" i="2" s="1"/>
  <c r="L943" i="2"/>
  <c r="L944" i="2"/>
  <c r="L945" i="2"/>
  <c r="L946" i="2"/>
  <c r="N946" i="2" s="1"/>
  <c r="L947" i="2"/>
  <c r="L948" i="2"/>
  <c r="L949" i="2"/>
  <c r="L950" i="2"/>
  <c r="L951" i="2"/>
  <c r="L952" i="2"/>
  <c r="L953" i="2"/>
  <c r="L954" i="2"/>
  <c r="N954" i="2" s="1"/>
  <c r="L955" i="2"/>
  <c r="L956" i="2"/>
  <c r="L957" i="2"/>
  <c r="L958" i="2"/>
  <c r="N958" i="2" s="1"/>
  <c r="L959" i="2"/>
  <c r="L960" i="2"/>
  <c r="L961" i="2"/>
  <c r="L962" i="2"/>
  <c r="N962" i="2" s="1"/>
  <c r="L963" i="2"/>
  <c r="L964" i="2"/>
  <c r="L965" i="2"/>
  <c r="L966" i="2"/>
  <c r="N966" i="2" s="1"/>
  <c r="L967" i="2"/>
  <c r="L968" i="2"/>
  <c r="L969" i="2"/>
  <c r="L970" i="2"/>
  <c r="N970" i="2" s="1"/>
  <c r="L971" i="2"/>
  <c r="L972" i="2"/>
  <c r="L973" i="2"/>
  <c r="L974" i="2"/>
  <c r="L975" i="2"/>
  <c r="L976" i="2"/>
  <c r="L977" i="2"/>
  <c r="L978" i="2"/>
  <c r="N978" i="2" s="1"/>
  <c r="L979" i="2"/>
  <c r="L980" i="2"/>
  <c r="L981" i="2"/>
  <c r="L982" i="2"/>
  <c r="N982" i="2" s="1"/>
  <c r="L983" i="2"/>
  <c r="L984" i="2"/>
  <c r="L985" i="2"/>
  <c r="L986" i="2"/>
  <c r="N986" i="2" s="1"/>
  <c r="L987" i="2"/>
  <c r="L988" i="2"/>
  <c r="L989" i="2"/>
  <c r="L990" i="2"/>
  <c r="N990" i="2" s="1"/>
  <c r="L991" i="2"/>
  <c r="L992" i="2"/>
  <c r="L993" i="2"/>
  <c r="L994" i="2"/>
  <c r="N994" i="2" s="1"/>
  <c r="L995" i="2"/>
  <c r="L996" i="2"/>
  <c r="L997" i="2"/>
  <c r="L998" i="2"/>
  <c r="N998" i="2" s="1"/>
  <c r="L999" i="2"/>
  <c r="L1000" i="2"/>
  <c r="L1001" i="2"/>
  <c r="L1002" i="2"/>
  <c r="L1003" i="2"/>
  <c r="L1004" i="2"/>
  <c r="L1005" i="2"/>
  <c r="L1006" i="2"/>
  <c r="N1006" i="2" s="1"/>
  <c r="L1007" i="2"/>
  <c r="L1008" i="2"/>
  <c r="L1009" i="2"/>
  <c r="L1010" i="2"/>
  <c r="N1010" i="2" s="1"/>
  <c r="L1011" i="2"/>
  <c r="L1012" i="2"/>
  <c r="L1013" i="2"/>
  <c r="L1014" i="2"/>
  <c r="N1014" i="2" s="1"/>
  <c r="L1015" i="2"/>
  <c r="L1016" i="2"/>
  <c r="L1017" i="2"/>
  <c r="L1018" i="2"/>
  <c r="N1018" i="2" s="1"/>
  <c r="L1019" i="2"/>
  <c r="L1020" i="2"/>
  <c r="L1021" i="2"/>
  <c r="L1022" i="2"/>
  <c r="N1022" i="2" s="1"/>
  <c r="L1023" i="2"/>
  <c r="L1024" i="2"/>
  <c r="L1025" i="2"/>
  <c r="L1026" i="2"/>
  <c r="N1026" i="2" s="1"/>
  <c r="L1027" i="2"/>
  <c r="L1028" i="2"/>
  <c r="L1029" i="2"/>
  <c r="L1030" i="2"/>
  <c r="N1030" i="2" s="1"/>
  <c r="L1031" i="2"/>
  <c r="L1032" i="2"/>
  <c r="L1033" i="2"/>
  <c r="L1034" i="2"/>
  <c r="N1034" i="2" s="1"/>
  <c r="L1035" i="2"/>
  <c r="L1036" i="2"/>
  <c r="L1037" i="2"/>
  <c r="L1038" i="2"/>
  <c r="N1038" i="2" s="1"/>
  <c r="L1039" i="2"/>
  <c r="L1040" i="2"/>
  <c r="L1041" i="2"/>
  <c r="L1042" i="2"/>
  <c r="N1042" i="2" s="1"/>
  <c r="L1043" i="2"/>
  <c r="L1044" i="2"/>
  <c r="L1045" i="2"/>
  <c r="L1046" i="2"/>
  <c r="N1046" i="2" s="1"/>
  <c r="L1047" i="2"/>
  <c r="L1048" i="2"/>
  <c r="L1049" i="2"/>
  <c r="L1050" i="2"/>
  <c r="N1050" i="2" s="1"/>
  <c r="L1051" i="2"/>
  <c r="L1052" i="2"/>
  <c r="L1053" i="2"/>
  <c r="L1054" i="2"/>
  <c r="L1055" i="2"/>
  <c r="L1056" i="2"/>
  <c r="L1057" i="2"/>
  <c r="L1058" i="2"/>
  <c r="N1058" i="2" s="1"/>
  <c r="L1059" i="2"/>
  <c r="L1060" i="2"/>
  <c r="L1061" i="2"/>
  <c r="L1062" i="2"/>
  <c r="N1062" i="2" s="1"/>
  <c r="L1063" i="2"/>
  <c r="L1064" i="2"/>
  <c r="L1065" i="2"/>
  <c r="L1066" i="2"/>
  <c r="N1066" i="2" s="1"/>
  <c r="L1067" i="2"/>
  <c r="L1068" i="2"/>
  <c r="L1069" i="2"/>
  <c r="L1070" i="2"/>
  <c r="N1070" i="2" s="1"/>
  <c r="L1071" i="2"/>
  <c r="L1072" i="2"/>
  <c r="L1073" i="2"/>
  <c r="L1074" i="2"/>
  <c r="N1074" i="2" s="1"/>
  <c r="L1075" i="2"/>
  <c r="L1076" i="2"/>
  <c r="L1077" i="2"/>
  <c r="L1078" i="2"/>
  <c r="L1079" i="2"/>
  <c r="L1080" i="2"/>
  <c r="L1081" i="2"/>
  <c r="L1082" i="2"/>
  <c r="N1082" i="2" s="1"/>
  <c r="L1083" i="2"/>
  <c r="L1084" i="2"/>
  <c r="L1085" i="2"/>
  <c r="L1086" i="2"/>
  <c r="N1086" i="2" s="1"/>
  <c r="L1087" i="2"/>
  <c r="L1088" i="2"/>
  <c r="L1089" i="2"/>
  <c r="L1090" i="2"/>
  <c r="N1090" i="2" s="1"/>
  <c r="L1091" i="2"/>
  <c r="L1092" i="2"/>
  <c r="L1093" i="2"/>
  <c r="L1094" i="2"/>
  <c r="N1094" i="2" s="1"/>
  <c r="L1095" i="2"/>
  <c r="L1096" i="2"/>
  <c r="L1097" i="2"/>
  <c r="L1098" i="2"/>
  <c r="N1098" i="2" s="1"/>
  <c r="L1099" i="2"/>
  <c r="L1100" i="2"/>
  <c r="L1101" i="2"/>
  <c r="L1102" i="2"/>
  <c r="N1102" i="2" s="1"/>
  <c r="L1103" i="2"/>
  <c r="L1104" i="2"/>
  <c r="L1105" i="2"/>
  <c r="L1106" i="2"/>
  <c r="N1106" i="2" s="1"/>
  <c r="L1107" i="2"/>
  <c r="L1108" i="2"/>
  <c r="L1109" i="2"/>
  <c r="L1110" i="2"/>
  <c r="N1110" i="2" s="1"/>
  <c r="L1111" i="2"/>
  <c r="L1112" i="2"/>
  <c r="L1113" i="2"/>
  <c r="L1114" i="2"/>
  <c r="N1114" i="2" s="1"/>
  <c r="L1115" i="2"/>
  <c r="L1116" i="2"/>
  <c r="L1117" i="2"/>
  <c r="L1118" i="2"/>
  <c r="N1118" i="2" s="1"/>
  <c r="L1119" i="2"/>
  <c r="L1120" i="2"/>
  <c r="L1121" i="2"/>
  <c r="L1122" i="2"/>
  <c r="N1122" i="2" s="1"/>
  <c r="L1123" i="2"/>
  <c r="L1124" i="2"/>
  <c r="L1125" i="2"/>
  <c r="L1126" i="2"/>
  <c r="N1126" i="2" s="1"/>
  <c r="L1127" i="2"/>
  <c r="L1128" i="2"/>
  <c r="L1129" i="2"/>
  <c r="L1130" i="2"/>
  <c r="N1130" i="2" s="1"/>
  <c r="L1131" i="2"/>
  <c r="L1132" i="2"/>
  <c r="L1133" i="2"/>
  <c r="L1134" i="2"/>
  <c r="N1134" i="2" s="1"/>
  <c r="L1135" i="2"/>
  <c r="L1136" i="2"/>
  <c r="L1137" i="2"/>
  <c r="L1138" i="2"/>
  <c r="N1138" i="2" s="1"/>
  <c r="L1140" i="2"/>
  <c r="L1141" i="2"/>
  <c r="L1143" i="2"/>
  <c r="N1143" i="2" s="1"/>
  <c r="L1144" i="2"/>
  <c r="K513" i="2"/>
  <c r="P513" i="2" s="1"/>
  <c r="R513" i="2" s="1"/>
  <c r="L512" i="2"/>
  <c r="L513" i="2"/>
  <c r="N513" i="2" s="1"/>
  <c r="L514" i="2"/>
  <c r="L515" i="2"/>
  <c r="L516" i="2"/>
  <c r="L517" i="2"/>
  <c r="N517" i="2" s="1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M1139" i="2" l="1"/>
  <c r="M1142" i="2"/>
  <c r="N767" i="2"/>
  <c r="N763" i="2"/>
  <c r="M381" i="2"/>
  <c r="M317" i="2"/>
  <c r="M509" i="2"/>
  <c r="M253" i="2"/>
  <c r="M445" i="2"/>
  <c r="M1106" i="2"/>
  <c r="M585" i="2"/>
  <c r="M1042" i="2"/>
  <c r="M1090" i="2"/>
  <c r="M1026" i="2"/>
  <c r="M962" i="2"/>
  <c r="M633" i="2"/>
  <c r="M569" i="2"/>
  <c r="M493" i="2"/>
  <c r="M429" i="2"/>
  <c r="M365" i="2"/>
  <c r="M649" i="2"/>
  <c r="M1138" i="2"/>
  <c r="M1074" i="2"/>
  <c r="M1010" i="2"/>
  <c r="M946" i="2"/>
  <c r="M617" i="2"/>
  <c r="M553" i="2"/>
  <c r="M477" i="2"/>
  <c r="M413" i="2"/>
  <c r="M349" i="2"/>
  <c r="M285" i="2"/>
  <c r="M978" i="2"/>
  <c r="M1122" i="2"/>
  <c r="M1058" i="2"/>
  <c r="M994" i="2"/>
  <c r="M930" i="2"/>
  <c r="M601" i="2"/>
  <c r="M461" i="2"/>
  <c r="M397" i="2"/>
  <c r="M333" i="2"/>
  <c r="M269" i="2"/>
  <c r="M914" i="2"/>
  <c r="M898" i="2"/>
  <c r="M882" i="2"/>
  <c r="M866" i="2"/>
  <c r="M850" i="2"/>
  <c r="M834" i="2"/>
  <c r="M818" i="2"/>
  <c r="M802" i="2"/>
  <c r="M540" i="2"/>
  <c r="N540" i="2"/>
  <c r="N520" i="2"/>
  <c r="M520" i="2"/>
  <c r="N1101" i="2"/>
  <c r="M1101" i="2"/>
  <c r="N250" i="2"/>
  <c r="M250" i="2"/>
  <c r="M532" i="2"/>
  <c r="N532" i="2"/>
  <c r="M524" i="2"/>
  <c r="N524" i="2"/>
  <c r="M512" i="2"/>
  <c r="N512" i="2"/>
  <c r="M1133" i="2"/>
  <c r="O1133" i="2" s="1"/>
  <c r="N1125" i="2"/>
  <c r="M1125" i="2"/>
  <c r="N1117" i="2"/>
  <c r="M1117" i="2"/>
  <c r="N1109" i="2"/>
  <c r="M1109" i="2"/>
  <c r="N1093" i="2"/>
  <c r="M1093" i="2"/>
  <c r="N1085" i="2"/>
  <c r="M1085" i="2"/>
  <c r="N1077" i="2"/>
  <c r="M1077" i="2"/>
  <c r="N1069" i="2"/>
  <c r="M1069" i="2"/>
  <c r="N1061" i="2"/>
  <c r="M1061" i="2"/>
  <c r="M1057" i="2"/>
  <c r="O1057" i="2" s="1"/>
  <c r="N1049" i="2"/>
  <c r="M1049" i="2"/>
  <c r="N1037" i="2"/>
  <c r="M1037" i="2"/>
  <c r="N1033" i="2"/>
  <c r="M1033" i="2"/>
  <c r="N1021" i="2"/>
  <c r="M1021" i="2"/>
  <c r="N1013" i="2"/>
  <c r="M1013" i="2"/>
  <c r="M1005" i="2"/>
  <c r="O1005" i="2" s="1"/>
  <c r="N997" i="2"/>
  <c r="M997" i="2"/>
  <c r="N993" i="2"/>
  <c r="M993" i="2"/>
  <c r="N985" i="2"/>
  <c r="M985" i="2"/>
  <c r="N973" i="2"/>
  <c r="M973" i="2"/>
  <c r="N965" i="2"/>
  <c r="M965" i="2"/>
  <c r="N957" i="2"/>
  <c r="M957" i="2"/>
  <c r="N949" i="2"/>
  <c r="M949" i="2"/>
  <c r="N941" i="2"/>
  <c r="M941" i="2"/>
  <c r="N933" i="2"/>
  <c r="M933" i="2"/>
  <c r="N925" i="2"/>
  <c r="M925" i="2"/>
  <c r="N921" i="2"/>
  <c r="M921" i="2"/>
  <c r="N913" i="2"/>
  <c r="M913" i="2"/>
  <c r="N901" i="2"/>
  <c r="M901" i="2"/>
  <c r="N893" i="2"/>
  <c r="M893" i="2"/>
  <c r="N885" i="2"/>
  <c r="M885" i="2"/>
  <c r="N881" i="2"/>
  <c r="M881" i="2"/>
  <c r="N873" i="2"/>
  <c r="M873" i="2"/>
  <c r="N865" i="2"/>
  <c r="M865" i="2"/>
  <c r="N857" i="2"/>
  <c r="M857" i="2"/>
  <c r="N849" i="2"/>
  <c r="M849" i="2"/>
  <c r="N841" i="2"/>
  <c r="M841" i="2"/>
  <c r="N833" i="2"/>
  <c r="M833" i="2"/>
  <c r="N825" i="2"/>
  <c r="M825" i="2"/>
  <c r="N817" i="2"/>
  <c r="M817" i="2"/>
  <c r="N809" i="2"/>
  <c r="M809" i="2"/>
  <c r="N797" i="2"/>
  <c r="M797" i="2"/>
  <c r="N648" i="2"/>
  <c r="M648" i="2"/>
  <c r="O640" i="2"/>
  <c r="N640" i="2" s="1"/>
  <c r="O624" i="2"/>
  <c r="N624" i="2" s="1"/>
  <c r="N616" i="2"/>
  <c r="M616" i="2"/>
  <c r="M608" i="2"/>
  <c r="N608" i="2"/>
  <c r="N600" i="2"/>
  <c r="M600" i="2"/>
  <c r="M592" i="2"/>
  <c r="N592" i="2"/>
  <c r="N584" i="2"/>
  <c r="M584" i="2"/>
  <c r="M576" i="2"/>
  <c r="N576" i="2"/>
  <c r="N568" i="2"/>
  <c r="M568" i="2"/>
  <c r="M560" i="2"/>
  <c r="N560" i="2"/>
  <c r="N552" i="2"/>
  <c r="M552" i="2"/>
  <c r="M548" i="2"/>
  <c r="N548" i="2"/>
  <c r="N510" i="2"/>
  <c r="M510" i="2"/>
  <c r="N502" i="2"/>
  <c r="M502" i="2"/>
  <c r="N494" i="2"/>
  <c r="M494" i="2"/>
  <c r="N486" i="2"/>
  <c r="M486" i="2"/>
  <c r="N478" i="2"/>
  <c r="M478" i="2"/>
  <c r="N470" i="2"/>
  <c r="M470" i="2"/>
  <c r="N462" i="2"/>
  <c r="M462" i="2"/>
  <c r="N450" i="2"/>
  <c r="M450" i="2"/>
  <c r="N442" i="2"/>
  <c r="M442" i="2"/>
  <c r="N434" i="2"/>
  <c r="M434" i="2"/>
  <c r="N426" i="2"/>
  <c r="M426" i="2"/>
  <c r="N418" i="2"/>
  <c r="M418" i="2"/>
  <c r="N410" i="2"/>
  <c r="M410" i="2"/>
  <c r="N402" i="2"/>
  <c r="M402" i="2"/>
  <c r="N394" i="2"/>
  <c r="M394" i="2"/>
  <c r="N386" i="2"/>
  <c r="M386" i="2"/>
  <c r="N378" i="2"/>
  <c r="M378" i="2"/>
  <c r="N370" i="2"/>
  <c r="M370" i="2"/>
  <c r="N362" i="2"/>
  <c r="M362" i="2"/>
  <c r="N354" i="2"/>
  <c r="M354" i="2"/>
  <c r="N346" i="2"/>
  <c r="M346" i="2"/>
  <c r="N338" i="2"/>
  <c r="M338" i="2"/>
  <c r="N334" i="2"/>
  <c r="M334" i="2"/>
  <c r="N326" i="2"/>
  <c r="M326" i="2"/>
  <c r="N322" i="2"/>
  <c r="M322" i="2"/>
  <c r="N318" i="2"/>
  <c r="M318" i="2"/>
  <c r="N314" i="2"/>
  <c r="M314" i="2"/>
  <c r="N310" i="2"/>
  <c r="M310" i="2"/>
  <c r="N286" i="2"/>
  <c r="M286" i="2"/>
  <c r="N278" i="2"/>
  <c r="M278" i="2"/>
  <c r="N270" i="2"/>
  <c r="M270" i="2"/>
  <c r="N266" i="2"/>
  <c r="M266" i="2"/>
  <c r="N254" i="2"/>
  <c r="M254" i="2"/>
  <c r="O293" i="2"/>
  <c r="N293" i="2" s="1"/>
  <c r="N536" i="2"/>
  <c r="M536" i="2"/>
  <c r="M528" i="2"/>
  <c r="N528" i="2"/>
  <c r="M516" i="2"/>
  <c r="N516" i="2"/>
  <c r="N1137" i="2"/>
  <c r="M1137" i="2"/>
  <c r="N1129" i="2"/>
  <c r="M1129" i="2"/>
  <c r="N1121" i="2"/>
  <c r="M1121" i="2"/>
  <c r="N1113" i="2"/>
  <c r="M1113" i="2"/>
  <c r="N1105" i="2"/>
  <c r="M1105" i="2"/>
  <c r="N1097" i="2"/>
  <c r="M1097" i="2"/>
  <c r="M1089" i="2"/>
  <c r="O1089" i="2" s="1"/>
  <c r="N1081" i="2"/>
  <c r="M1081" i="2"/>
  <c r="N1073" i="2"/>
  <c r="M1073" i="2"/>
  <c r="M1065" i="2"/>
  <c r="O1065" i="2" s="1"/>
  <c r="M1053" i="2"/>
  <c r="O1053" i="2" s="1"/>
  <c r="N1045" i="2"/>
  <c r="M1045" i="2"/>
  <c r="N1041" i="2"/>
  <c r="M1041" i="2"/>
  <c r="N1029" i="2"/>
  <c r="M1029" i="2"/>
  <c r="M1025" i="2"/>
  <c r="O1025" i="2" s="1"/>
  <c r="N1017" i="2"/>
  <c r="M1017" i="2"/>
  <c r="N1009" i="2"/>
  <c r="M1009" i="2"/>
  <c r="M1001" i="2"/>
  <c r="O1001" i="2" s="1"/>
  <c r="N989" i="2"/>
  <c r="M989" i="2"/>
  <c r="N981" i="2"/>
  <c r="M981" i="2"/>
  <c r="N977" i="2"/>
  <c r="M977" i="2"/>
  <c r="N969" i="2"/>
  <c r="M969" i="2"/>
  <c r="N961" i="2"/>
  <c r="M961" i="2"/>
  <c r="N953" i="2"/>
  <c r="M953" i="2"/>
  <c r="N945" i="2"/>
  <c r="M945" i="2"/>
  <c r="N937" i="2"/>
  <c r="M937" i="2"/>
  <c r="N929" i="2"/>
  <c r="M929" i="2"/>
  <c r="N917" i="2"/>
  <c r="M917" i="2"/>
  <c r="N909" i="2"/>
  <c r="M909" i="2"/>
  <c r="N905" i="2"/>
  <c r="M905" i="2"/>
  <c r="N897" i="2"/>
  <c r="M897" i="2"/>
  <c r="N889" i="2"/>
  <c r="M889" i="2"/>
  <c r="N877" i="2"/>
  <c r="M877" i="2"/>
  <c r="N869" i="2"/>
  <c r="M869" i="2"/>
  <c r="N861" i="2"/>
  <c r="M861" i="2"/>
  <c r="N853" i="2"/>
  <c r="M853" i="2"/>
  <c r="N845" i="2"/>
  <c r="M845" i="2"/>
  <c r="N837" i="2"/>
  <c r="M837" i="2"/>
  <c r="N829" i="2"/>
  <c r="M829" i="2"/>
  <c r="N821" i="2"/>
  <c r="M821" i="2"/>
  <c r="N813" i="2"/>
  <c r="M813" i="2"/>
  <c r="N805" i="2"/>
  <c r="M805" i="2"/>
  <c r="N801" i="2"/>
  <c r="M801" i="2"/>
  <c r="M789" i="2"/>
  <c r="O789" i="2" s="1"/>
  <c r="N740" i="2"/>
  <c r="M740" i="2"/>
  <c r="O652" i="2"/>
  <c r="N652" i="2" s="1"/>
  <c r="N644" i="2"/>
  <c r="M644" i="2"/>
  <c r="O636" i="2"/>
  <c r="N636" i="2" s="1"/>
  <c r="N632" i="2"/>
  <c r="M632" i="2"/>
  <c r="N628" i="2"/>
  <c r="M628" i="2"/>
  <c r="M620" i="2"/>
  <c r="N620" i="2"/>
  <c r="M612" i="2"/>
  <c r="N612" i="2"/>
  <c r="M604" i="2"/>
  <c r="N604" i="2"/>
  <c r="M596" i="2"/>
  <c r="N596" i="2"/>
  <c r="M588" i="2"/>
  <c r="N588" i="2"/>
  <c r="M580" i="2"/>
  <c r="N580" i="2"/>
  <c r="M572" i="2"/>
  <c r="N572" i="2"/>
  <c r="M564" i="2"/>
  <c r="N564" i="2"/>
  <c r="M556" i="2"/>
  <c r="N556" i="2"/>
  <c r="M544" i="2"/>
  <c r="N544" i="2"/>
  <c r="N506" i="2"/>
  <c r="M506" i="2"/>
  <c r="N498" i="2"/>
  <c r="M498" i="2"/>
  <c r="N490" i="2"/>
  <c r="M490" i="2"/>
  <c r="N482" i="2"/>
  <c r="M482" i="2"/>
  <c r="N474" i="2"/>
  <c r="M474" i="2"/>
  <c r="N466" i="2"/>
  <c r="M466" i="2"/>
  <c r="N458" i="2"/>
  <c r="M458" i="2"/>
  <c r="N454" i="2"/>
  <c r="M454" i="2"/>
  <c r="N446" i="2"/>
  <c r="M446" i="2"/>
  <c r="N438" i="2"/>
  <c r="M438" i="2"/>
  <c r="N430" i="2"/>
  <c r="M430" i="2"/>
  <c r="N422" i="2"/>
  <c r="M422" i="2"/>
  <c r="N414" i="2"/>
  <c r="M414" i="2"/>
  <c r="N406" i="2"/>
  <c r="M406" i="2"/>
  <c r="N398" i="2"/>
  <c r="M398" i="2"/>
  <c r="N390" i="2"/>
  <c r="M390" i="2"/>
  <c r="N382" i="2"/>
  <c r="M382" i="2"/>
  <c r="N374" i="2"/>
  <c r="M374" i="2"/>
  <c r="N366" i="2"/>
  <c r="M366" i="2"/>
  <c r="N358" i="2"/>
  <c r="M358" i="2"/>
  <c r="N350" i="2"/>
  <c r="M350" i="2"/>
  <c r="N342" i="2"/>
  <c r="M342" i="2"/>
  <c r="N330" i="2"/>
  <c r="M330" i="2"/>
  <c r="N282" i="2"/>
  <c r="M282" i="2"/>
  <c r="N274" i="2"/>
  <c r="M274" i="2"/>
  <c r="N262" i="2"/>
  <c r="M262" i="2"/>
  <c r="N258" i="2"/>
  <c r="M258" i="2"/>
  <c r="O305" i="2"/>
  <c r="N305" i="2" s="1"/>
  <c r="O297" i="2"/>
  <c r="N297" i="2" s="1"/>
  <c r="N537" i="2"/>
  <c r="M537" i="2"/>
  <c r="N533" i="2"/>
  <c r="M533" i="2"/>
  <c r="N529" i="2"/>
  <c r="M529" i="2"/>
  <c r="N525" i="2"/>
  <c r="M525" i="2"/>
  <c r="N521" i="2"/>
  <c r="M521" i="2"/>
  <c r="O641" i="2"/>
  <c r="N641" i="2" s="1"/>
  <c r="O625" i="2"/>
  <c r="N625" i="2" s="1"/>
  <c r="O301" i="2"/>
  <c r="N301" i="2" s="1"/>
  <c r="N539" i="2"/>
  <c r="M539" i="2"/>
  <c r="N535" i="2"/>
  <c r="M535" i="2"/>
  <c r="N531" i="2"/>
  <c r="M531" i="2"/>
  <c r="N527" i="2"/>
  <c r="M527" i="2"/>
  <c r="N523" i="2"/>
  <c r="M523" i="2"/>
  <c r="N519" i="2"/>
  <c r="M519" i="2"/>
  <c r="N515" i="2"/>
  <c r="M515" i="2"/>
  <c r="N1145" i="2"/>
  <c r="M1145" i="2"/>
  <c r="N1141" i="2"/>
  <c r="M1141" i="2"/>
  <c r="N1136" i="2"/>
  <c r="M1136" i="2"/>
  <c r="N1132" i="2"/>
  <c r="M1132" i="2"/>
  <c r="N1128" i="2"/>
  <c r="M1128" i="2"/>
  <c r="N1124" i="2"/>
  <c r="M1124" i="2"/>
  <c r="N1120" i="2"/>
  <c r="M1120" i="2"/>
  <c r="N1116" i="2"/>
  <c r="M1116" i="2"/>
  <c r="N1112" i="2"/>
  <c r="M1112" i="2"/>
  <c r="N1108" i="2"/>
  <c r="M1108" i="2"/>
  <c r="M1104" i="2"/>
  <c r="O1104" i="2" s="1"/>
  <c r="N1100" i="2"/>
  <c r="M1100" i="2"/>
  <c r="N1096" i="2"/>
  <c r="M1096" i="2"/>
  <c r="N1092" i="2"/>
  <c r="M1092" i="2"/>
  <c r="N1088" i="2"/>
  <c r="M1088" i="2"/>
  <c r="N1084" i="2"/>
  <c r="M1084" i="2"/>
  <c r="N1080" i="2"/>
  <c r="M1080" i="2"/>
  <c r="N1076" i="2"/>
  <c r="M1076" i="2"/>
  <c r="N1072" i="2"/>
  <c r="M1072" i="2"/>
  <c r="N1068" i="2"/>
  <c r="M1068" i="2"/>
  <c r="N1064" i="2"/>
  <c r="M1064" i="2"/>
  <c r="M1060" i="2"/>
  <c r="O1060" i="2" s="1"/>
  <c r="M1056" i="2"/>
  <c r="O1056" i="2" s="1"/>
  <c r="N1052" i="2"/>
  <c r="M1052" i="2"/>
  <c r="N1048" i="2"/>
  <c r="M1048" i="2"/>
  <c r="N1044" i="2"/>
  <c r="M1044" i="2"/>
  <c r="N1040" i="2"/>
  <c r="M1040" i="2"/>
  <c r="N1036" i="2"/>
  <c r="M1036" i="2"/>
  <c r="N1032" i="2"/>
  <c r="M1032" i="2"/>
  <c r="N1028" i="2"/>
  <c r="M1028" i="2"/>
  <c r="N1024" i="2"/>
  <c r="M1024" i="2"/>
  <c r="N1020" i="2"/>
  <c r="M1020" i="2"/>
  <c r="N1016" i="2"/>
  <c r="M1016" i="2"/>
  <c r="M1012" i="2"/>
  <c r="O1012" i="2" s="1"/>
  <c r="N1008" i="2"/>
  <c r="M1008" i="2"/>
  <c r="N1004" i="2"/>
  <c r="M1004" i="2"/>
  <c r="N1000" i="2"/>
  <c r="M1000" i="2"/>
  <c r="N996" i="2"/>
  <c r="M996" i="2"/>
  <c r="N992" i="2"/>
  <c r="M992" i="2"/>
  <c r="N988" i="2"/>
  <c r="M988" i="2"/>
  <c r="N984" i="2"/>
  <c r="M984" i="2"/>
  <c r="N980" i="2"/>
  <c r="M980" i="2"/>
  <c r="N976" i="2"/>
  <c r="M976" i="2"/>
  <c r="N972" i="2"/>
  <c r="M972" i="2"/>
  <c r="N968" i="2"/>
  <c r="M968" i="2"/>
  <c r="N964" i="2"/>
  <c r="M964" i="2"/>
  <c r="N960" i="2"/>
  <c r="M960" i="2"/>
  <c r="N956" i="2"/>
  <c r="M956" i="2"/>
  <c r="N952" i="2"/>
  <c r="M952" i="2"/>
  <c r="N948" i="2"/>
  <c r="M948" i="2"/>
  <c r="N944" i="2"/>
  <c r="M944" i="2"/>
  <c r="N940" i="2"/>
  <c r="M940" i="2"/>
  <c r="N936" i="2"/>
  <c r="M936" i="2"/>
  <c r="N932" i="2"/>
  <c r="M932" i="2"/>
  <c r="N924" i="2"/>
  <c r="M924" i="2"/>
  <c r="N920" i="2"/>
  <c r="M920" i="2"/>
  <c r="N916" i="2"/>
  <c r="M916" i="2"/>
  <c r="N912" i="2"/>
  <c r="M912" i="2"/>
  <c r="N908" i="2"/>
  <c r="M908" i="2"/>
  <c r="N904" i="2"/>
  <c r="M904" i="2"/>
  <c r="N900" i="2"/>
  <c r="M900" i="2"/>
  <c r="N896" i="2"/>
  <c r="M896" i="2"/>
  <c r="N892" i="2"/>
  <c r="M892" i="2"/>
  <c r="N888" i="2"/>
  <c r="M888" i="2"/>
  <c r="N884" i="2"/>
  <c r="M884" i="2"/>
  <c r="N880" i="2"/>
  <c r="M880" i="2"/>
  <c r="N876" i="2"/>
  <c r="M876" i="2"/>
  <c r="N872" i="2"/>
  <c r="M872" i="2"/>
  <c r="N868" i="2"/>
  <c r="M868" i="2"/>
  <c r="N864" i="2"/>
  <c r="M864" i="2"/>
  <c r="N860" i="2"/>
  <c r="M860" i="2"/>
  <c r="N856" i="2"/>
  <c r="M856" i="2"/>
  <c r="N852" i="2"/>
  <c r="M852" i="2"/>
  <c r="N848" i="2"/>
  <c r="M848" i="2"/>
  <c r="N844" i="2"/>
  <c r="M844" i="2"/>
  <c r="N840" i="2"/>
  <c r="M840" i="2"/>
  <c r="N836" i="2"/>
  <c r="M836" i="2"/>
  <c r="N832" i="2"/>
  <c r="M832" i="2"/>
  <c r="N828" i="2"/>
  <c r="M828" i="2"/>
  <c r="N824" i="2"/>
  <c r="M824" i="2"/>
  <c r="N820" i="2"/>
  <c r="M820" i="2"/>
  <c r="N816" i="2"/>
  <c r="M816" i="2"/>
  <c r="N812" i="2"/>
  <c r="M812" i="2"/>
  <c r="N808" i="2"/>
  <c r="M808" i="2"/>
  <c r="N804" i="2"/>
  <c r="M804" i="2"/>
  <c r="N800" i="2"/>
  <c r="M800" i="2"/>
  <c r="N796" i="2"/>
  <c r="M796" i="2"/>
  <c r="N727" i="2"/>
  <c r="M727" i="2"/>
  <c r="N651" i="2"/>
  <c r="M651" i="2"/>
  <c r="N647" i="2"/>
  <c r="M647" i="2"/>
  <c r="N643" i="2"/>
  <c r="M643" i="2"/>
  <c r="O639" i="2"/>
  <c r="N639" i="2" s="1"/>
  <c r="N635" i="2"/>
  <c r="M635" i="2"/>
  <c r="N631" i="2"/>
  <c r="M631" i="2"/>
  <c r="O627" i="2"/>
  <c r="N627" i="2" s="1"/>
  <c r="N623" i="2"/>
  <c r="M623" i="2"/>
  <c r="N619" i="2"/>
  <c r="M619" i="2"/>
  <c r="N615" i="2"/>
  <c r="M615" i="2"/>
  <c r="N611" i="2"/>
  <c r="M611" i="2"/>
  <c r="N607" i="2"/>
  <c r="M607" i="2"/>
  <c r="N603" i="2"/>
  <c r="M603" i="2"/>
  <c r="N599" i="2"/>
  <c r="M599" i="2"/>
  <c r="N595" i="2"/>
  <c r="M595" i="2"/>
  <c r="N591" i="2"/>
  <c r="M591" i="2"/>
  <c r="N587" i="2"/>
  <c r="M587" i="2"/>
  <c r="N583" i="2"/>
  <c r="M583" i="2"/>
  <c r="N579" i="2"/>
  <c r="M579" i="2"/>
  <c r="N575" i="2"/>
  <c r="M575" i="2"/>
  <c r="N571" i="2"/>
  <c r="M571" i="2"/>
  <c r="N567" i="2"/>
  <c r="M567" i="2"/>
  <c r="N563" i="2"/>
  <c r="M563" i="2"/>
  <c r="N559" i="2"/>
  <c r="M559" i="2"/>
  <c r="N555" i="2"/>
  <c r="M555" i="2"/>
  <c r="N551" i="2"/>
  <c r="M551" i="2"/>
  <c r="N547" i="2"/>
  <c r="M547" i="2"/>
  <c r="N543" i="2"/>
  <c r="M543" i="2"/>
  <c r="M1134" i="2"/>
  <c r="M1118" i="2"/>
  <c r="M1102" i="2"/>
  <c r="M1086" i="2"/>
  <c r="M1070" i="2"/>
  <c r="M1054" i="2"/>
  <c r="O1054" i="2" s="1"/>
  <c r="M1038" i="2"/>
  <c r="M1022" i="2"/>
  <c r="M1006" i="2"/>
  <c r="M990" i="2"/>
  <c r="M974" i="2"/>
  <c r="O974" i="2" s="1"/>
  <c r="M958" i="2"/>
  <c r="M942" i="2"/>
  <c r="M926" i="2"/>
  <c r="M910" i="2"/>
  <c r="M894" i="2"/>
  <c r="M878" i="2"/>
  <c r="M862" i="2"/>
  <c r="M846" i="2"/>
  <c r="M830" i="2"/>
  <c r="M814" i="2"/>
  <c r="M798" i="2"/>
  <c r="M645" i="2"/>
  <c r="M629" i="2"/>
  <c r="M613" i="2"/>
  <c r="M597" i="2"/>
  <c r="M581" i="2"/>
  <c r="M565" i="2"/>
  <c r="M549" i="2"/>
  <c r="M517" i="2"/>
  <c r="M505" i="2"/>
  <c r="M489" i="2"/>
  <c r="M473" i="2"/>
  <c r="M457" i="2"/>
  <c r="M441" i="2"/>
  <c r="M425" i="2"/>
  <c r="M409" i="2"/>
  <c r="M393" i="2"/>
  <c r="M377" i="2"/>
  <c r="M361" i="2"/>
  <c r="M345" i="2"/>
  <c r="M329" i="2"/>
  <c r="M313" i="2"/>
  <c r="M281" i="2"/>
  <c r="M265" i="2"/>
  <c r="N538" i="2"/>
  <c r="M538" i="2"/>
  <c r="N534" i="2"/>
  <c r="M534" i="2"/>
  <c r="N530" i="2"/>
  <c r="M530" i="2"/>
  <c r="N526" i="2"/>
  <c r="M526" i="2"/>
  <c r="N522" i="2"/>
  <c r="M522" i="2"/>
  <c r="N518" i="2"/>
  <c r="M518" i="2"/>
  <c r="N514" i="2"/>
  <c r="M514" i="2"/>
  <c r="N1144" i="2"/>
  <c r="M1144" i="2"/>
  <c r="M1140" i="2"/>
  <c r="N1140" i="2"/>
  <c r="N1135" i="2"/>
  <c r="M1135" i="2"/>
  <c r="N1131" i="2"/>
  <c r="M1131" i="2"/>
  <c r="N1127" i="2"/>
  <c r="M1127" i="2"/>
  <c r="M1123" i="2"/>
  <c r="N1123" i="2"/>
  <c r="N1119" i="2"/>
  <c r="M1119" i="2"/>
  <c r="N1115" i="2"/>
  <c r="M1115" i="2"/>
  <c r="M1111" i="2"/>
  <c r="O1111" i="2" s="1"/>
  <c r="N1111" i="2" s="1"/>
  <c r="M1107" i="2"/>
  <c r="N1107" i="2"/>
  <c r="N1103" i="2"/>
  <c r="M1103" i="2"/>
  <c r="N1099" i="2"/>
  <c r="M1099" i="2"/>
  <c r="N1095" i="2"/>
  <c r="M1095" i="2"/>
  <c r="M1091" i="2"/>
  <c r="O1091" i="2" s="1"/>
  <c r="N1087" i="2"/>
  <c r="M1087" i="2"/>
  <c r="M1083" i="2"/>
  <c r="O1083" i="2" s="1"/>
  <c r="N1083" i="2" s="1"/>
  <c r="N1079" i="2"/>
  <c r="M1079" i="2"/>
  <c r="M1075" i="2"/>
  <c r="N1075" i="2"/>
  <c r="N1071" i="2"/>
  <c r="M1071" i="2"/>
  <c r="N1067" i="2"/>
  <c r="M1067" i="2"/>
  <c r="N1063" i="2"/>
  <c r="M1063" i="2"/>
  <c r="M1059" i="2"/>
  <c r="O1059" i="2" s="1"/>
  <c r="M1055" i="2"/>
  <c r="O1055" i="2" s="1"/>
  <c r="N1051" i="2"/>
  <c r="M1051" i="2"/>
  <c r="N1047" i="2"/>
  <c r="M1047" i="2"/>
  <c r="M1043" i="2"/>
  <c r="N1043" i="2"/>
  <c r="N1039" i="2"/>
  <c r="M1039" i="2"/>
  <c r="N1035" i="2"/>
  <c r="M1035" i="2"/>
  <c r="N1031" i="2"/>
  <c r="M1031" i="2"/>
  <c r="M1027" i="2"/>
  <c r="N1027" i="2"/>
  <c r="N1023" i="2"/>
  <c r="M1023" i="2"/>
  <c r="N1019" i="2"/>
  <c r="M1019" i="2"/>
  <c r="N1015" i="2"/>
  <c r="M1015" i="2"/>
  <c r="M1011" i="2"/>
  <c r="O1011" i="2" s="1"/>
  <c r="N1007" i="2"/>
  <c r="M1007" i="2"/>
  <c r="N1003" i="2"/>
  <c r="M1003" i="2"/>
  <c r="M999" i="2"/>
  <c r="O999" i="2" s="1"/>
  <c r="M995" i="2"/>
  <c r="N995" i="2"/>
  <c r="N991" i="2"/>
  <c r="M991" i="2"/>
  <c r="N987" i="2"/>
  <c r="M987" i="2"/>
  <c r="N983" i="2"/>
  <c r="M983" i="2"/>
  <c r="M979" i="2"/>
  <c r="N979" i="2"/>
  <c r="N975" i="2"/>
  <c r="M975" i="2"/>
  <c r="N971" i="2"/>
  <c r="M971" i="2"/>
  <c r="N967" i="2"/>
  <c r="M967" i="2"/>
  <c r="M963" i="2"/>
  <c r="N963" i="2"/>
  <c r="N959" i="2"/>
  <c r="M959" i="2"/>
  <c r="N955" i="2"/>
  <c r="M955" i="2"/>
  <c r="M951" i="2"/>
  <c r="O951" i="2" s="1"/>
  <c r="M947" i="2"/>
  <c r="N947" i="2"/>
  <c r="N943" i="2"/>
  <c r="M943" i="2"/>
  <c r="N939" i="2"/>
  <c r="M939" i="2"/>
  <c r="N935" i="2"/>
  <c r="M935" i="2"/>
  <c r="M931" i="2"/>
  <c r="N931" i="2"/>
  <c r="N927" i="2"/>
  <c r="M927" i="2"/>
  <c r="N923" i="2"/>
  <c r="M923" i="2"/>
  <c r="N919" i="2"/>
  <c r="M919" i="2"/>
  <c r="M915" i="2"/>
  <c r="N915" i="2"/>
  <c r="N911" i="2"/>
  <c r="M911" i="2"/>
  <c r="N907" i="2"/>
  <c r="M907" i="2"/>
  <c r="N903" i="2"/>
  <c r="M903" i="2"/>
  <c r="M899" i="2"/>
  <c r="N899" i="2"/>
  <c r="N895" i="2"/>
  <c r="M895" i="2"/>
  <c r="N891" i="2"/>
  <c r="M891" i="2"/>
  <c r="N887" i="2"/>
  <c r="M887" i="2"/>
  <c r="M883" i="2"/>
  <c r="N883" i="2"/>
  <c r="N879" i="2"/>
  <c r="M879" i="2"/>
  <c r="N875" i="2"/>
  <c r="M875" i="2"/>
  <c r="N871" i="2"/>
  <c r="M871" i="2"/>
  <c r="M867" i="2"/>
  <c r="N867" i="2"/>
  <c r="N863" i="2"/>
  <c r="M863" i="2"/>
  <c r="N859" i="2"/>
  <c r="M859" i="2"/>
  <c r="N855" i="2"/>
  <c r="M855" i="2"/>
  <c r="M851" i="2"/>
  <c r="N851" i="2"/>
  <c r="N847" i="2"/>
  <c r="M847" i="2"/>
  <c r="N843" i="2"/>
  <c r="M843" i="2"/>
  <c r="N839" i="2"/>
  <c r="M839" i="2"/>
  <c r="M835" i="2"/>
  <c r="N835" i="2"/>
  <c r="N831" i="2"/>
  <c r="M831" i="2"/>
  <c r="N827" i="2"/>
  <c r="M827" i="2"/>
  <c r="N823" i="2"/>
  <c r="M823" i="2"/>
  <c r="M819" i="2"/>
  <c r="N819" i="2"/>
  <c r="N815" i="2"/>
  <c r="M815" i="2"/>
  <c r="N811" i="2"/>
  <c r="M811" i="2"/>
  <c r="N807" i="2"/>
  <c r="M807" i="2"/>
  <c r="M803" i="2"/>
  <c r="N803" i="2"/>
  <c r="N799" i="2"/>
  <c r="M799" i="2"/>
  <c r="N650" i="2"/>
  <c r="M650" i="2"/>
  <c r="M646" i="2"/>
  <c r="N646" i="2"/>
  <c r="N638" i="2"/>
  <c r="M638" i="2"/>
  <c r="N634" i="2"/>
  <c r="M634" i="2"/>
  <c r="N630" i="2"/>
  <c r="M630" i="2"/>
  <c r="N626" i="2"/>
  <c r="M626" i="2"/>
  <c r="N618" i="2"/>
  <c r="M618" i="2"/>
  <c r="N614" i="2"/>
  <c r="M614" i="2"/>
  <c r="N610" i="2"/>
  <c r="M610" i="2"/>
  <c r="N606" i="2"/>
  <c r="M606" i="2"/>
  <c r="N602" i="2"/>
  <c r="M602" i="2"/>
  <c r="N598" i="2"/>
  <c r="M598" i="2"/>
  <c r="N594" i="2"/>
  <c r="M594" i="2"/>
  <c r="N590" i="2"/>
  <c r="M590" i="2"/>
  <c r="N586" i="2"/>
  <c r="M586" i="2"/>
  <c r="N582" i="2"/>
  <c r="M582" i="2"/>
  <c r="N578" i="2"/>
  <c r="M578" i="2"/>
  <c r="N574" i="2"/>
  <c r="M574" i="2"/>
  <c r="N570" i="2"/>
  <c r="M570" i="2"/>
  <c r="N566" i="2"/>
  <c r="M566" i="2"/>
  <c r="N562" i="2"/>
  <c r="M562" i="2"/>
  <c r="N558" i="2"/>
  <c r="M558" i="2"/>
  <c r="N554" i="2"/>
  <c r="M554" i="2"/>
  <c r="N550" i="2"/>
  <c r="M550" i="2"/>
  <c r="N546" i="2"/>
  <c r="M546" i="2"/>
  <c r="N542" i="2"/>
  <c r="M542" i="2"/>
  <c r="N508" i="2"/>
  <c r="M508" i="2"/>
  <c r="M504" i="2"/>
  <c r="N504" i="2"/>
  <c r="M500" i="2"/>
  <c r="N500" i="2"/>
  <c r="M496" i="2"/>
  <c r="N496" i="2"/>
  <c r="N492" i="2"/>
  <c r="M492" i="2"/>
  <c r="M488" i="2"/>
  <c r="N488" i="2"/>
  <c r="M484" i="2"/>
  <c r="N484" i="2"/>
  <c r="M480" i="2"/>
  <c r="N480" i="2"/>
  <c r="N476" i="2"/>
  <c r="M476" i="2"/>
  <c r="M472" i="2"/>
  <c r="N472" i="2"/>
  <c r="M468" i="2"/>
  <c r="N468" i="2"/>
  <c r="M464" i="2"/>
  <c r="N464" i="2"/>
  <c r="N460" i="2"/>
  <c r="M460" i="2"/>
  <c r="M456" i="2"/>
  <c r="N456" i="2"/>
  <c r="M452" i="2"/>
  <c r="N452" i="2"/>
  <c r="M448" i="2"/>
  <c r="N448" i="2"/>
  <c r="N444" i="2"/>
  <c r="M444" i="2"/>
  <c r="M440" i="2"/>
  <c r="N440" i="2"/>
  <c r="M436" i="2"/>
  <c r="N436" i="2"/>
  <c r="M432" i="2"/>
  <c r="N432" i="2"/>
  <c r="N428" i="2"/>
  <c r="M428" i="2"/>
  <c r="M424" i="2"/>
  <c r="N424" i="2"/>
  <c r="M420" i="2"/>
  <c r="N420" i="2"/>
  <c r="M416" i="2"/>
  <c r="N416" i="2"/>
  <c r="N412" i="2"/>
  <c r="M412" i="2"/>
  <c r="M408" i="2"/>
  <c r="N408" i="2"/>
  <c r="M404" i="2"/>
  <c r="N404" i="2"/>
  <c r="M400" i="2"/>
  <c r="N400" i="2"/>
  <c r="N396" i="2"/>
  <c r="M396" i="2"/>
  <c r="M392" i="2"/>
  <c r="N392" i="2"/>
  <c r="M388" i="2"/>
  <c r="N388" i="2"/>
  <c r="M384" i="2"/>
  <c r="N384" i="2"/>
  <c r="N380" i="2"/>
  <c r="M380" i="2"/>
  <c r="M376" i="2"/>
  <c r="N376" i="2"/>
  <c r="M372" i="2"/>
  <c r="N372" i="2"/>
  <c r="M368" i="2"/>
  <c r="N368" i="2"/>
  <c r="N364" i="2"/>
  <c r="M364" i="2"/>
  <c r="M360" i="2"/>
  <c r="N360" i="2"/>
  <c r="M356" i="2"/>
  <c r="N356" i="2"/>
  <c r="M352" i="2"/>
  <c r="N352" i="2"/>
  <c r="N348" i="2"/>
  <c r="M348" i="2"/>
  <c r="M344" i="2"/>
  <c r="N344" i="2"/>
  <c r="M340" i="2"/>
  <c r="N340" i="2"/>
  <c r="M336" i="2"/>
  <c r="N336" i="2"/>
  <c r="N332" i="2"/>
  <c r="M332" i="2"/>
  <c r="M328" i="2"/>
  <c r="N328" i="2"/>
  <c r="M324" i="2"/>
  <c r="N324" i="2"/>
  <c r="M320" i="2"/>
  <c r="N320" i="2"/>
  <c r="N316" i="2"/>
  <c r="M316" i="2"/>
  <c r="M312" i="2"/>
  <c r="N312" i="2"/>
  <c r="M308" i="2"/>
  <c r="N308" i="2"/>
  <c r="O304" i="2"/>
  <c r="N304" i="2" s="1"/>
  <c r="O300" i="2"/>
  <c r="N300" i="2" s="1"/>
  <c r="O296" i="2"/>
  <c r="N296" i="2" s="1"/>
  <c r="O292" i="2"/>
  <c r="N292" i="2" s="1"/>
  <c r="N288" i="2"/>
  <c r="M288" i="2"/>
  <c r="N284" i="2"/>
  <c r="M284" i="2"/>
  <c r="N280" i="2"/>
  <c r="M280" i="2"/>
  <c r="N276" i="2"/>
  <c r="M276" i="2"/>
  <c r="N272" i="2"/>
  <c r="M272" i="2"/>
  <c r="N268" i="2"/>
  <c r="M268" i="2"/>
  <c r="N264" i="2"/>
  <c r="M264" i="2"/>
  <c r="N260" i="2"/>
  <c r="M260" i="2"/>
  <c r="O256" i="2"/>
  <c r="N256" i="2" s="1"/>
  <c r="N252" i="2"/>
  <c r="M252" i="2"/>
  <c r="M1130" i="2"/>
  <c r="M1114" i="2"/>
  <c r="M1098" i="2"/>
  <c r="M1082" i="2"/>
  <c r="M1066" i="2"/>
  <c r="M1050" i="2"/>
  <c r="M1034" i="2"/>
  <c r="M1018" i="2"/>
  <c r="M1002" i="2"/>
  <c r="O1002" i="2" s="1"/>
  <c r="M986" i="2"/>
  <c r="M970" i="2"/>
  <c r="M954" i="2"/>
  <c r="M938" i="2"/>
  <c r="M922" i="2"/>
  <c r="M906" i="2"/>
  <c r="M890" i="2"/>
  <c r="M874" i="2"/>
  <c r="M858" i="2"/>
  <c r="M842" i="2"/>
  <c r="M826" i="2"/>
  <c r="M810" i="2"/>
  <c r="M784" i="2"/>
  <c r="M609" i="2"/>
  <c r="M593" i="2"/>
  <c r="M577" i="2"/>
  <c r="M561" i="2"/>
  <c r="M545" i="2"/>
  <c r="M513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309" i="2"/>
  <c r="M277" i="2"/>
  <c r="M261" i="2"/>
  <c r="N774" i="2"/>
  <c r="M774" i="2"/>
  <c r="N507" i="2"/>
  <c r="M507" i="2"/>
  <c r="N503" i="2"/>
  <c r="M503" i="2"/>
  <c r="N499" i="2"/>
  <c r="M499" i="2"/>
  <c r="N495" i="2"/>
  <c r="M495" i="2"/>
  <c r="N491" i="2"/>
  <c r="M491" i="2"/>
  <c r="N487" i="2"/>
  <c r="M487" i="2"/>
  <c r="N483" i="2"/>
  <c r="M483" i="2"/>
  <c r="N479" i="2"/>
  <c r="M479" i="2"/>
  <c r="N475" i="2"/>
  <c r="M475" i="2"/>
  <c r="N471" i="2"/>
  <c r="M471" i="2"/>
  <c r="N467" i="2"/>
  <c r="M467" i="2"/>
  <c r="N463" i="2"/>
  <c r="M463" i="2"/>
  <c r="N459" i="2"/>
  <c r="M459" i="2"/>
  <c r="N455" i="2"/>
  <c r="M455" i="2"/>
  <c r="N451" i="2"/>
  <c r="M451" i="2"/>
  <c r="N447" i="2"/>
  <c r="M447" i="2"/>
  <c r="N443" i="2"/>
  <c r="M443" i="2"/>
  <c r="N439" i="2"/>
  <c r="M439" i="2"/>
  <c r="N435" i="2"/>
  <c r="M435" i="2"/>
  <c r="N431" i="2"/>
  <c r="M431" i="2"/>
  <c r="N427" i="2"/>
  <c r="M427" i="2"/>
  <c r="N423" i="2"/>
  <c r="M423" i="2"/>
  <c r="N419" i="2"/>
  <c r="M419" i="2"/>
  <c r="N415" i="2"/>
  <c r="M415" i="2"/>
  <c r="N411" i="2"/>
  <c r="M411" i="2"/>
  <c r="N407" i="2"/>
  <c r="M407" i="2"/>
  <c r="N403" i="2"/>
  <c r="M403" i="2"/>
  <c r="N399" i="2"/>
  <c r="M399" i="2"/>
  <c r="N395" i="2"/>
  <c r="M395" i="2"/>
  <c r="N391" i="2"/>
  <c r="M391" i="2"/>
  <c r="N387" i="2"/>
  <c r="M387" i="2"/>
  <c r="N383" i="2"/>
  <c r="M383" i="2"/>
  <c r="N379" i="2"/>
  <c r="M379" i="2"/>
  <c r="N375" i="2"/>
  <c r="M375" i="2"/>
  <c r="N371" i="2"/>
  <c r="M371" i="2"/>
  <c r="N367" i="2"/>
  <c r="M367" i="2"/>
  <c r="N363" i="2"/>
  <c r="M363" i="2"/>
  <c r="N359" i="2"/>
  <c r="M359" i="2"/>
  <c r="N355" i="2"/>
  <c r="M355" i="2"/>
  <c r="N351" i="2"/>
  <c r="M351" i="2"/>
  <c r="N347" i="2"/>
  <c r="M347" i="2"/>
  <c r="N343" i="2"/>
  <c r="M343" i="2"/>
  <c r="N339" i="2"/>
  <c r="M339" i="2"/>
  <c r="N335" i="2"/>
  <c r="M335" i="2"/>
  <c r="N331" i="2"/>
  <c r="M331" i="2"/>
  <c r="N327" i="2"/>
  <c r="M327" i="2"/>
  <c r="N323" i="2"/>
  <c r="M323" i="2"/>
  <c r="N319" i="2"/>
  <c r="M319" i="2"/>
  <c r="N315" i="2"/>
  <c r="M315" i="2"/>
  <c r="N311" i="2"/>
  <c r="M311" i="2"/>
  <c r="N307" i="2"/>
  <c r="M307" i="2"/>
  <c r="O303" i="2"/>
  <c r="N303" i="2" s="1"/>
  <c r="O299" i="2"/>
  <c r="N299" i="2" s="1"/>
  <c r="O295" i="2"/>
  <c r="N295" i="2" s="1"/>
  <c r="O291" i="2"/>
  <c r="N291" i="2" s="1"/>
  <c r="N287" i="2"/>
  <c r="M287" i="2"/>
  <c r="N283" i="2"/>
  <c r="M283" i="2"/>
  <c r="N279" i="2"/>
  <c r="M279" i="2"/>
  <c r="N275" i="2"/>
  <c r="M275" i="2"/>
  <c r="N271" i="2"/>
  <c r="M271" i="2"/>
  <c r="N267" i="2"/>
  <c r="M267" i="2"/>
  <c r="N263" i="2"/>
  <c r="M263" i="2"/>
  <c r="N259" i="2"/>
  <c r="M259" i="2"/>
  <c r="O255" i="2"/>
  <c r="N255" i="2" s="1"/>
  <c r="N251" i="2"/>
  <c r="M251" i="2"/>
  <c r="M1143" i="2"/>
  <c r="M1126" i="2"/>
  <c r="M1110" i="2"/>
  <c r="M1094" i="2"/>
  <c r="M1078" i="2"/>
  <c r="O1078" i="2" s="1"/>
  <c r="M1062" i="2"/>
  <c r="M1046" i="2"/>
  <c r="M1030" i="2"/>
  <c r="M1014" i="2"/>
  <c r="M998" i="2"/>
  <c r="M982" i="2"/>
  <c r="M966" i="2"/>
  <c r="M950" i="2"/>
  <c r="O950" i="2" s="1"/>
  <c r="M934" i="2"/>
  <c r="M918" i="2"/>
  <c r="M902" i="2"/>
  <c r="M886" i="2"/>
  <c r="M870" i="2"/>
  <c r="M854" i="2"/>
  <c r="M838" i="2"/>
  <c r="M822" i="2"/>
  <c r="M806" i="2"/>
  <c r="M718" i="2"/>
  <c r="M637" i="2"/>
  <c r="M621" i="2"/>
  <c r="M605" i="2"/>
  <c r="M589" i="2"/>
  <c r="M573" i="2"/>
  <c r="M557" i="2"/>
  <c r="M541" i="2"/>
  <c r="M497" i="2"/>
  <c r="M481" i="2"/>
  <c r="M465" i="2"/>
  <c r="M449" i="2"/>
  <c r="M433" i="2"/>
  <c r="M417" i="2"/>
  <c r="M401" i="2"/>
  <c r="M385" i="2"/>
  <c r="M369" i="2"/>
  <c r="M353" i="2"/>
  <c r="M337" i="2"/>
  <c r="M321" i="2"/>
  <c r="M289" i="2"/>
  <c r="M273" i="2"/>
  <c r="M257" i="2"/>
  <c r="M795" i="2"/>
  <c r="M794" i="2"/>
  <c r="M793" i="2"/>
  <c r="O793" i="2" s="1"/>
  <c r="N792" i="2"/>
  <c r="M791" i="2"/>
  <c r="O791" i="2" s="1"/>
  <c r="M790" i="2"/>
  <c r="M788" i="2"/>
  <c r="O788" i="2" s="1"/>
  <c r="O787" i="2"/>
  <c r="N787" i="2" s="1"/>
  <c r="M786" i="2"/>
  <c r="M785" i="2"/>
  <c r="N783" i="2"/>
  <c r="N782" i="2"/>
  <c r="M781" i="2"/>
  <c r="M780" i="2"/>
  <c r="N779" i="2"/>
  <c r="N778" i="2"/>
  <c r="M777" i="2"/>
  <c r="M776" i="2"/>
  <c r="N775" i="2"/>
  <c r="N773" i="2"/>
  <c r="M772" i="2"/>
  <c r="M771" i="2"/>
  <c r="N770" i="2"/>
  <c r="N769" i="2"/>
  <c r="M768" i="2"/>
  <c r="M766" i="2"/>
  <c r="N765" i="2"/>
  <c r="N764" i="2"/>
  <c r="M762" i="2"/>
  <c r="M761" i="2"/>
  <c r="M760" i="2"/>
  <c r="O760" i="2" s="1"/>
  <c r="N759" i="2"/>
  <c r="M758" i="2"/>
  <c r="M757" i="2"/>
  <c r="M756" i="2"/>
  <c r="M755" i="2"/>
  <c r="M754" i="2"/>
  <c r="M753" i="2"/>
  <c r="M752" i="2"/>
  <c r="O752" i="2" s="1"/>
  <c r="N752" i="2" s="1"/>
  <c r="M751" i="2"/>
  <c r="M750" i="2"/>
  <c r="O749" i="2"/>
  <c r="N749" i="2" s="1"/>
  <c r="N748" i="2"/>
  <c r="O747" i="2"/>
  <c r="N747" i="2" s="1"/>
  <c r="M746" i="2"/>
  <c r="O746" i="2" s="1"/>
  <c r="M745" i="2"/>
  <c r="N744" i="2"/>
  <c r="M743" i="2"/>
  <c r="M742" i="2"/>
  <c r="M741" i="2"/>
  <c r="N739" i="2"/>
  <c r="M738" i="2"/>
  <c r="M737" i="2"/>
  <c r="N736" i="2"/>
  <c r="N735" i="2"/>
  <c r="M734" i="2"/>
  <c r="M733" i="2"/>
  <c r="M732" i="2"/>
  <c r="N731" i="2"/>
  <c r="M730" i="2"/>
  <c r="M729" i="2"/>
  <c r="M728" i="2"/>
  <c r="N726" i="2"/>
  <c r="M725" i="2"/>
  <c r="M724" i="2"/>
  <c r="N723" i="2"/>
  <c r="N722" i="2"/>
  <c r="M721" i="2"/>
  <c r="O721" i="2" s="1"/>
  <c r="M720" i="2"/>
  <c r="O720" i="2" s="1"/>
  <c r="N719" i="2"/>
  <c r="N717" i="2"/>
  <c r="M716" i="2"/>
  <c r="M715" i="2"/>
  <c r="N714" i="2"/>
  <c r="M713" i="2"/>
  <c r="M712" i="2"/>
  <c r="N711" i="2"/>
  <c r="N710" i="2"/>
  <c r="M709" i="2"/>
  <c r="M708" i="2"/>
  <c r="N707" i="2"/>
  <c r="N706" i="2"/>
  <c r="M705" i="2"/>
  <c r="M704" i="2"/>
  <c r="N703" i="2"/>
  <c r="N702" i="2"/>
  <c r="M701" i="2"/>
  <c r="O700" i="2"/>
  <c r="N700" i="2" s="1"/>
  <c r="M699" i="2"/>
  <c r="O699" i="2" s="1"/>
  <c r="M698" i="2"/>
  <c r="M697" i="2"/>
  <c r="M696" i="2"/>
  <c r="M695" i="2"/>
  <c r="M694" i="2"/>
  <c r="O693" i="2"/>
  <c r="N693" i="2" s="1"/>
  <c r="N692" i="2"/>
  <c r="N691" i="2"/>
  <c r="N690" i="2"/>
  <c r="M689" i="2"/>
  <c r="N688" i="2"/>
  <c r="N687" i="2"/>
  <c r="N686" i="2"/>
  <c r="M685" i="2"/>
  <c r="O685" i="2" s="1"/>
  <c r="M684" i="2"/>
  <c r="N683" i="2"/>
  <c r="N682" i="2"/>
  <c r="M681" i="2"/>
  <c r="M680" i="2"/>
  <c r="O679" i="2"/>
  <c r="N679" i="2" s="1"/>
  <c r="N678" i="2"/>
  <c r="M677" i="2"/>
  <c r="M676" i="2"/>
  <c r="M675" i="2"/>
  <c r="N674" i="2"/>
  <c r="M673" i="2"/>
  <c r="M672" i="2"/>
  <c r="M671" i="2"/>
  <c r="N670" i="2"/>
  <c r="M669" i="2"/>
  <c r="M668" i="2"/>
  <c r="M667" i="2"/>
  <c r="N666" i="2"/>
  <c r="M665" i="2"/>
  <c r="M664" i="2"/>
  <c r="M663" i="2"/>
  <c r="N662" i="2"/>
  <c r="M661" i="2"/>
  <c r="M660" i="2"/>
  <c r="M659" i="2"/>
  <c r="O658" i="2"/>
  <c r="N658" i="2" s="1"/>
  <c r="M657" i="2"/>
  <c r="M656" i="2"/>
  <c r="M655" i="2"/>
  <c r="M654" i="2"/>
  <c r="M653" i="2"/>
  <c r="L172" i="2"/>
  <c r="N1091" i="2" l="1"/>
  <c r="N1089" i="2"/>
  <c r="N1055" i="2"/>
  <c r="N1104" i="2"/>
  <c r="N1078" i="2"/>
  <c r="N1065" i="2"/>
  <c r="N1060" i="2"/>
  <c r="N1057" i="2"/>
  <c r="N1056" i="2"/>
  <c r="N1059" i="2"/>
  <c r="N1025" i="2"/>
  <c r="N999" i="2"/>
  <c r="N1133" i="2"/>
  <c r="N1054" i="2"/>
  <c r="N1053" i="2"/>
  <c r="N1001" i="2"/>
  <c r="N1002" i="2"/>
  <c r="N1005" i="2"/>
  <c r="N1012" i="2"/>
  <c r="N1011" i="2"/>
  <c r="N974" i="2"/>
  <c r="N951" i="2"/>
  <c r="N950" i="2"/>
  <c r="N789" i="2"/>
  <c r="N721" i="2"/>
  <c r="N720" i="2"/>
  <c r="N793" i="2"/>
  <c r="N791" i="2"/>
  <c r="N788" i="2"/>
  <c r="N760" i="2"/>
  <c r="N746" i="2"/>
  <c r="N699" i="2"/>
  <c r="N685" i="2"/>
  <c r="Q73" i="2"/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R73" i="2"/>
  <c r="Q5" i="2"/>
  <c r="S5" i="2" s="1"/>
  <c r="Q6" i="2"/>
  <c r="S6" i="2" s="1"/>
  <c r="Q7" i="2"/>
  <c r="S7" i="2" s="1"/>
  <c r="Q8" i="2"/>
  <c r="S8" i="2" s="1"/>
  <c r="Q9" i="2"/>
  <c r="S9" i="2" s="1"/>
  <c r="Q10" i="2"/>
  <c r="S10" i="2" s="1"/>
  <c r="Q11" i="2"/>
  <c r="S11" i="2" s="1"/>
  <c r="Q12" i="2"/>
  <c r="S12" i="2" s="1"/>
  <c r="Q13" i="2"/>
  <c r="S13" i="2" s="1"/>
  <c r="Q14" i="2"/>
  <c r="S14" i="2" s="1"/>
  <c r="Q15" i="2"/>
  <c r="S15" i="2" s="1"/>
  <c r="Q16" i="2"/>
  <c r="S16" i="2" s="1"/>
  <c r="Q17" i="2"/>
  <c r="S17" i="2" s="1"/>
  <c r="Q18" i="2"/>
  <c r="S18" i="2" s="1"/>
  <c r="Q19" i="2"/>
  <c r="S19" i="2" s="1"/>
  <c r="Q20" i="2"/>
  <c r="S20" i="2" s="1"/>
  <c r="Q21" i="2"/>
  <c r="S21" i="2" s="1"/>
  <c r="Q22" i="2"/>
  <c r="S22" i="2" s="1"/>
  <c r="Q23" i="2"/>
  <c r="S23" i="2" s="1"/>
  <c r="Q24" i="2"/>
  <c r="S24" i="2" s="1"/>
  <c r="Q25" i="2"/>
  <c r="S25" i="2" s="1"/>
  <c r="Q26" i="2"/>
  <c r="S26" i="2" s="1"/>
  <c r="Q27" i="2"/>
  <c r="S27" i="2" s="1"/>
  <c r="Q28" i="2"/>
  <c r="S28" i="2" s="1"/>
  <c r="Q29" i="2"/>
  <c r="S29" i="2" s="1"/>
  <c r="Q30" i="2"/>
  <c r="S30" i="2" s="1"/>
  <c r="Q31" i="2"/>
  <c r="S31" i="2" s="1"/>
  <c r="Q32" i="2"/>
  <c r="S32" i="2" s="1"/>
  <c r="Q33" i="2"/>
  <c r="S33" i="2" s="1"/>
  <c r="Q34" i="2"/>
  <c r="S34" i="2" s="1"/>
  <c r="Q35" i="2"/>
  <c r="S35" i="2" s="1"/>
  <c r="Q36" i="2"/>
  <c r="S36" i="2" s="1"/>
  <c r="Q37" i="2"/>
  <c r="S37" i="2" s="1"/>
  <c r="Q38" i="2"/>
  <c r="S38" i="2" s="1"/>
  <c r="Q39" i="2"/>
  <c r="S39" i="2" s="1"/>
  <c r="Q40" i="2"/>
  <c r="S40" i="2" s="1"/>
  <c r="Q41" i="2"/>
  <c r="S41" i="2" s="1"/>
  <c r="Q42" i="2"/>
  <c r="S42" i="2" s="1"/>
  <c r="Q43" i="2"/>
  <c r="S43" i="2" s="1"/>
  <c r="Q44" i="2"/>
  <c r="S44" i="2" s="1"/>
  <c r="Q45" i="2"/>
  <c r="S45" i="2" s="1"/>
  <c r="Q46" i="2"/>
  <c r="S46" i="2" s="1"/>
  <c r="Q47" i="2"/>
  <c r="S47" i="2" s="1"/>
  <c r="Q48" i="2"/>
  <c r="S48" i="2" s="1"/>
  <c r="Q49" i="2"/>
  <c r="S49" i="2" s="1"/>
  <c r="Q50" i="2"/>
  <c r="S50" i="2" s="1"/>
  <c r="Q51" i="2"/>
  <c r="S51" i="2" s="1"/>
  <c r="Q52" i="2"/>
  <c r="S52" i="2" s="1"/>
  <c r="Q53" i="2"/>
  <c r="S53" i="2" s="1"/>
  <c r="Q54" i="2"/>
  <c r="S54" i="2" s="1"/>
  <c r="Q55" i="2"/>
  <c r="S55" i="2" s="1"/>
  <c r="Q56" i="2"/>
  <c r="S56" i="2" s="1"/>
  <c r="Q57" i="2"/>
  <c r="S57" i="2" s="1"/>
  <c r="Q58" i="2"/>
  <c r="S58" i="2" s="1"/>
  <c r="Q59" i="2"/>
  <c r="S59" i="2" s="1"/>
  <c r="Q60" i="2"/>
  <c r="S60" i="2" s="1"/>
  <c r="Q61" i="2"/>
  <c r="S61" i="2" s="1"/>
  <c r="Q62" i="2"/>
  <c r="S62" i="2" s="1"/>
  <c r="Q63" i="2"/>
  <c r="S63" i="2" s="1"/>
  <c r="Q64" i="2"/>
  <c r="S64" i="2" s="1"/>
  <c r="Q65" i="2"/>
  <c r="S65" i="2" s="1"/>
  <c r="Q66" i="2"/>
  <c r="S66" i="2" s="1"/>
  <c r="Q67" i="2"/>
  <c r="S67" i="2" s="1"/>
  <c r="Q68" i="2"/>
  <c r="S68" i="2" s="1"/>
  <c r="Q69" i="2"/>
  <c r="S69" i="2" s="1"/>
  <c r="Q70" i="2"/>
  <c r="S70" i="2" s="1"/>
  <c r="Q71" i="2"/>
  <c r="S71" i="2" s="1"/>
  <c r="Q72" i="2"/>
  <c r="S72" i="2" s="1"/>
  <c r="S73" i="2"/>
  <c r="Q74" i="2"/>
  <c r="S74" i="2" s="1"/>
  <c r="Q75" i="2"/>
  <c r="S75" i="2" s="1"/>
  <c r="Q76" i="2"/>
  <c r="S76" i="2" s="1"/>
  <c r="Q77" i="2"/>
  <c r="S77" i="2" s="1"/>
  <c r="Q78" i="2"/>
  <c r="S78" i="2" s="1"/>
  <c r="Q79" i="2"/>
  <c r="S79" i="2" s="1"/>
  <c r="Q80" i="2"/>
  <c r="S80" i="2" s="1"/>
  <c r="Q81" i="2"/>
  <c r="S81" i="2" s="1"/>
  <c r="Q82" i="2"/>
  <c r="S82" i="2" s="1"/>
  <c r="Q83" i="2"/>
  <c r="S83" i="2" s="1"/>
  <c r="Q84" i="2"/>
  <c r="S84" i="2" s="1"/>
  <c r="Q85" i="2"/>
  <c r="S85" i="2" s="1"/>
  <c r="Q86" i="2"/>
  <c r="S86" i="2" s="1"/>
  <c r="Q87" i="2"/>
  <c r="S87" i="2" s="1"/>
  <c r="Q88" i="2"/>
  <c r="S88" i="2" s="1"/>
  <c r="Q89" i="2"/>
  <c r="S89" i="2" s="1"/>
  <c r="Q90" i="2"/>
  <c r="S90" i="2" s="1"/>
  <c r="Q91" i="2"/>
  <c r="S91" i="2" s="1"/>
  <c r="Q92" i="2"/>
  <c r="S92" i="2" s="1"/>
  <c r="Q93" i="2"/>
  <c r="S93" i="2" s="1"/>
  <c r="Q94" i="2"/>
  <c r="S94" i="2" s="1"/>
  <c r="Q95" i="2"/>
  <c r="S95" i="2" s="1"/>
  <c r="Q96" i="2"/>
  <c r="S96" i="2" s="1"/>
  <c r="Q97" i="2"/>
  <c r="S97" i="2" s="1"/>
  <c r="Q98" i="2"/>
  <c r="S98" i="2" s="1"/>
  <c r="Q99" i="2"/>
  <c r="S99" i="2" s="1"/>
  <c r="Q100" i="2"/>
  <c r="S100" i="2" s="1"/>
  <c r="Q101" i="2"/>
  <c r="S101" i="2" s="1"/>
  <c r="Q102" i="2"/>
  <c r="S102" i="2" s="1"/>
  <c r="Q103" i="2"/>
  <c r="S103" i="2" s="1"/>
  <c r="Q104" i="2"/>
  <c r="S104" i="2" s="1"/>
  <c r="Q105" i="2"/>
  <c r="S105" i="2" s="1"/>
  <c r="Q106" i="2"/>
  <c r="S106" i="2" s="1"/>
  <c r="Q107" i="2"/>
  <c r="S107" i="2" s="1"/>
  <c r="Q108" i="2"/>
  <c r="S108" i="2" s="1"/>
  <c r="Q109" i="2"/>
  <c r="S109" i="2" s="1"/>
  <c r="Q110" i="2"/>
  <c r="S110" i="2" s="1"/>
  <c r="Q111" i="2"/>
  <c r="S111" i="2" s="1"/>
  <c r="Q112" i="2"/>
  <c r="S112" i="2" s="1"/>
  <c r="Q113" i="2"/>
  <c r="S113" i="2" s="1"/>
  <c r="Q114" i="2"/>
  <c r="S114" i="2" s="1"/>
  <c r="Q115" i="2"/>
  <c r="S115" i="2" s="1"/>
  <c r="Q116" i="2"/>
  <c r="S116" i="2" s="1"/>
  <c r="Q117" i="2"/>
  <c r="S117" i="2" s="1"/>
  <c r="Q118" i="2"/>
  <c r="S118" i="2" s="1"/>
  <c r="Q119" i="2"/>
  <c r="S119" i="2" s="1"/>
  <c r="Q120" i="2"/>
  <c r="S120" i="2" s="1"/>
  <c r="Q121" i="2"/>
  <c r="S121" i="2" s="1"/>
  <c r="Q122" i="2"/>
  <c r="S122" i="2" s="1"/>
  <c r="Q123" i="2"/>
  <c r="S123" i="2" s="1"/>
  <c r="Q124" i="2"/>
  <c r="S124" i="2" s="1"/>
  <c r="Q125" i="2"/>
  <c r="S125" i="2" s="1"/>
  <c r="Q126" i="2"/>
  <c r="S126" i="2" s="1"/>
  <c r="Q127" i="2"/>
  <c r="S127" i="2" s="1"/>
  <c r="Q128" i="2"/>
  <c r="S128" i="2" s="1"/>
  <c r="Q129" i="2"/>
  <c r="S129" i="2" s="1"/>
  <c r="Q130" i="2"/>
  <c r="S130" i="2" s="1"/>
  <c r="Q131" i="2"/>
  <c r="S131" i="2" s="1"/>
  <c r="Q132" i="2"/>
  <c r="S132" i="2" s="1"/>
  <c r="Q133" i="2"/>
  <c r="S133" i="2" s="1"/>
  <c r="Q134" i="2"/>
  <c r="S134" i="2" s="1"/>
  <c r="Q135" i="2"/>
  <c r="S135" i="2" s="1"/>
  <c r="Q136" i="2"/>
  <c r="S136" i="2" s="1"/>
  <c r="Q137" i="2"/>
  <c r="S137" i="2" s="1"/>
  <c r="Q138" i="2"/>
  <c r="S138" i="2" s="1"/>
  <c r="Q139" i="2"/>
  <c r="S139" i="2" s="1"/>
  <c r="Q140" i="2"/>
  <c r="S140" i="2" s="1"/>
  <c r="Q141" i="2"/>
  <c r="S141" i="2" s="1"/>
  <c r="Q142" i="2"/>
  <c r="S142" i="2" s="1"/>
  <c r="Q143" i="2"/>
  <c r="S143" i="2" s="1"/>
  <c r="Q144" i="2"/>
  <c r="S144" i="2" s="1"/>
  <c r="Q145" i="2"/>
  <c r="S145" i="2" s="1"/>
  <c r="Q146" i="2"/>
  <c r="S146" i="2" s="1"/>
  <c r="Q147" i="2"/>
  <c r="S147" i="2" s="1"/>
  <c r="Q148" i="2"/>
  <c r="S148" i="2" s="1"/>
  <c r="Q149" i="2"/>
  <c r="S149" i="2" s="1"/>
  <c r="Q150" i="2"/>
  <c r="S150" i="2" s="1"/>
  <c r="Q151" i="2"/>
  <c r="S151" i="2" s="1"/>
  <c r="Q152" i="2"/>
  <c r="S152" i="2" s="1"/>
  <c r="Q153" i="2"/>
  <c r="S153" i="2" s="1"/>
  <c r="Q154" i="2"/>
  <c r="S154" i="2" s="1"/>
  <c r="Q155" i="2"/>
  <c r="S155" i="2" s="1"/>
  <c r="Q156" i="2"/>
  <c r="S156" i="2" s="1"/>
  <c r="Q157" i="2"/>
  <c r="S157" i="2" s="1"/>
  <c r="Q158" i="2"/>
  <c r="S158" i="2" s="1"/>
  <c r="Q159" i="2"/>
  <c r="S159" i="2" s="1"/>
  <c r="Q160" i="2"/>
  <c r="S160" i="2" s="1"/>
  <c r="Q161" i="2"/>
  <c r="S161" i="2" s="1"/>
  <c r="Q162" i="2"/>
  <c r="S162" i="2" s="1"/>
  <c r="Q163" i="2"/>
  <c r="S163" i="2" s="1"/>
  <c r="Q164" i="2"/>
  <c r="S164" i="2" s="1"/>
  <c r="Q165" i="2"/>
  <c r="S165" i="2" s="1"/>
  <c r="Q166" i="2"/>
  <c r="S166" i="2" s="1"/>
  <c r="Q167" i="2"/>
  <c r="S167" i="2" s="1"/>
  <c r="Q168" i="2"/>
  <c r="S168" i="2" s="1"/>
  <c r="Q169" i="2"/>
  <c r="S169" i="2" s="1"/>
  <c r="Q170" i="2"/>
  <c r="S170" i="2" s="1"/>
  <c r="Q171" i="2"/>
  <c r="S171" i="2" s="1"/>
  <c r="Q172" i="2"/>
  <c r="S172" i="2" s="1"/>
  <c r="Q173" i="2"/>
  <c r="S173" i="2" s="1"/>
  <c r="Q174" i="2"/>
  <c r="S174" i="2" s="1"/>
  <c r="Q175" i="2"/>
  <c r="S175" i="2" s="1"/>
  <c r="Q176" i="2"/>
  <c r="S176" i="2" s="1"/>
  <c r="Q177" i="2"/>
  <c r="S177" i="2" s="1"/>
  <c r="Q178" i="2"/>
  <c r="S178" i="2" s="1"/>
  <c r="Q179" i="2"/>
  <c r="S179" i="2" s="1"/>
  <c r="Q180" i="2"/>
  <c r="S180" i="2" s="1"/>
  <c r="Q181" i="2"/>
  <c r="S181" i="2" s="1"/>
  <c r="Q182" i="2"/>
  <c r="S182" i="2" s="1"/>
  <c r="Q183" i="2"/>
  <c r="S183" i="2" s="1"/>
  <c r="Q184" i="2"/>
  <c r="S184" i="2" s="1"/>
  <c r="Q185" i="2"/>
  <c r="S185" i="2" s="1"/>
  <c r="Q186" i="2"/>
  <c r="S186" i="2" s="1"/>
  <c r="Q187" i="2"/>
  <c r="S187" i="2" s="1"/>
  <c r="Q188" i="2"/>
  <c r="S188" i="2" s="1"/>
  <c r="Q189" i="2"/>
  <c r="S189" i="2" s="1"/>
  <c r="Q190" i="2"/>
  <c r="S190" i="2" s="1"/>
  <c r="Q191" i="2"/>
  <c r="S191" i="2" s="1"/>
  <c r="Q192" i="2"/>
  <c r="S192" i="2" s="1"/>
  <c r="Q193" i="2"/>
  <c r="S193" i="2" s="1"/>
  <c r="Q194" i="2"/>
  <c r="S194" i="2" s="1"/>
  <c r="Q195" i="2"/>
  <c r="S195" i="2" s="1"/>
  <c r="Q196" i="2"/>
  <c r="S196" i="2" s="1"/>
  <c r="Q197" i="2"/>
  <c r="S197" i="2" s="1"/>
  <c r="Q198" i="2"/>
  <c r="S198" i="2" s="1"/>
  <c r="Q199" i="2"/>
  <c r="S199" i="2" s="1"/>
  <c r="Q200" i="2"/>
  <c r="S200" i="2" s="1"/>
  <c r="Q201" i="2"/>
  <c r="S201" i="2" s="1"/>
  <c r="Q202" i="2"/>
  <c r="S202" i="2" s="1"/>
  <c r="Q203" i="2"/>
  <c r="S203" i="2" s="1"/>
  <c r="Q204" i="2"/>
  <c r="S204" i="2" s="1"/>
  <c r="Q205" i="2"/>
  <c r="S205" i="2" s="1"/>
  <c r="Q206" i="2"/>
  <c r="S206" i="2" s="1"/>
  <c r="Q207" i="2"/>
  <c r="S207" i="2" s="1"/>
  <c r="Q208" i="2"/>
  <c r="S208" i="2" s="1"/>
  <c r="Q209" i="2"/>
  <c r="S209" i="2" s="1"/>
  <c r="Q210" i="2"/>
  <c r="S210" i="2" s="1"/>
  <c r="Q211" i="2"/>
  <c r="S211" i="2" s="1"/>
  <c r="Q212" i="2"/>
  <c r="S212" i="2" s="1"/>
  <c r="Q213" i="2"/>
  <c r="S213" i="2" s="1"/>
  <c r="Q214" i="2"/>
  <c r="S214" i="2" s="1"/>
  <c r="Q215" i="2"/>
  <c r="S215" i="2" s="1"/>
  <c r="Q216" i="2"/>
  <c r="S216" i="2" s="1"/>
  <c r="Q217" i="2"/>
  <c r="S217" i="2" s="1"/>
  <c r="Q218" i="2"/>
  <c r="S218" i="2" s="1"/>
  <c r="Q219" i="2"/>
  <c r="S219" i="2" s="1"/>
  <c r="Q220" i="2"/>
  <c r="S220" i="2" s="1"/>
  <c r="Q221" i="2"/>
  <c r="S221" i="2" s="1"/>
  <c r="Q222" i="2"/>
  <c r="S222" i="2" s="1"/>
  <c r="Q223" i="2"/>
  <c r="S223" i="2" s="1"/>
  <c r="Q224" i="2"/>
  <c r="S224" i="2" s="1"/>
  <c r="Q225" i="2"/>
  <c r="S225" i="2" s="1"/>
  <c r="Q226" i="2"/>
  <c r="S226" i="2" s="1"/>
  <c r="Q227" i="2"/>
  <c r="S227" i="2" s="1"/>
  <c r="Q228" i="2"/>
  <c r="S228" i="2" s="1"/>
  <c r="Q229" i="2"/>
  <c r="S229" i="2" s="1"/>
  <c r="Q230" i="2"/>
  <c r="S230" i="2" s="1"/>
  <c r="Q231" i="2"/>
  <c r="S231" i="2" s="1"/>
  <c r="Q232" i="2"/>
  <c r="S232" i="2" s="1"/>
  <c r="Q233" i="2"/>
  <c r="S233" i="2" s="1"/>
  <c r="Q234" i="2"/>
  <c r="S234" i="2" s="1"/>
  <c r="Q235" i="2"/>
  <c r="S235" i="2" s="1"/>
  <c r="Q236" i="2"/>
  <c r="S236" i="2" s="1"/>
  <c r="Q237" i="2"/>
  <c r="S237" i="2" s="1"/>
  <c r="Q238" i="2"/>
  <c r="S238" i="2" s="1"/>
  <c r="Q239" i="2"/>
  <c r="S239" i="2" s="1"/>
  <c r="Q240" i="2"/>
  <c r="S240" i="2" s="1"/>
  <c r="Q241" i="2"/>
  <c r="S241" i="2" s="1"/>
  <c r="Q242" i="2"/>
  <c r="S242" i="2" s="1"/>
  <c r="Q243" i="2"/>
  <c r="S243" i="2" s="1"/>
  <c r="Q244" i="2"/>
  <c r="S244" i="2" s="1"/>
  <c r="Q245" i="2"/>
  <c r="S245" i="2" s="1"/>
  <c r="Q246" i="2"/>
  <c r="S246" i="2" s="1"/>
  <c r="Q247" i="2"/>
  <c r="S247" i="2" s="1"/>
  <c r="Q248" i="2"/>
  <c r="S248" i="2" s="1"/>
  <c r="Q249" i="2"/>
  <c r="S249" i="2" s="1"/>
  <c r="Q250" i="2"/>
  <c r="S250" i="2" s="1"/>
  <c r="P5" i="2"/>
  <c r="R5" i="2" s="1"/>
  <c r="P6" i="2"/>
  <c r="R6" i="2" s="1"/>
  <c r="P7" i="2"/>
  <c r="R7" i="2" s="1"/>
  <c r="P8" i="2"/>
  <c r="R8" i="2" s="1"/>
  <c r="P9" i="2"/>
  <c r="R9" i="2" s="1"/>
  <c r="P10" i="2"/>
  <c r="R10" i="2" s="1"/>
  <c r="P11" i="2"/>
  <c r="R11" i="2" s="1"/>
  <c r="P12" i="2"/>
  <c r="R12" i="2" s="1"/>
  <c r="P13" i="2"/>
  <c r="R13" i="2" s="1"/>
  <c r="P14" i="2"/>
  <c r="R14" i="2" s="1"/>
  <c r="P15" i="2"/>
  <c r="R15" i="2" s="1"/>
  <c r="P16" i="2"/>
  <c r="R16" i="2" s="1"/>
  <c r="P17" i="2"/>
  <c r="R17" i="2" s="1"/>
  <c r="P18" i="2"/>
  <c r="R18" i="2" s="1"/>
  <c r="P19" i="2"/>
  <c r="R19" i="2" s="1"/>
  <c r="P20" i="2"/>
  <c r="R20" i="2" s="1"/>
  <c r="P21" i="2"/>
  <c r="R21" i="2" s="1"/>
  <c r="P22" i="2"/>
  <c r="R22" i="2" s="1"/>
  <c r="P23" i="2"/>
  <c r="R23" i="2" s="1"/>
  <c r="P24" i="2"/>
  <c r="R24" i="2" s="1"/>
  <c r="P25" i="2"/>
  <c r="R25" i="2" s="1"/>
  <c r="P26" i="2"/>
  <c r="R26" i="2" s="1"/>
  <c r="P27" i="2"/>
  <c r="R27" i="2" s="1"/>
  <c r="P28" i="2"/>
  <c r="R28" i="2" s="1"/>
  <c r="P29" i="2"/>
  <c r="R29" i="2" s="1"/>
  <c r="P30" i="2"/>
  <c r="R30" i="2" s="1"/>
  <c r="P31" i="2"/>
  <c r="R31" i="2" s="1"/>
  <c r="P32" i="2"/>
  <c r="R32" i="2" s="1"/>
  <c r="P33" i="2"/>
  <c r="R33" i="2" s="1"/>
  <c r="P34" i="2"/>
  <c r="R34" i="2" s="1"/>
  <c r="P35" i="2"/>
  <c r="R35" i="2" s="1"/>
  <c r="P36" i="2"/>
  <c r="R36" i="2" s="1"/>
  <c r="P37" i="2"/>
  <c r="R37" i="2" s="1"/>
  <c r="P38" i="2"/>
  <c r="R38" i="2" s="1"/>
  <c r="P39" i="2"/>
  <c r="R39" i="2" s="1"/>
  <c r="P40" i="2"/>
  <c r="R40" i="2" s="1"/>
  <c r="P41" i="2"/>
  <c r="R41" i="2" s="1"/>
  <c r="P42" i="2"/>
  <c r="R42" i="2" s="1"/>
  <c r="P43" i="2"/>
  <c r="R43" i="2" s="1"/>
  <c r="P44" i="2"/>
  <c r="R44" i="2" s="1"/>
  <c r="P45" i="2"/>
  <c r="R45" i="2" s="1"/>
  <c r="P46" i="2"/>
  <c r="R46" i="2" s="1"/>
  <c r="P47" i="2"/>
  <c r="R47" i="2" s="1"/>
  <c r="P48" i="2"/>
  <c r="R48" i="2" s="1"/>
  <c r="P49" i="2"/>
  <c r="R49" i="2" s="1"/>
  <c r="P50" i="2"/>
  <c r="R50" i="2" s="1"/>
  <c r="P51" i="2"/>
  <c r="R51" i="2" s="1"/>
  <c r="P52" i="2"/>
  <c r="R52" i="2" s="1"/>
  <c r="P53" i="2"/>
  <c r="R53" i="2" s="1"/>
  <c r="P54" i="2"/>
  <c r="R54" i="2" s="1"/>
  <c r="P55" i="2"/>
  <c r="R55" i="2" s="1"/>
  <c r="P56" i="2"/>
  <c r="R56" i="2" s="1"/>
  <c r="P57" i="2"/>
  <c r="R57" i="2" s="1"/>
  <c r="P58" i="2"/>
  <c r="R58" i="2" s="1"/>
  <c r="P59" i="2"/>
  <c r="R59" i="2" s="1"/>
  <c r="P60" i="2"/>
  <c r="R60" i="2" s="1"/>
  <c r="P61" i="2"/>
  <c r="R61" i="2" s="1"/>
  <c r="P62" i="2"/>
  <c r="R62" i="2" s="1"/>
  <c r="P63" i="2"/>
  <c r="R63" i="2" s="1"/>
  <c r="P64" i="2"/>
  <c r="R64" i="2" s="1"/>
  <c r="P65" i="2"/>
  <c r="R65" i="2" s="1"/>
  <c r="P66" i="2"/>
  <c r="R66" i="2" s="1"/>
  <c r="P67" i="2"/>
  <c r="R67" i="2" s="1"/>
  <c r="P68" i="2"/>
  <c r="R68" i="2" s="1"/>
  <c r="P69" i="2"/>
  <c r="R69" i="2" s="1"/>
  <c r="P70" i="2"/>
  <c r="R70" i="2" s="1"/>
  <c r="P71" i="2"/>
  <c r="R71" i="2" s="1"/>
  <c r="P72" i="2"/>
  <c r="R72" i="2" s="1"/>
  <c r="P73" i="2"/>
  <c r="P74" i="2"/>
  <c r="R74" i="2" s="1"/>
  <c r="P75" i="2"/>
  <c r="R75" i="2" s="1"/>
  <c r="P76" i="2"/>
  <c r="R76" i="2" s="1"/>
  <c r="P77" i="2"/>
  <c r="R77" i="2" s="1"/>
  <c r="P78" i="2"/>
  <c r="R78" i="2" s="1"/>
  <c r="P79" i="2"/>
  <c r="R79" i="2" s="1"/>
  <c r="P80" i="2"/>
  <c r="R80" i="2" s="1"/>
  <c r="P81" i="2"/>
  <c r="R81" i="2" s="1"/>
  <c r="P82" i="2"/>
  <c r="R82" i="2" s="1"/>
  <c r="P83" i="2"/>
  <c r="R83" i="2" s="1"/>
  <c r="P84" i="2"/>
  <c r="R84" i="2" s="1"/>
  <c r="P85" i="2"/>
  <c r="R85" i="2" s="1"/>
  <c r="P86" i="2"/>
  <c r="R86" i="2" s="1"/>
  <c r="P87" i="2"/>
  <c r="R87" i="2" s="1"/>
  <c r="P88" i="2"/>
  <c r="R88" i="2" s="1"/>
  <c r="P89" i="2"/>
  <c r="R89" i="2" s="1"/>
  <c r="P90" i="2"/>
  <c r="R90" i="2" s="1"/>
  <c r="P91" i="2"/>
  <c r="R91" i="2" s="1"/>
  <c r="P92" i="2"/>
  <c r="R92" i="2" s="1"/>
  <c r="P93" i="2"/>
  <c r="R93" i="2" s="1"/>
  <c r="P94" i="2"/>
  <c r="R94" i="2" s="1"/>
  <c r="P95" i="2"/>
  <c r="R95" i="2" s="1"/>
  <c r="P96" i="2"/>
  <c r="R96" i="2" s="1"/>
  <c r="P97" i="2"/>
  <c r="R97" i="2" s="1"/>
  <c r="P98" i="2"/>
  <c r="R98" i="2" s="1"/>
  <c r="P99" i="2"/>
  <c r="R99" i="2" s="1"/>
  <c r="P100" i="2"/>
  <c r="R100" i="2" s="1"/>
  <c r="P101" i="2"/>
  <c r="R101" i="2" s="1"/>
  <c r="P102" i="2"/>
  <c r="R102" i="2" s="1"/>
  <c r="P103" i="2"/>
  <c r="R103" i="2" s="1"/>
  <c r="P104" i="2"/>
  <c r="R104" i="2" s="1"/>
  <c r="P105" i="2"/>
  <c r="R105" i="2" s="1"/>
  <c r="P106" i="2"/>
  <c r="R106" i="2" s="1"/>
  <c r="P107" i="2"/>
  <c r="R107" i="2" s="1"/>
  <c r="P108" i="2"/>
  <c r="R108" i="2" s="1"/>
  <c r="P109" i="2"/>
  <c r="R109" i="2" s="1"/>
  <c r="P110" i="2"/>
  <c r="R110" i="2" s="1"/>
  <c r="P111" i="2"/>
  <c r="R111" i="2" s="1"/>
  <c r="P112" i="2"/>
  <c r="R112" i="2" s="1"/>
  <c r="P113" i="2"/>
  <c r="R113" i="2" s="1"/>
  <c r="P114" i="2"/>
  <c r="R114" i="2" s="1"/>
  <c r="P115" i="2"/>
  <c r="R115" i="2" s="1"/>
  <c r="P116" i="2"/>
  <c r="R116" i="2" s="1"/>
  <c r="P117" i="2"/>
  <c r="R117" i="2" s="1"/>
  <c r="P118" i="2"/>
  <c r="R118" i="2" s="1"/>
  <c r="P119" i="2"/>
  <c r="R119" i="2" s="1"/>
  <c r="P120" i="2"/>
  <c r="R120" i="2" s="1"/>
  <c r="P121" i="2"/>
  <c r="R121" i="2" s="1"/>
  <c r="P122" i="2"/>
  <c r="R122" i="2" s="1"/>
  <c r="P123" i="2"/>
  <c r="R123" i="2" s="1"/>
  <c r="P124" i="2"/>
  <c r="R124" i="2" s="1"/>
  <c r="P125" i="2"/>
  <c r="R125" i="2" s="1"/>
  <c r="P126" i="2"/>
  <c r="R126" i="2" s="1"/>
  <c r="P127" i="2"/>
  <c r="R127" i="2" s="1"/>
  <c r="P128" i="2"/>
  <c r="R128" i="2" s="1"/>
  <c r="P129" i="2"/>
  <c r="R129" i="2" s="1"/>
  <c r="P130" i="2"/>
  <c r="R130" i="2" s="1"/>
  <c r="P131" i="2"/>
  <c r="R131" i="2" s="1"/>
  <c r="P132" i="2"/>
  <c r="R132" i="2" s="1"/>
  <c r="P133" i="2"/>
  <c r="R133" i="2" s="1"/>
  <c r="P134" i="2"/>
  <c r="R134" i="2" s="1"/>
  <c r="P135" i="2"/>
  <c r="R135" i="2" s="1"/>
  <c r="P136" i="2"/>
  <c r="R136" i="2" s="1"/>
  <c r="P137" i="2"/>
  <c r="R137" i="2" s="1"/>
  <c r="P138" i="2"/>
  <c r="R138" i="2" s="1"/>
  <c r="P139" i="2"/>
  <c r="R139" i="2" s="1"/>
  <c r="P140" i="2"/>
  <c r="R140" i="2" s="1"/>
  <c r="P141" i="2"/>
  <c r="R141" i="2" s="1"/>
  <c r="P142" i="2"/>
  <c r="R142" i="2" s="1"/>
  <c r="P143" i="2"/>
  <c r="R143" i="2" s="1"/>
  <c r="P144" i="2"/>
  <c r="R144" i="2" s="1"/>
  <c r="P145" i="2"/>
  <c r="R145" i="2" s="1"/>
  <c r="P146" i="2"/>
  <c r="R146" i="2" s="1"/>
  <c r="P147" i="2"/>
  <c r="R147" i="2" s="1"/>
  <c r="P148" i="2"/>
  <c r="R148" i="2" s="1"/>
  <c r="P149" i="2"/>
  <c r="R149" i="2" s="1"/>
  <c r="P150" i="2"/>
  <c r="R150" i="2" s="1"/>
  <c r="P151" i="2"/>
  <c r="R151" i="2" s="1"/>
  <c r="P152" i="2"/>
  <c r="R152" i="2" s="1"/>
  <c r="P153" i="2"/>
  <c r="R153" i="2" s="1"/>
  <c r="P154" i="2"/>
  <c r="R154" i="2" s="1"/>
  <c r="P155" i="2"/>
  <c r="R155" i="2" s="1"/>
  <c r="P156" i="2"/>
  <c r="R156" i="2" s="1"/>
  <c r="P157" i="2"/>
  <c r="R157" i="2" s="1"/>
  <c r="P158" i="2"/>
  <c r="R158" i="2" s="1"/>
  <c r="P159" i="2"/>
  <c r="R159" i="2" s="1"/>
  <c r="P160" i="2"/>
  <c r="R160" i="2" s="1"/>
  <c r="P161" i="2"/>
  <c r="R161" i="2" s="1"/>
  <c r="P162" i="2"/>
  <c r="R162" i="2" s="1"/>
  <c r="P163" i="2"/>
  <c r="R163" i="2" s="1"/>
  <c r="P164" i="2"/>
  <c r="R164" i="2" s="1"/>
  <c r="P165" i="2"/>
  <c r="R165" i="2" s="1"/>
  <c r="P166" i="2"/>
  <c r="R166" i="2" s="1"/>
  <c r="P167" i="2"/>
  <c r="R167" i="2" s="1"/>
  <c r="P168" i="2"/>
  <c r="R168" i="2" s="1"/>
  <c r="P169" i="2"/>
  <c r="R169" i="2" s="1"/>
  <c r="P170" i="2"/>
  <c r="R170" i="2" s="1"/>
  <c r="P171" i="2"/>
  <c r="R171" i="2" s="1"/>
  <c r="P172" i="2"/>
  <c r="R172" i="2" s="1"/>
  <c r="P173" i="2"/>
  <c r="R173" i="2" s="1"/>
  <c r="P174" i="2"/>
  <c r="R174" i="2" s="1"/>
  <c r="P175" i="2"/>
  <c r="R175" i="2" s="1"/>
  <c r="P176" i="2"/>
  <c r="R176" i="2" s="1"/>
  <c r="P177" i="2"/>
  <c r="R177" i="2" s="1"/>
  <c r="P178" i="2"/>
  <c r="R178" i="2" s="1"/>
  <c r="P179" i="2"/>
  <c r="R179" i="2" s="1"/>
  <c r="P180" i="2"/>
  <c r="R180" i="2" s="1"/>
  <c r="P181" i="2"/>
  <c r="R181" i="2" s="1"/>
  <c r="P182" i="2"/>
  <c r="R182" i="2" s="1"/>
  <c r="P183" i="2"/>
  <c r="R183" i="2" s="1"/>
  <c r="P184" i="2"/>
  <c r="R184" i="2" s="1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R190" i="2" s="1"/>
  <c r="P191" i="2"/>
  <c r="R191" i="2" s="1"/>
  <c r="P192" i="2"/>
  <c r="R192" i="2" s="1"/>
  <c r="P193" i="2"/>
  <c r="R193" i="2" s="1"/>
  <c r="P194" i="2"/>
  <c r="R194" i="2" s="1"/>
  <c r="P195" i="2"/>
  <c r="R195" i="2" s="1"/>
  <c r="P196" i="2"/>
  <c r="R196" i="2" s="1"/>
  <c r="P197" i="2"/>
  <c r="R197" i="2" s="1"/>
  <c r="P198" i="2"/>
  <c r="R198" i="2" s="1"/>
  <c r="P199" i="2"/>
  <c r="R199" i="2" s="1"/>
  <c r="P200" i="2"/>
  <c r="R200" i="2" s="1"/>
  <c r="P201" i="2"/>
  <c r="R201" i="2" s="1"/>
  <c r="P202" i="2"/>
  <c r="R202" i="2" s="1"/>
  <c r="P203" i="2"/>
  <c r="R203" i="2" s="1"/>
  <c r="P204" i="2"/>
  <c r="R204" i="2" s="1"/>
  <c r="P205" i="2"/>
  <c r="R205" i="2" s="1"/>
  <c r="P206" i="2"/>
  <c r="R206" i="2" s="1"/>
  <c r="P207" i="2"/>
  <c r="R207" i="2" s="1"/>
  <c r="P208" i="2"/>
  <c r="R208" i="2" s="1"/>
  <c r="P209" i="2"/>
  <c r="R209" i="2" s="1"/>
  <c r="P210" i="2"/>
  <c r="R210" i="2" s="1"/>
  <c r="P211" i="2"/>
  <c r="R211" i="2" s="1"/>
  <c r="P212" i="2"/>
  <c r="R212" i="2" s="1"/>
  <c r="P213" i="2"/>
  <c r="R213" i="2" s="1"/>
  <c r="P214" i="2"/>
  <c r="R214" i="2" s="1"/>
  <c r="P215" i="2"/>
  <c r="R215" i="2" s="1"/>
  <c r="P216" i="2"/>
  <c r="R216" i="2" s="1"/>
  <c r="P217" i="2"/>
  <c r="R217" i="2" s="1"/>
  <c r="P218" i="2"/>
  <c r="R218" i="2" s="1"/>
  <c r="P219" i="2"/>
  <c r="R219" i="2" s="1"/>
  <c r="P220" i="2"/>
  <c r="R220" i="2" s="1"/>
  <c r="P221" i="2"/>
  <c r="R221" i="2" s="1"/>
  <c r="P222" i="2"/>
  <c r="R222" i="2" s="1"/>
  <c r="P223" i="2"/>
  <c r="R223" i="2" s="1"/>
  <c r="P224" i="2"/>
  <c r="R224" i="2" s="1"/>
  <c r="P225" i="2"/>
  <c r="R225" i="2" s="1"/>
  <c r="P226" i="2"/>
  <c r="R226" i="2" s="1"/>
  <c r="P227" i="2"/>
  <c r="R227" i="2" s="1"/>
  <c r="P228" i="2"/>
  <c r="R228" i="2" s="1"/>
  <c r="P229" i="2"/>
  <c r="R229" i="2" s="1"/>
  <c r="P230" i="2"/>
  <c r="R230" i="2" s="1"/>
  <c r="P231" i="2"/>
  <c r="R231" i="2" s="1"/>
  <c r="P232" i="2"/>
  <c r="R232" i="2" s="1"/>
  <c r="P233" i="2"/>
  <c r="R233" i="2" s="1"/>
  <c r="P234" i="2"/>
  <c r="R234" i="2" s="1"/>
  <c r="P235" i="2"/>
  <c r="R235" i="2" s="1"/>
  <c r="P236" i="2"/>
  <c r="R236" i="2" s="1"/>
  <c r="P237" i="2"/>
  <c r="R237" i="2" s="1"/>
  <c r="P238" i="2"/>
  <c r="R238" i="2" s="1"/>
  <c r="P239" i="2"/>
  <c r="R239" i="2" s="1"/>
  <c r="P240" i="2"/>
  <c r="R240" i="2" s="1"/>
  <c r="P241" i="2"/>
  <c r="R241" i="2" s="1"/>
  <c r="P242" i="2"/>
  <c r="R242" i="2" s="1"/>
  <c r="P243" i="2"/>
  <c r="R243" i="2" s="1"/>
  <c r="P244" i="2"/>
  <c r="R244" i="2" s="1"/>
  <c r="P245" i="2"/>
  <c r="R245" i="2" s="1"/>
  <c r="P246" i="2"/>
  <c r="R246" i="2" s="1"/>
  <c r="P247" i="2"/>
  <c r="R247" i="2" s="1"/>
  <c r="P248" i="2"/>
  <c r="R248" i="2" s="1"/>
  <c r="P249" i="2"/>
  <c r="R249" i="2" s="1"/>
  <c r="P250" i="2"/>
  <c r="R250" i="2" s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9" i="2"/>
  <c r="O40" i="2"/>
  <c r="O41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9" i="2"/>
  <c r="O121" i="2"/>
  <c r="O123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L5" i="2"/>
  <c r="N5" i="2" s="1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N25" i="2" s="1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N55" i="2" s="1"/>
  <c r="L56" i="2"/>
  <c r="L57" i="2"/>
  <c r="N57" i="2" s="1"/>
  <c r="L58" i="2"/>
  <c r="L59" i="2"/>
  <c r="N59" i="2" s="1"/>
  <c r="L60" i="2"/>
  <c r="L61" i="2"/>
  <c r="N61" i="2" s="1"/>
  <c r="L62" i="2"/>
  <c r="L63" i="2"/>
  <c r="N63" i="2" s="1"/>
  <c r="L64" i="2"/>
  <c r="L65" i="2"/>
  <c r="N65" i="2" s="1"/>
  <c r="L66" i="2"/>
  <c r="L67" i="2"/>
  <c r="N67" i="2" s="1"/>
  <c r="L68" i="2"/>
  <c r="L69" i="2"/>
  <c r="N69" i="2" s="1"/>
  <c r="L70" i="2"/>
  <c r="L71" i="2"/>
  <c r="N71" i="2" s="1"/>
  <c r="L72" i="2"/>
  <c r="L73" i="2"/>
  <c r="N73" i="2" s="1"/>
  <c r="L74" i="2"/>
  <c r="L75" i="2"/>
  <c r="N75" i="2" s="1"/>
  <c r="L76" i="2"/>
  <c r="L77" i="2"/>
  <c r="N77" i="2" s="1"/>
  <c r="L78" i="2"/>
  <c r="L79" i="2"/>
  <c r="N79" i="2" s="1"/>
  <c r="L80" i="2"/>
  <c r="L81" i="2"/>
  <c r="N81" i="2" s="1"/>
  <c r="L82" i="2"/>
  <c r="L83" i="2"/>
  <c r="N83" i="2" s="1"/>
  <c r="L84" i="2"/>
  <c r="L85" i="2"/>
  <c r="N85" i="2" s="1"/>
  <c r="L86" i="2"/>
  <c r="L87" i="2"/>
  <c r="N87" i="2" s="1"/>
  <c r="L88" i="2"/>
  <c r="L89" i="2"/>
  <c r="N89" i="2" s="1"/>
  <c r="L90" i="2"/>
  <c r="L91" i="2"/>
  <c r="N91" i="2" s="1"/>
  <c r="L92" i="2"/>
  <c r="L93" i="2"/>
  <c r="N93" i="2" s="1"/>
  <c r="L94" i="2"/>
  <c r="L95" i="2"/>
  <c r="N95" i="2" s="1"/>
  <c r="L96" i="2"/>
  <c r="L97" i="2"/>
  <c r="N97" i="2" s="1"/>
  <c r="L98" i="2"/>
  <c r="L99" i="2"/>
  <c r="N99" i="2" s="1"/>
  <c r="L100" i="2"/>
  <c r="L101" i="2"/>
  <c r="L102" i="2"/>
  <c r="L103" i="2"/>
  <c r="N103" i="2" s="1"/>
  <c r="L104" i="2"/>
  <c r="L105" i="2"/>
  <c r="N105" i="2" s="1"/>
  <c r="L106" i="2"/>
  <c r="L107" i="2"/>
  <c r="N107" i="2" s="1"/>
  <c r="L108" i="2"/>
  <c r="L109" i="2"/>
  <c r="N109" i="2" s="1"/>
  <c r="L110" i="2"/>
  <c r="L111" i="2"/>
  <c r="N111" i="2" s="1"/>
  <c r="L112" i="2"/>
  <c r="L113" i="2"/>
  <c r="N113" i="2" s="1"/>
  <c r="L114" i="2"/>
  <c r="L115" i="2"/>
  <c r="N115" i="2" s="1"/>
  <c r="L116" i="2"/>
  <c r="L117" i="2"/>
  <c r="N117" i="2" s="1"/>
  <c r="L118" i="2"/>
  <c r="L119" i="2"/>
  <c r="N119" i="2" s="1"/>
  <c r="L120" i="2"/>
  <c r="L121" i="2"/>
  <c r="N121" i="2" s="1"/>
  <c r="L122" i="2"/>
  <c r="L123" i="2"/>
  <c r="N123" i="2" s="1"/>
  <c r="L124" i="2"/>
  <c r="L125" i="2"/>
  <c r="N125" i="2" s="1"/>
  <c r="L126" i="2"/>
  <c r="L127" i="2"/>
  <c r="N127" i="2" s="1"/>
  <c r="L128" i="2"/>
  <c r="L129" i="2"/>
  <c r="N129" i="2" s="1"/>
  <c r="L130" i="2"/>
  <c r="L131" i="2"/>
  <c r="N131" i="2" s="1"/>
  <c r="L132" i="2"/>
  <c r="L133" i="2"/>
  <c r="N133" i="2" s="1"/>
  <c r="L134" i="2"/>
  <c r="L135" i="2"/>
  <c r="N135" i="2" s="1"/>
  <c r="L136" i="2"/>
  <c r="N136" i="2" s="1"/>
  <c r="L137" i="2"/>
  <c r="N137" i="2" s="1"/>
  <c r="L138" i="2"/>
  <c r="N138" i="2" s="1"/>
  <c r="L139" i="2"/>
  <c r="N139" i="2" s="1"/>
  <c r="L140" i="2"/>
  <c r="N140" i="2" s="1"/>
  <c r="L141" i="2"/>
  <c r="N141" i="2" s="1"/>
  <c r="L142" i="2"/>
  <c r="N142" i="2" s="1"/>
  <c r="L143" i="2"/>
  <c r="N143" i="2" s="1"/>
  <c r="L144" i="2"/>
  <c r="N144" i="2" s="1"/>
  <c r="L145" i="2"/>
  <c r="N145" i="2" s="1"/>
  <c r="L146" i="2"/>
  <c r="N146" i="2" s="1"/>
  <c r="L147" i="2"/>
  <c r="N147" i="2" s="1"/>
  <c r="L148" i="2"/>
  <c r="N148" i="2" s="1"/>
  <c r="L149" i="2"/>
  <c r="N149" i="2" s="1"/>
  <c r="L150" i="2"/>
  <c r="N150" i="2" s="1"/>
  <c r="L151" i="2"/>
  <c r="N151" i="2" s="1"/>
  <c r="L152" i="2"/>
  <c r="N152" i="2" s="1"/>
  <c r="L153" i="2"/>
  <c r="N153" i="2" s="1"/>
  <c r="L154" i="2"/>
  <c r="N154" i="2" s="1"/>
  <c r="L155" i="2"/>
  <c r="N155" i="2" s="1"/>
  <c r="L156" i="2"/>
  <c r="N156" i="2" s="1"/>
  <c r="L157" i="2"/>
  <c r="N157" i="2" s="1"/>
  <c r="L158" i="2"/>
  <c r="N158" i="2" s="1"/>
  <c r="L159" i="2"/>
  <c r="N159" i="2" s="1"/>
  <c r="L160" i="2"/>
  <c r="N160" i="2" s="1"/>
  <c r="L161" i="2"/>
  <c r="N161" i="2" s="1"/>
  <c r="L162" i="2"/>
  <c r="N162" i="2" s="1"/>
  <c r="L163" i="2"/>
  <c r="N163" i="2" s="1"/>
  <c r="L164" i="2"/>
  <c r="N164" i="2" s="1"/>
  <c r="L165" i="2"/>
  <c r="N165" i="2" s="1"/>
  <c r="L166" i="2"/>
  <c r="N166" i="2" s="1"/>
  <c r="L167" i="2"/>
  <c r="N167" i="2" s="1"/>
  <c r="L168" i="2"/>
  <c r="N168" i="2" s="1"/>
  <c r="L169" i="2"/>
  <c r="N169" i="2" s="1"/>
  <c r="L170" i="2"/>
  <c r="N170" i="2" s="1"/>
  <c r="L171" i="2"/>
  <c r="N171" i="2" s="1"/>
  <c r="N172" i="2"/>
  <c r="L173" i="2"/>
  <c r="N173" i="2" s="1"/>
  <c r="L174" i="2"/>
  <c r="N174" i="2" s="1"/>
  <c r="L175" i="2"/>
  <c r="N175" i="2" s="1"/>
  <c r="L176" i="2"/>
  <c r="N176" i="2" s="1"/>
  <c r="L177" i="2"/>
  <c r="N177" i="2" s="1"/>
  <c r="L178" i="2"/>
  <c r="N178" i="2" s="1"/>
  <c r="L179" i="2"/>
  <c r="N179" i="2" s="1"/>
  <c r="L180" i="2"/>
  <c r="N180" i="2" s="1"/>
  <c r="L181" i="2"/>
  <c r="N181" i="2" s="1"/>
  <c r="L182" i="2"/>
  <c r="N182" i="2" s="1"/>
  <c r="L183" i="2"/>
  <c r="N183" i="2" s="1"/>
  <c r="L184" i="2"/>
  <c r="N184" i="2" s="1"/>
  <c r="L185" i="2"/>
  <c r="N185" i="2" s="1"/>
  <c r="L186" i="2"/>
  <c r="N186" i="2" s="1"/>
  <c r="L187" i="2"/>
  <c r="N187" i="2" s="1"/>
  <c r="L188" i="2"/>
  <c r="L189" i="2"/>
  <c r="N189" i="2" s="1"/>
  <c r="L190" i="2"/>
  <c r="N190" i="2" s="1"/>
  <c r="L191" i="2"/>
  <c r="N191" i="2" s="1"/>
  <c r="L192" i="2"/>
  <c r="N192" i="2" s="1"/>
  <c r="L193" i="2"/>
  <c r="N193" i="2" s="1"/>
  <c r="L194" i="2"/>
  <c r="N194" i="2" s="1"/>
  <c r="L195" i="2"/>
  <c r="N195" i="2" s="1"/>
  <c r="L196" i="2"/>
  <c r="N196" i="2" s="1"/>
  <c r="L197" i="2"/>
  <c r="N197" i="2" s="1"/>
  <c r="L198" i="2"/>
  <c r="N198" i="2" s="1"/>
  <c r="L199" i="2"/>
  <c r="N199" i="2" s="1"/>
  <c r="L200" i="2"/>
  <c r="N200" i="2" s="1"/>
  <c r="L201" i="2"/>
  <c r="N201" i="2" s="1"/>
  <c r="L202" i="2"/>
  <c r="N202" i="2" s="1"/>
  <c r="L203" i="2"/>
  <c r="N203" i="2" s="1"/>
  <c r="L204" i="2"/>
  <c r="N204" i="2" s="1"/>
  <c r="L205" i="2"/>
  <c r="N205" i="2" s="1"/>
  <c r="L206" i="2"/>
  <c r="N206" i="2" s="1"/>
  <c r="L207" i="2"/>
  <c r="N207" i="2" s="1"/>
  <c r="L208" i="2"/>
  <c r="N208" i="2" s="1"/>
  <c r="L209" i="2"/>
  <c r="N209" i="2" s="1"/>
  <c r="L210" i="2"/>
  <c r="N210" i="2" s="1"/>
  <c r="L211" i="2"/>
  <c r="N211" i="2" s="1"/>
  <c r="L212" i="2"/>
  <c r="N212" i="2" s="1"/>
  <c r="L213" i="2"/>
  <c r="N213" i="2" s="1"/>
  <c r="L214" i="2"/>
  <c r="N214" i="2" s="1"/>
  <c r="L215" i="2"/>
  <c r="N215" i="2" s="1"/>
  <c r="L216" i="2"/>
  <c r="N216" i="2" s="1"/>
  <c r="L217" i="2"/>
  <c r="N217" i="2" s="1"/>
  <c r="L218" i="2"/>
  <c r="N218" i="2" s="1"/>
  <c r="L219" i="2"/>
  <c r="N219" i="2" s="1"/>
  <c r="L220" i="2"/>
  <c r="N220" i="2" s="1"/>
  <c r="L221" i="2"/>
  <c r="N221" i="2" s="1"/>
  <c r="L222" i="2"/>
  <c r="N222" i="2" s="1"/>
  <c r="L223" i="2"/>
  <c r="N223" i="2" s="1"/>
  <c r="L224" i="2"/>
  <c r="N224" i="2" s="1"/>
  <c r="L225" i="2"/>
  <c r="N225" i="2" s="1"/>
  <c r="L226" i="2"/>
  <c r="N226" i="2" s="1"/>
  <c r="L227" i="2"/>
  <c r="N227" i="2" s="1"/>
  <c r="L228" i="2"/>
  <c r="N228" i="2" s="1"/>
  <c r="L229" i="2"/>
  <c r="N229" i="2" s="1"/>
  <c r="L230" i="2"/>
  <c r="N230" i="2" s="1"/>
  <c r="L231" i="2"/>
  <c r="N231" i="2" s="1"/>
  <c r="L232" i="2"/>
  <c r="N232" i="2" s="1"/>
  <c r="L233" i="2"/>
  <c r="N233" i="2" s="1"/>
  <c r="L234" i="2"/>
  <c r="N234" i="2" s="1"/>
  <c r="L235" i="2"/>
  <c r="N235" i="2" s="1"/>
  <c r="L236" i="2"/>
  <c r="N236" i="2" s="1"/>
  <c r="L237" i="2"/>
  <c r="N237" i="2" s="1"/>
  <c r="L238" i="2"/>
  <c r="N238" i="2" s="1"/>
  <c r="L239" i="2"/>
  <c r="N239" i="2" s="1"/>
  <c r="L240" i="2"/>
  <c r="N240" i="2" s="1"/>
  <c r="L241" i="2"/>
  <c r="N241" i="2" s="1"/>
  <c r="L242" i="2"/>
  <c r="N242" i="2" s="1"/>
  <c r="L243" i="2"/>
  <c r="N243" i="2" s="1"/>
  <c r="L244" i="2"/>
  <c r="N244" i="2" s="1"/>
  <c r="L245" i="2"/>
  <c r="N245" i="2" s="1"/>
  <c r="L246" i="2"/>
  <c r="N246" i="2" s="1"/>
  <c r="L247" i="2"/>
  <c r="N247" i="2" s="1"/>
  <c r="L248" i="2"/>
  <c r="N248" i="2" s="1"/>
  <c r="N249" i="2"/>
  <c r="V1148" i="2"/>
  <c r="J1148" i="2"/>
  <c r="K1148" i="2" s="1"/>
  <c r="V1146" i="2"/>
  <c r="S1146" i="2"/>
  <c r="L1146" i="2"/>
  <c r="M1146" i="2" s="1"/>
  <c r="V4" i="2"/>
  <c r="V1147" i="2" s="1"/>
  <c r="Q4" i="2"/>
  <c r="P4" i="2"/>
  <c r="O4" i="2"/>
  <c r="L4" i="2"/>
  <c r="I1" i="2"/>
  <c r="T189" i="2" l="1"/>
  <c r="T188" i="2"/>
  <c r="T147" i="2"/>
  <c r="T143" i="2"/>
  <c r="T139" i="2"/>
  <c r="T135" i="2"/>
  <c r="T73" i="2"/>
  <c r="T186" i="2"/>
  <c r="T182" i="2"/>
  <c r="T178" i="2"/>
  <c r="T174" i="2"/>
  <c r="T170" i="2"/>
  <c r="T166" i="2"/>
  <c r="T162" i="2"/>
  <c r="T158" i="2"/>
  <c r="T154" i="2"/>
  <c r="T150" i="2"/>
  <c r="T149" i="2"/>
  <c r="T145" i="2"/>
  <c r="T141" i="2"/>
  <c r="T137" i="2"/>
  <c r="T133" i="2"/>
  <c r="T184" i="2"/>
  <c r="T180" i="2"/>
  <c r="T176" i="2"/>
  <c r="T168" i="2"/>
  <c r="T164" i="2"/>
  <c r="T160" i="2"/>
  <c r="T156" i="2"/>
  <c r="T152" i="2"/>
  <c r="N132" i="2"/>
  <c r="M132" i="2"/>
  <c r="N128" i="2"/>
  <c r="M128" i="2"/>
  <c r="M124" i="2"/>
  <c r="O124" i="2" s="1"/>
  <c r="M120" i="2"/>
  <c r="O120" i="2" s="1"/>
  <c r="N116" i="2"/>
  <c r="M116" i="2"/>
  <c r="N112" i="2"/>
  <c r="M112" i="2"/>
  <c r="N108" i="2"/>
  <c r="M108" i="2"/>
  <c r="N104" i="2"/>
  <c r="M104" i="2"/>
  <c r="N100" i="2"/>
  <c r="M100" i="2"/>
  <c r="N96" i="2"/>
  <c r="M96" i="2"/>
  <c r="N92" i="2"/>
  <c r="M92" i="2"/>
  <c r="N88" i="2"/>
  <c r="M88" i="2"/>
  <c r="N84" i="2"/>
  <c r="M84" i="2"/>
  <c r="N80" i="2"/>
  <c r="M80" i="2"/>
  <c r="N76" i="2"/>
  <c r="M76" i="2"/>
  <c r="N72" i="2"/>
  <c r="M72" i="2"/>
  <c r="N68" i="2"/>
  <c r="M68" i="2"/>
  <c r="N64" i="2"/>
  <c r="M64" i="2"/>
  <c r="N60" i="2"/>
  <c r="M60" i="2"/>
  <c r="N56" i="2"/>
  <c r="M56" i="2"/>
  <c r="N52" i="2"/>
  <c r="M52" i="2"/>
  <c r="N48" i="2"/>
  <c r="M48" i="2"/>
  <c r="N44" i="2"/>
  <c r="M44" i="2"/>
  <c r="N40" i="2"/>
  <c r="M40" i="2"/>
  <c r="N36" i="2"/>
  <c r="M36" i="2"/>
  <c r="N32" i="2"/>
  <c r="M32" i="2"/>
  <c r="N28" i="2"/>
  <c r="M28" i="2"/>
  <c r="M246" i="2"/>
  <c r="M242" i="2"/>
  <c r="M238" i="2"/>
  <c r="M234" i="2"/>
  <c r="M230" i="2"/>
  <c r="M226" i="2"/>
  <c r="M222" i="2"/>
  <c r="M215" i="2"/>
  <c r="M211" i="2"/>
  <c r="M207" i="2"/>
  <c r="M203" i="2"/>
  <c r="M199" i="2"/>
  <c r="M195" i="2"/>
  <c r="M191" i="2"/>
  <c r="M187" i="2"/>
  <c r="M183" i="2"/>
  <c r="M179" i="2"/>
  <c r="M175" i="2"/>
  <c r="M171" i="2"/>
  <c r="M167" i="2"/>
  <c r="M163" i="2"/>
  <c r="M159" i="2"/>
  <c r="M155" i="2"/>
  <c r="M151" i="2"/>
  <c r="M148" i="2"/>
  <c r="M144" i="2"/>
  <c r="M140" i="2"/>
  <c r="M136" i="2"/>
  <c r="M129" i="2"/>
  <c r="M121" i="2"/>
  <c r="M113" i="2"/>
  <c r="M105" i="2"/>
  <c r="M97" i="2"/>
  <c r="M89" i="2"/>
  <c r="M81" i="2"/>
  <c r="M73" i="2"/>
  <c r="M65" i="2"/>
  <c r="M57" i="2"/>
  <c r="M51" i="2"/>
  <c r="N51" i="2"/>
  <c r="M47" i="2"/>
  <c r="N47" i="2"/>
  <c r="M43" i="2"/>
  <c r="O43" i="2" s="1"/>
  <c r="M39" i="2"/>
  <c r="N39" i="2"/>
  <c r="M35" i="2"/>
  <c r="N35" i="2"/>
  <c r="M31" i="2"/>
  <c r="N31" i="2"/>
  <c r="M27" i="2"/>
  <c r="N27" i="2"/>
  <c r="M249" i="2"/>
  <c r="M245" i="2"/>
  <c r="M241" i="2"/>
  <c r="M237" i="2"/>
  <c r="M233" i="2"/>
  <c r="M229" i="2"/>
  <c r="M225" i="2"/>
  <c r="M221" i="2"/>
  <c r="M218" i="2"/>
  <c r="M214" i="2"/>
  <c r="M210" i="2"/>
  <c r="M206" i="2"/>
  <c r="M202" i="2"/>
  <c r="M198" i="2"/>
  <c r="M194" i="2"/>
  <c r="M190" i="2"/>
  <c r="M186" i="2"/>
  <c r="M182" i="2"/>
  <c r="M178" i="2"/>
  <c r="M174" i="2"/>
  <c r="M170" i="2"/>
  <c r="M166" i="2"/>
  <c r="M162" i="2"/>
  <c r="M158" i="2"/>
  <c r="M154" i="2"/>
  <c r="M150" i="2"/>
  <c r="M147" i="2"/>
  <c r="M143" i="2"/>
  <c r="M139" i="2"/>
  <c r="M135" i="2"/>
  <c r="M127" i="2"/>
  <c r="M119" i="2"/>
  <c r="M111" i="2"/>
  <c r="M103" i="2"/>
  <c r="M95" i="2"/>
  <c r="M87" i="2"/>
  <c r="M79" i="2"/>
  <c r="M71" i="2"/>
  <c r="M63" i="2"/>
  <c r="M55" i="2"/>
  <c r="M134" i="2"/>
  <c r="N134" i="2"/>
  <c r="M130" i="2"/>
  <c r="N130" i="2"/>
  <c r="M126" i="2"/>
  <c r="N126" i="2"/>
  <c r="M122" i="2"/>
  <c r="O122" i="2" s="1"/>
  <c r="M118" i="2"/>
  <c r="O118" i="2" s="1"/>
  <c r="M114" i="2"/>
  <c r="N114" i="2"/>
  <c r="M110" i="2"/>
  <c r="N110" i="2"/>
  <c r="M106" i="2"/>
  <c r="N106" i="2"/>
  <c r="M102" i="2"/>
  <c r="N102" i="2"/>
  <c r="M98" i="2"/>
  <c r="N98" i="2"/>
  <c r="M94" i="2"/>
  <c r="N94" i="2"/>
  <c r="M90" i="2"/>
  <c r="N90" i="2"/>
  <c r="M86" i="2"/>
  <c r="N86" i="2"/>
  <c r="M82" i="2"/>
  <c r="N82" i="2"/>
  <c r="M78" i="2"/>
  <c r="N78" i="2"/>
  <c r="M74" i="2"/>
  <c r="N74" i="2"/>
  <c r="M70" i="2"/>
  <c r="N70" i="2"/>
  <c r="M66" i="2"/>
  <c r="N66" i="2"/>
  <c r="M62" i="2"/>
  <c r="N62" i="2"/>
  <c r="M58" i="2"/>
  <c r="N58" i="2"/>
  <c r="M54" i="2"/>
  <c r="N54" i="2"/>
  <c r="M50" i="2"/>
  <c r="N50" i="2"/>
  <c r="M46" i="2"/>
  <c r="N46" i="2"/>
  <c r="M42" i="2"/>
  <c r="O42" i="2" s="1"/>
  <c r="M38" i="2"/>
  <c r="O38" i="2" s="1"/>
  <c r="M34" i="2"/>
  <c r="N34" i="2"/>
  <c r="M30" i="2"/>
  <c r="N30" i="2"/>
  <c r="M26" i="2"/>
  <c r="N26" i="2"/>
  <c r="M248" i="2"/>
  <c r="M244" i="2"/>
  <c r="M240" i="2"/>
  <c r="M236" i="2"/>
  <c r="M232" i="2"/>
  <c r="M228" i="2"/>
  <c r="M224" i="2"/>
  <c r="M220" i="2"/>
  <c r="M217" i="2"/>
  <c r="M213" i="2"/>
  <c r="M209" i="2"/>
  <c r="M205" i="2"/>
  <c r="M201" i="2"/>
  <c r="M197" i="2"/>
  <c r="M193" i="2"/>
  <c r="M189" i="2"/>
  <c r="M185" i="2"/>
  <c r="M181" i="2"/>
  <c r="M177" i="2"/>
  <c r="M173" i="2"/>
  <c r="M169" i="2"/>
  <c r="M165" i="2"/>
  <c r="M161" i="2"/>
  <c r="M157" i="2"/>
  <c r="M153" i="2"/>
  <c r="M146" i="2"/>
  <c r="M142" i="2"/>
  <c r="M138" i="2"/>
  <c r="M133" i="2"/>
  <c r="M125" i="2"/>
  <c r="M117" i="2"/>
  <c r="M109" i="2"/>
  <c r="M101" i="2"/>
  <c r="O101" i="2" s="1"/>
  <c r="M93" i="2"/>
  <c r="M85" i="2"/>
  <c r="M77" i="2"/>
  <c r="M69" i="2"/>
  <c r="M61" i="2"/>
  <c r="M53" i="2"/>
  <c r="N53" i="2"/>
  <c r="M49" i="2"/>
  <c r="N49" i="2"/>
  <c r="M45" i="2"/>
  <c r="N45" i="2"/>
  <c r="M41" i="2"/>
  <c r="N41" i="2"/>
  <c r="M37" i="2"/>
  <c r="N37" i="2"/>
  <c r="M33" i="2"/>
  <c r="N33" i="2"/>
  <c r="M29" i="2"/>
  <c r="N29" i="2"/>
  <c r="M247" i="2"/>
  <c r="M243" i="2"/>
  <c r="M239" i="2"/>
  <c r="M235" i="2"/>
  <c r="M231" i="2"/>
  <c r="M227" i="2"/>
  <c r="M223" i="2"/>
  <c r="M219" i="2"/>
  <c r="M216" i="2"/>
  <c r="M212" i="2"/>
  <c r="M208" i="2"/>
  <c r="M204" i="2"/>
  <c r="M200" i="2"/>
  <c r="M196" i="2"/>
  <c r="M192" i="2"/>
  <c r="M188" i="2"/>
  <c r="O188" i="2" s="1"/>
  <c r="M184" i="2"/>
  <c r="M180" i="2"/>
  <c r="M176" i="2"/>
  <c r="M172" i="2"/>
  <c r="M168" i="2"/>
  <c r="M164" i="2"/>
  <c r="M160" i="2"/>
  <c r="M156" i="2"/>
  <c r="M152" i="2"/>
  <c r="M149" i="2"/>
  <c r="M145" i="2"/>
  <c r="M141" i="2"/>
  <c r="M137" i="2"/>
  <c r="M131" i="2"/>
  <c r="M123" i="2"/>
  <c r="M115" i="2"/>
  <c r="M107" i="2"/>
  <c r="M99" i="2"/>
  <c r="M91" i="2"/>
  <c r="M83" i="2"/>
  <c r="M75" i="2"/>
  <c r="M67" i="2"/>
  <c r="M59" i="2"/>
  <c r="T185" i="2"/>
  <c r="T181" i="2"/>
  <c r="T177" i="2"/>
  <c r="T173" i="2"/>
  <c r="T169" i="2"/>
  <c r="T165" i="2"/>
  <c r="T161" i="2"/>
  <c r="T157" i="2"/>
  <c r="T153" i="2"/>
  <c r="T146" i="2"/>
  <c r="T142" i="2"/>
  <c r="T138" i="2"/>
  <c r="T187" i="2"/>
  <c r="T183" i="2"/>
  <c r="T179" i="2"/>
  <c r="T175" i="2"/>
  <c r="T171" i="2"/>
  <c r="T167" i="2"/>
  <c r="T163" i="2"/>
  <c r="T159" i="2"/>
  <c r="T155" i="2"/>
  <c r="T151" i="2"/>
  <c r="T148" i="2"/>
  <c r="T144" i="2"/>
  <c r="T140" i="2"/>
  <c r="T131" i="2"/>
  <c r="T127" i="2"/>
  <c r="T123" i="2"/>
  <c r="T119" i="2"/>
  <c r="T115" i="2"/>
  <c r="T111" i="2"/>
  <c r="T107" i="2"/>
  <c r="T103" i="2"/>
  <c r="T99" i="2"/>
  <c r="T95" i="2"/>
  <c r="T91" i="2"/>
  <c r="T87" i="2"/>
  <c r="T83" i="2"/>
  <c r="T79" i="2"/>
  <c r="T75" i="2"/>
  <c r="T71" i="2"/>
  <c r="T67" i="2"/>
  <c r="T63" i="2"/>
  <c r="T59" i="2"/>
  <c r="T55" i="2"/>
  <c r="T51" i="2"/>
  <c r="T47" i="2"/>
  <c r="T43" i="2"/>
  <c r="T39" i="2"/>
  <c r="T35" i="2"/>
  <c r="T31" i="2"/>
  <c r="T27" i="2"/>
  <c r="T134" i="2"/>
  <c r="T130" i="2"/>
  <c r="T126" i="2"/>
  <c r="T122" i="2"/>
  <c r="T118" i="2"/>
  <c r="T114" i="2"/>
  <c r="T110" i="2"/>
  <c r="T106" i="2"/>
  <c r="T102" i="2"/>
  <c r="T98" i="2"/>
  <c r="T94" i="2"/>
  <c r="T90" i="2"/>
  <c r="T86" i="2"/>
  <c r="T82" i="2"/>
  <c r="T78" i="2"/>
  <c r="T74" i="2"/>
  <c r="T70" i="2"/>
  <c r="T66" i="2"/>
  <c r="T62" i="2"/>
  <c r="T58" i="2"/>
  <c r="T54" i="2"/>
  <c r="T50" i="2"/>
  <c r="T46" i="2"/>
  <c r="T42" i="2"/>
  <c r="T38" i="2"/>
  <c r="T34" i="2"/>
  <c r="T30" i="2"/>
  <c r="T26" i="2"/>
  <c r="T129" i="2"/>
  <c r="T125" i="2"/>
  <c r="T121" i="2"/>
  <c r="T117" i="2"/>
  <c r="T113" i="2"/>
  <c r="T109" i="2"/>
  <c r="T105" i="2"/>
  <c r="T101" i="2"/>
  <c r="T97" i="2"/>
  <c r="T93" i="2"/>
  <c r="T89" i="2"/>
  <c r="T85" i="2"/>
  <c r="T81" i="2"/>
  <c r="T77" i="2"/>
  <c r="T69" i="2"/>
  <c r="T65" i="2"/>
  <c r="T61" i="2"/>
  <c r="T57" i="2"/>
  <c r="T53" i="2"/>
  <c r="T49" i="2"/>
  <c r="T45" i="2"/>
  <c r="T41" i="2"/>
  <c r="T37" i="2"/>
  <c r="T33" i="2"/>
  <c r="T29" i="2"/>
  <c r="T136" i="2"/>
  <c r="T132" i="2"/>
  <c r="T128" i="2"/>
  <c r="T124" i="2"/>
  <c r="T120" i="2"/>
  <c r="T116" i="2"/>
  <c r="T112" i="2"/>
  <c r="T108" i="2"/>
  <c r="T104" i="2"/>
  <c r="T100" i="2"/>
  <c r="T96" i="2"/>
  <c r="T92" i="2"/>
  <c r="T88" i="2"/>
  <c r="T84" i="2"/>
  <c r="T80" i="2"/>
  <c r="T76" i="2"/>
  <c r="T72" i="2"/>
  <c r="T68" i="2"/>
  <c r="T64" i="2"/>
  <c r="T60" i="2"/>
  <c r="T56" i="2"/>
  <c r="T52" i="2"/>
  <c r="T48" i="2"/>
  <c r="T44" i="2"/>
  <c r="T40" i="2"/>
  <c r="T36" i="2"/>
  <c r="T32" i="2"/>
  <c r="T28" i="2"/>
  <c r="T19" i="2"/>
  <c r="T11" i="2"/>
  <c r="T22" i="2"/>
  <c r="T18" i="2"/>
  <c r="T14" i="2"/>
  <c r="T10" i="2"/>
  <c r="T6" i="2"/>
  <c r="T23" i="2"/>
  <c r="T15" i="2"/>
  <c r="T7" i="2"/>
  <c r="T25" i="2"/>
  <c r="T21" i="2"/>
  <c r="T17" i="2"/>
  <c r="T13" i="2"/>
  <c r="T9" i="2"/>
  <c r="T5" i="2"/>
  <c r="T24" i="2"/>
  <c r="T20" i="2"/>
  <c r="T16" i="2"/>
  <c r="T12" i="2"/>
  <c r="T8" i="2"/>
  <c r="M24" i="2"/>
  <c r="M20" i="2"/>
  <c r="M16" i="2"/>
  <c r="M12" i="2"/>
  <c r="M8" i="2"/>
  <c r="M23" i="2"/>
  <c r="M19" i="2"/>
  <c r="M15" i="2"/>
  <c r="M11" i="2"/>
  <c r="M7" i="2"/>
  <c r="M22" i="2"/>
  <c r="M18" i="2"/>
  <c r="M14" i="2"/>
  <c r="M10" i="2"/>
  <c r="M6" i="2"/>
  <c r="M25" i="2"/>
  <c r="M21" i="2"/>
  <c r="M17" i="2"/>
  <c r="M13" i="2"/>
  <c r="M9" i="2"/>
  <c r="M5" i="2"/>
  <c r="N4" i="2"/>
  <c r="M4" i="2"/>
  <c r="R4" i="2"/>
  <c r="S4" i="2"/>
  <c r="N120" i="2" l="1"/>
  <c r="N42" i="2"/>
  <c r="N43" i="2"/>
  <c r="N101" i="2"/>
  <c r="N118" i="2"/>
  <c r="N38" i="2"/>
  <c r="N188" i="2"/>
  <c r="N124" i="2"/>
  <c r="N122" i="2"/>
  <c r="S1147" i="2"/>
  <c r="T4" i="2"/>
  <c r="U1147" i="2" s="1"/>
  <c r="J1147" i="2" s="1"/>
  <c r="Q1147" i="2" l="1"/>
  <c r="R1147" i="2"/>
  <c r="K1149" i="2"/>
  <c r="T1147" i="2"/>
  <c r="H1147" i="2"/>
  <c r="L1147" i="2"/>
  <c r="M1147" i="2"/>
</calcChain>
</file>

<file path=xl/sharedStrings.xml><?xml version="1.0" encoding="utf-8"?>
<sst xmlns="http://schemas.openxmlformats.org/spreadsheetml/2006/main" count="10943" uniqueCount="3550">
  <si>
    <t>سجل المشتريات اليومية حتى تاريخ</t>
  </si>
  <si>
    <t>التاريخ</t>
  </si>
  <si>
    <t>م</t>
  </si>
  <si>
    <t>اسم الصنف</t>
  </si>
  <si>
    <t>الوحدة</t>
  </si>
  <si>
    <t>العبوة</t>
  </si>
  <si>
    <t>الكمية</t>
  </si>
  <si>
    <t>السعر</t>
  </si>
  <si>
    <t>الكمية بحسب الوحدات والعبوة</t>
  </si>
  <si>
    <t>السعر المحتسب</t>
  </si>
  <si>
    <t>السعر المستنتج</t>
  </si>
  <si>
    <t>الإجمالي</t>
  </si>
  <si>
    <t>ملاحظات</t>
  </si>
  <si>
    <t>ص</t>
  </si>
  <si>
    <t>بالحبة</t>
  </si>
  <si>
    <t>(باكت-كرتون)</t>
  </si>
  <si>
    <t>الحبة</t>
  </si>
  <si>
    <t>(باكت-كرتون)سعر</t>
  </si>
  <si>
    <t>بالوحدة الرئيسية</t>
  </si>
  <si>
    <t>تحويل الوحدات</t>
  </si>
  <si>
    <t>درز-باكت-كرتون</t>
  </si>
  <si>
    <t>سعر الحبة</t>
  </si>
  <si>
    <t>سعر الجملة</t>
  </si>
  <si>
    <t>الكيمة</t>
  </si>
  <si>
    <t>حبة</t>
  </si>
  <si>
    <t>محول كهرباء اتش بي كمبيوتر</t>
  </si>
  <si>
    <t xml:space="preserve">عطر باب الجيران </t>
  </si>
  <si>
    <t xml:space="preserve">عطر شغف الورد </t>
  </si>
  <si>
    <t>عطر نجدية</t>
  </si>
  <si>
    <t>عطر BOOST</t>
  </si>
  <si>
    <t>عطر لفلي</t>
  </si>
  <si>
    <t xml:space="preserve">عطر الشاعرة </t>
  </si>
  <si>
    <t>عطر سلطان القلوب</t>
  </si>
  <si>
    <t>عطر اجمل ليلة</t>
  </si>
  <si>
    <t>عطر هب النسيم</t>
  </si>
  <si>
    <t>عطر VIVACE</t>
  </si>
  <si>
    <t xml:space="preserve">عطر FONCE </t>
  </si>
  <si>
    <t xml:space="preserve">بخور وصال </t>
  </si>
  <si>
    <t>بخور أروع الهدايا</t>
  </si>
  <si>
    <t xml:space="preserve">بخور ساعة لقاء </t>
  </si>
  <si>
    <t>بخور صبايا كبير</t>
  </si>
  <si>
    <t>بخور طيب المسك</t>
  </si>
  <si>
    <t>بخور اماراتي</t>
  </si>
  <si>
    <t>بخور مبثوث ملكي</t>
  </si>
  <si>
    <t>عطر شيخ العود</t>
  </si>
  <si>
    <t>عطر مشاعر حب</t>
  </si>
  <si>
    <t>عطر شاعر المليون</t>
  </si>
  <si>
    <t>عطر لمسة إحساس</t>
  </si>
  <si>
    <t>عطر مميز</t>
  </si>
  <si>
    <t>عطر عود أصفهان</t>
  </si>
  <si>
    <t>عطر CATCH HER</t>
  </si>
  <si>
    <t>عطر SANTIAGO</t>
  </si>
  <si>
    <t>عطر كيف انساك ( بدون باكت )</t>
  </si>
  <si>
    <t>معطر جسم سر الخلود</t>
  </si>
  <si>
    <t>ند الاحلام *12</t>
  </si>
  <si>
    <t>بخور شمني مره</t>
  </si>
  <si>
    <t>شلك ذباب عبوة (24 شدة )</t>
  </si>
  <si>
    <t>حصالات رقم 3</t>
  </si>
  <si>
    <t>حصالات رقم 4</t>
  </si>
  <si>
    <t xml:space="preserve">لصقات عريض لماع </t>
  </si>
  <si>
    <t>لصقات فلوس عريض *8</t>
  </si>
  <si>
    <t xml:space="preserve">لصقة بيضاء صغير </t>
  </si>
  <si>
    <t>خرائط العالم كبير</t>
  </si>
  <si>
    <t xml:space="preserve">كرات اسفنج صغير </t>
  </si>
  <si>
    <t xml:space="preserve">شطرنج كبير </t>
  </si>
  <si>
    <t>شطرنج وسط</t>
  </si>
  <si>
    <t xml:space="preserve">مساحات سبورة </t>
  </si>
  <si>
    <t xml:space="preserve">ميداليات عنب </t>
  </si>
  <si>
    <t xml:space="preserve">شمع عيد ميلاد صغير </t>
  </si>
  <si>
    <t xml:space="preserve">مكعبات وسط </t>
  </si>
  <si>
    <t xml:space="preserve">مكعبات صغير </t>
  </si>
  <si>
    <t>يي</t>
  </si>
  <si>
    <t>اجمالي المشتريات خلال الفترة</t>
  </si>
  <si>
    <t>مجاني</t>
  </si>
  <si>
    <t>التجارية</t>
  </si>
  <si>
    <t>إجمالي</t>
  </si>
  <si>
    <t xml:space="preserve">معجون أسنان دابر مع الفرشاة </t>
  </si>
  <si>
    <t>بخور الكرام</t>
  </si>
  <si>
    <t>بخور معمول الرياض</t>
  </si>
  <si>
    <t xml:space="preserve">بخور امير العود </t>
  </si>
  <si>
    <t>بخور طيبه</t>
  </si>
  <si>
    <t>بخور عدني نسائم الحبيب</t>
  </si>
  <si>
    <t xml:space="preserve">بخور روحي روحك </t>
  </si>
  <si>
    <t>بخور عرائسي الأصلي المهل</t>
  </si>
  <si>
    <t>بخور بستان الحبيب</t>
  </si>
  <si>
    <t xml:space="preserve">بخور عود معمول النبيل </t>
  </si>
  <si>
    <t>بخور النبيل صغير بواكت</t>
  </si>
  <si>
    <t>بخور سري</t>
  </si>
  <si>
    <t>بخور احلا الأيام</t>
  </si>
  <si>
    <t>بخور الذكريات</t>
  </si>
  <si>
    <t>بخور الصبايا</t>
  </si>
  <si>
    <t>نقوش خظاب الحناء الخليجية</t>
  </si>
  <si>
    <t xml:space="preserve">كريم معطر جسم أصداف </t>
  </si>
  <si>
    <t xml:space="preserve">مخمرية لؤلؤ البحرين </t>
  </si>
  <si>
    <t xml:space="preserve">عطر الشرقية الرحاب صغير </t>
  </si>
  <si>
    <t xml:space="preserve">لبان علكة خالي من السكر </t>
  </si>
  <si>
    <t>صبغة رولا</t>
  </si>
  <si>
    <t xml:space="preserve">صبغة أيجل </t>
  </si>
  <si>
    <t>صبغة فاتيكا بالحناء قراطيس</t>
  </si>
  <si>
    <t xml:space="preserve">صبغة أوليف </t>
  </si>
  <si>
    <t xml:space="preserve">مزيل صباغ وسط </t>
  </si>
  <si>
    <t xml:space="preserve">فحم كوكو الأمير </t>
  </si>
  <si>
    <t xml:space="preserve">خيوط تربيط هدايا كبير </t>
  </si>
  <si>
    <t xml:space="preserve">صبغة كولاجين الأصلي </t>
  </si>
  <si>
    <t xml:space="preserve">صباغ أظافر </t>
  </si>
  <si>
    <t>ند دريم</t>
  </si>
  <si>
    <t xml:space="preserve">فازلين 7 جرام سعودي </t>
  </si>
  <si>
    <t xml:space="preserve">عيدان اذن حجم صغير </t>
  </si>
  <si>
    <t>معطر جسم sawage</t>
  </si>
  <si>
    <t xml:space="preserve">فازلين سعودي 450 مل الأصلي كبيل </t>
  </si>
  <si>
    <t>مثبت شعر صغير توب كنتركت</t>
  </si>
  <si>
    <t xml:space="preserve">مثبت شعر كبير توب كلرز </t>
  </si>
  <si>
    <t xml:space="preserve">روائح جسم عريض أصداف </t>
  </si>
  <si>
    <t xml:space="preserve">روائح جسم صغير نجديه </t>
  </si>
  <si>
    <t>روائج بيت لطافة كبير</t>
  </si>
  <si>
    <t xml:space="preserve">معطر جو بخاخ </t>
  </si>
  <si>
    <t>لوشن جسم سوفت كلرز 400 مل</t>
  </si>
  <si>
    <t>مزيل عرق فا</t>
  </si>
  <si>
    <t xml:space="preserve">مزيل عرق بوش </t>
  </si>
  <si>
    <t xml:space="preserve">مزيل عرق امريكي شمعي ماكس </t>
  </si>
  <si>
    <t xml:space="preserve">كريم شعر فاتيكا </t>
  </si>
  <si>
    <t xml:space="preserve">حامورة السيده الأصلي </t>
  </si>
  <si>
    <t xml:space="preserve">لوشن كريس 200 مل </t>
  </si>
  <si>
    <t>لوشن كريس 100 مل</t>
  </si>
  <si>
    <t xml:space="preserve">دهان فاتيكا كبير 200مل </t>
  </si>
  <si>
    <t xml:space="preserve">زيت صانصلك زيت شعر </t>
  </si>
  <si>
    <t>عطر أطفال كبير 150 مل</t>
  </si>
  <si>
    <t xml:space="preserve">مشقر فيم </t>
  </si>
  <si>
    <t xml:space="preserve">ماء الورد صغير </t>
  </si>
  <si>
    <t xml:space="preserve">فازلين كوكي صغير </t>
  </si>
  <si>
    <t>شامبوا اميرون 340 مل</t>
  </si>
  <si>
    <t xml:space="preserve">حقائب بيوتي ولادي وبناتي صغير </t>
  </si>
  <si>
    <t>حقائب بناتي جنب 656</t>
  </si>
  <si>
    <t xml:space="preserve">حقائب بناتي جنب جنز كبير </t>
  </si>
  <si>
    <t xml:space="preserve">حقائب بناتي جلد ظهر </t>
  </si>
  <si>
    <t>عطر روحي روحك</t>
  </si>
  <si>
    <t xml:space="preserve">عطر انت شيخ </t>
  </si>
  <si>
    <t xml:space="preserve">عطر اهل العطور </t>
  </si>
  <si>
    <t xml:space="preserve">عطر شمس المعارف </t>
  </si>
  <si>
    <t xml:space="preserve">عطر حريم الملك </t>
  </si>
  <si>
    <t xml:space="preserve">عطر ليجند عود </t>
  </si>
  <si>
    <t xml:space="preserve">عطر عودوني </t>
  </si>
  <si>
    <t xml:space="preserve">عطر غروري </t>
  </si>
  <si>
    <t xml:space="preserve">عطر رغبه </t>
  </si>
  <si>
    <t xml:space="preserve">عطر مشتاق </t>
  </si>
  <si>
    <t xml:space="preserve">غمازات قلوب على بطاريات </t>
  </si>
  <si>
    <t xml:space="preserve">عصى سلفي كبير </t>
  </si>
  <si>
    <t xml:space="preserve">عطر عدنان الدبعي </t>
  </si>
  <si>
    <t>اقفال 265</t>
  </si>
  <si>
    <t xml:space="preserve">مسابح كرستال صغير </t>
  </si>
  <si>
    <t xml:space="preserve">آلي خرز </t>
  </si>
  <si>
    <t xml:space="preserve">رولات خشبي كبير </t>
  </si>
  <si>
    <t>تالف</t>
  </si>
  <si>
    <t xml:space="preserve">مساند اختبارات </t>
  </si>
  <si>
    <t xml:space="preserve">شفاف ملازم </t>
  </si>
  <si>
    <t xml:space="preserve">ميداليات حروف كرستال </t>
  </si>
  <si>
    <t xml:space="preserve">ميداليات خشبي حروف </t>
  </si>
  <si>
    <t xml:space="preserve">مشارط بلاستيك صغير </t>
  </si>
  <si>
    <t xml:space="preserve">مساحات صور سيارات </t>
  </si>
  <si>
    <t xml:space="preserve">ميداليات قلوب احمر </t>
  </si>
  <si>
    <t xml:space="preserve">ميداليات منوع </t>
  </si>
  <si>
    <t xml:space="preserve">مسابح خشبي صغير </t>
  </si>
  <si>
    <t>حقائب بناتي جنب جنز اسبورت صغير</t>
  </si>
  <si>
    <t>حقائب بناتي جنز ظهر كبير منقش</t>
  </si>
  <si>
    <t xml:space="preserve">شناط اسود ولادي عود </t>
  </si>
  <si>
    <t xml:space="preserve">حقائب جنز بناتي عود </t>
  </si>
  <si>
    <t>حقائب ولادي عود عادي</t>
  </si>
  <si>
    <t xml:space="preserve">حقائب بناتي GRS كبير أبو ورده </t>
  </si>
  <si>
    <t xml:space="preserve">حقائب اسبورت لوروا حمراء </t>
  </si>
  <si>
    <t xml:space="preserve">حقائب اسبورت أبو كورة صغير </t>
  </si>
  <si>
    <t xml:space="preserve">حقائب بناتي أبو ميدالية بيزرس كبير </t>
  </si>
  <si>
    <t xml:space="preserve">حقائب بناتي أبو ورده جامي أصلي </t>
  </si>
  <si>
    <t>حقائب ولادي 6315</t>
  </si>
  <si>
    <t xml:space="preserve">حقائب جنب ولادي saiguam </t>
  </si>
  <si>
    <t xml:space="preserve">حقائب بناتي 1237 الأصلي </t>
  </si>
  <si>
    <t>حقائب بناتي الأصلي 1987</t>
  </si>
  <si>
    <t xml:space="preserve">حقائب بناتي RGS 9998 صغير </t>
  </si>
  <si>
    <t>حقائب سفر jordon</t>
  </si>
  <si>
    <t xml:space="preserve">حقائب جامعي كبير فاشن </t>
  </si>
  <si>
    <t xml:space="preserve">شامبو فاتيكا وسط </t>
  </si>
  <si>
    <t>ماء الورد وسط 530مل</t>
  </si>
  <si>
    <t xml:space="preserve">مقوي أظافر </t>
  </si>
  <si>
    <t xml:space="preserve">مرطب شفايف </t>
  </si>
  <si>
    <t xml:space="preserve">حامورة ضد اللمس </t>
  </si>
  <si>
    <t xml:space="preserve">امواس حلاقة شفرة أبو تمساح الأصلي </t>
  </si>
  <si>
    <t xml:space="preserve">شمع أرقام الأصلي ذهبي وفضي </t>
  </si>
  <si>
    <t xml:space="preserve">لواصق تلفونات حروف لماع نسائي  </t>
  </si>
  <si>
    <t xml:space="preserve">لواصق تلفونات أرقام لماع نسائي  </t>
  </si>
  <si>
    <t xml:space="preserve">نقشة طبع التاتوا طبعات حناء تاتوا </t>
  </si>
  <si>
    <t xml:space="preserve">مراية سفري صغير </t>
  </si>
  <si>
    <t xml:space="preserve">سلس بناتي حجم صغير </t>
  </si>
  <si>
    <t xml:space="preserve">شبكة اساور يد خرز </t>
  </si>
  <si>
    <t xml:space="preserve">لوح عبارات عيد الميلاد </t>
  </si>
  <si>
    <t xml:space="preserve">امشاط لوح احمر طويل </t>
  </si>
  <si>
    <t xml:space="preserve">ربطات شعر بناتي </t>
  </si>
  <si>
    <t xml:space="preserve">شمع عيد ميلاد حروف </t>
  </si>
  <si>
    <t xml:space="preserve">ربطة يد حروف بناتي </t>
  </si>
  <si>
    <t xml:space="preserve">لاصق جدران ورد حجم صغير </t>
  </si>
  <si>
    <t xml:space="preserve">ربطات يد رجالي </t>
  </si>
  <si>
    <t>ربطات شعر بناتي فضي</t>
  </si>
  <si>
    <t xml:space="preserve">يسرات قماش مطاط محازم مطاط </t>
  </si>
  <si>
    <t xml:space="preserve">يسرات جلد  محازم جلد </t>
  </si>
  <si>
    <t xml:space="preserve">سلاسل مفاتيح كبير </t>
  </si>
  <si>
    <t>مبرد تنضيف الاقدام اربع جهات</t>
  </si>
  <si>
    <t xml:space="preserve">اخراص بناتي صغير عادي </t>
  </si>
  <si>
    <t xml:space="preserve">كماشات بناتي بلاستيك صغير </t>
  </si>
  <si>
    <t xml:space="preserve">لصقة أصابع قماشية الأصلي </t>
  </si>
  <si>
    <t>شمع ارقام اضائة باكت زجاجي</t>
  </si>
  <si>
    <t xml:space="preserve">دبابيس شعر حجم صغير </t>
  </si>
  <si>
    <t xml:space="preserve">دبابيس أبو قلب كبير </t>
  </si>
  <si>
    <t xml:space="preserve">دبابيس حجم كبير </t>
  </si>
  <si>
    <t xml:space="preserve">مرطب شفايف سوفت روز </t>
  </si>
  <si>
    <t xml:space="preserve">قفازات كفوف لازكس </t>
  </si>
  <si>
    <t xml:space="preserve">محازم يسرات رجالي كبير </t>
  </si>
  <si>
    <t>محازم يسرات ولادي جلد</t>
  </si>
  <si>
    <t xml:space="preserve">حقائب صغير أبو دب </t>
  </si>
  <si>
    <t xml:space="preserve">حقائب جنب بناتي قديم عادي </t>
  </si>
  <si>
    <t>حقائب بناتي أبو دب جنب</t>
  </si>
  <si>
    <t xml:space="preserve">حقائب بناتي جلد ظهر أبو ورده ونجمة </t>
  </si>
  <si>
    <t>حقائب سود قماشية الأصلي 1332</t>
  </si>
  <si>
    <t>حقائب ظهر جامعي hb pwar</t>
  </si>
  <si>
    <t xml:space="preserve">حقائب لابتوب ظهر pl powr drs </t>
  </si>
  <si>
    <t>حقائب لابتوب dajinpj</t>
  </si>
  <si>
    <t>حقائب لابتوب جنب omayge</t>
  </si>
  <si>
    <t>حقائب لابتوب aotenixilie</t>
  </si>
  <si>
    <t xml:space="preserve">حقائب لابتوب جنب super bag </t>
  </si>
  <si>
    <t>حقائب لابتوب جنب meijq</t>
  </si>
  <si>
    <t xml:space="preserve">حقائب لابتوب جنب gumnx </t>
  </si>
  <si>
    <t xml:space="preserve">حقائب جنب كيمرة كامرة </t>
  </si>
  <si>
    <t>حقائب لابتوب جنب QNB</t>
  </si>
  <si>
    <t>حقائب لابتوب جنب 11000</t>
  </si>
  <si>
    <t>حقائب جنب صغير meigiely</t>
  </si>
  <si>
    <t>حقائب محامين QNB</t>
  </si>
  <si>
    <t xml:space="preserve">حقايب محامين أبو قفل </t>
  </si>
  <si>
    <t xml:space="preserve">حقائب جنب قطعتين </t>
  </si>
  <si>
    <t xml:space="preserve">حقائب ظهر كبير أزرق </t>
  </si>
  <si>
    <t xml:space="preserve">حقائب بناتي ظهر أبو نجمه كبير </t>
  </si>
  <si>
    <t xml:space="preserve">حقائب ملابس جلد </t>
  </si>
  <si>
    <t xml:space="preserve">عصاء بالونه مع القاعدة </t>
  </si>
  <si>
    <t xml:space="preserve">خرز للمسدسات العاب </t>
  </si>
  <si>
    <t xml:space="preserve">ذخيرة مسدس قارح عجله </t>
  </si>
  <si>
    <t>مسدس خرز مع الناظور وسط</t>
  </si>
  <si>
    <t>مسدس قارح</t>
  </si>
  <si>
    <t>كوافي عيد ميلاد كبير</t>
  </si>
  <si>
    <t xml:space="preserve">دب على بطارية وسط </t>
  </si>
  <si>
    <t xml:space="preserve">فتل صوف أحمر </t>
  </si>
  <si>
    <t xml:space="preserve">يد بلاستيشن </t>
  </si>
  <si>
    <t xml:space="preserve">مسدس كرات كبير </t>
  </si>
  <si>
    <t>تلوين مائي مع الاشكال 3d</t>
  </si>
  <si>
    <t>سيارة هيلوكس بوليس 201</t>
  </si>
  <si>
    <t xml:space="preserve">سمكات على بطارية </t>
  </si>
  <si>
    <t>سيارت صغير سوبر مان</t>
  </si>
  <si>
    <t xml:space="preserve">اتاري صغير </t>
  </si>
  <si>
    <t xml:space="preserve">علب فقاعات صابوني </t>
  </si>
  <si>
    <t xml:space="preserve">مسدسات نبلة كبير </t>
  </si>
  <si>
    <t xml:space="preserve">مسدسات نبلة صغير </t>
  </si>
  <si>
    <t xml:space="preserve">ألعب عروسة بناتي مروحة مع الاضائة </t>
  </si>
  <si>
    <t xml:space="preserve">سيارات سباق </t>
  </si>
  <si>
    <t xml:space="preserve">كلب على بطارية صغير </t>
  </si>
  <si>
    <t xml:space="preserve">عصافير صغيرة متحركة </t>
  </si>
  <si>
    <t xml:space="preserve">عصافير كبير صقر </t>
  </si>
  <si>
    <t xml:space="preserve">بوري كوره للتشجيع نفاخة صوت أبو كورة </t>
  </si>
  <si>
    <t>صنصينه جلاجل</t>
  </si>
  <si>
    <t xml:space="preserve">شطرنج  magnetspel  </t>
  </si>
  <si>
    <t>. جلاجل .15.....</t>
  </si>
  <si>
    <t xml:space="preserve">شطرنج اكبر مقاس علبه </t>
  </si>
  <si>
    <t xml:space="preserve">بطة دولار </t>
  </si>
  <si>
    <t>بطة  دولار بلاستيك</t>
  </si>
  <si>
    <t>مسدس صوت</t>
  </si>
  <si>
    <t xml:space="preserve">طايرات صغير </t>
  </si>
  <si>
    <t xml:space="preserve">حبوب كيرم </t>
  </si>
  <si>
    <t xml:space="preserve">تلفون صوت </t>
  </si>
  <si>
    <t xml:space="preserve">كرات نفخ ربل </t>
  </si>
  <si>
    <t xml:space="preserve">صقر تعلوق </t>
  </si>
  <si>
    <t xml:space="preserve">دب صغير صوت </t>
  </si>
  <si>
    <t xml:space="preserve">موسيقى بيانوا </t>
  </si>
  <si>
    <t>كرات اسفنج وسط</t>
  </si>
  <si>
    <t xml:space="preserve">سبيدر مان طائر أبو ريمونت لا سلكي </t>
  </si>
  <si>
    <t xml:space="preserve">آلي صوت كبير </t>
  </si>
  <si>
    <t xml:space="preserve">الي صوت صغير </t>
  </si>
  <si>
    <t xml:space="preserve">اوالي نبله كبير </t>
  </si>
  <si>
    <t xml:space="preserve">معبايات كورة بومب كورى </t>
  </si>
  <si>
    <t xml:space="preserve">بطة اونو </t>
  </si>
  <si>
    <t xml:space="preserve">سيارة فراري ريمونت بوليس </t>
  </si>
  <si>
    <t xml:space="preserve">سيارة بوليس مذحل </t>
  </si>
  <si>
    <t xml:space="preserve">كرات صغير حجري </t>
  </si>
  <si>
    <t xml:space="preserve">مسدس نبلة مع التلفون والناظور </t>
  </si>
  <si>
    <t xml:space="preserve">مسدس مع التلفون والقنابل </t>
  </si>
  <si>
    <t xml:space="preserve">عرائس بناتي وسط </t>
  </si>
  <si>
    <t xml:space="preserve">مسدس فقاعات عللى شكل علبه </t>
  </si>
  <si>
    <t xml:space="preserve">سيف صوت </t>
  </si>
  <si>
    <t xml:space="preserve">عسكري أبو مضله </t>
  </si>
  <si>
    <t xml:space="preserve">شلك فئران </t>
  </si>
  <si>
    <t>حصالات رقم 1</t>
  </si>
  <si>
    <t>حصالات رقم 2</t>
  </si>
  <si>
    <t xml:space="preserve">حصالات رقم 5 اكبر مقاس </t>
  </si>
  <si>
    <t>سلك انترنت 6 متر</t>
  </si>
  <si>
    <t xml:space="preserve">لصقة جهتين زجاجي </t>
  </si>
  <si>
    <t xml:space="preserve">لصقة جهتين ابيض </t>
  </si>
  <si>
    <t xml:space="preserve">لصقة الفراشة الأبيض وسط </t>
  </si>
  <si>
    <t xml:space="preserve">لصقة الفراشة نحيف ابيض </t>
  </si>
  <si>
    <t xml:space="preserve">لصقة لمعة عريض </t>
  </si>
  <si>
    <t>لصقات الفراشة صغير رقم 1</t>
  </si>
  <si>
    <t>لصقات الفراشة  رقم 2</t>
  </si>
  <si>
    <t xml:space="preserve">رولات خشبي لمعة صغير </t>
  </si>
  <si>
    <t xml:space="preserve">رولات خشبي دولكس لمعة </t>
  </si>
  <si>
    <t xml:space="preserve">مضلات كمشة قديم </t>
  </si>
  <si>
    <t xml:space="preserve">مضلات كمشة اسود الأصلي </t>
  </si>
  <si>
    <t xml:space="preserve">لصقات الفراشة رقم 3 </t>
  </si>
  <si>
    <t xml:space="preserve">لصقات الفراشة رقم 4 كبير </t>
  </si>
  <si>
    <t xml:space="preserve">لصقات الفراشة رقم 5 اكبر مقاس </t>
  </si>
  <si>
    <t xml:space="preserve">بواكت فاين للزفة </t>
  </si>
  <si>
    <t xml:space="preserve">العاب مراوح مع العصى </t>
  </si>
  <si>
    <t xml:space="preserve">لعبة او يو أبو صوت كبيبر </t>
  </si>
  <si>
    <t xml:space="preserve">لعبة او يو وسط  </t>
  </si>
  <si>
    <t xml:space="preserve">لعبة او يو صغير </t>
  </si>
  <si>
    <t>شنطة أبو خيط عسكري</t>
  </si>
  <si>
    <t xml:space="preserve">سله مع الدب هديه صغير </t>
  </si>
  <si>
    <t xml:space="preserve">هدايا التخرج زجاجي كبير </t>
  </si>
  <si>
    <t xml:space="preserve">هدايا الف مبروك التخرج زجاجي </t>
  </si>
  <si>
    <t xml:space="preserve">هدايا تخرج أبو عطر </t>
  </si>
  <si>
    <t xml:space="preserve">مزهرية صغير </t>
  </si>
  <si>
    <t xml:space="preserve">ورد 11 فرع </t>
  </si>
  <si>
    <t xml:space="preserve">ورد عشرة 10 فروع </t>
  </si>
  <si>
    <t>هدايا الف مبروك النجاح وسط</t>
  </si>
  <si>
    <t xml:space="preserve">دفاتر فلوبشارت </t>
  </si>
  <si>
    <t xml:space="preserve"> كبير mp3 كبير </t>
  </si>
  <si>
    <t xml:space="preserve">طبول ورق a4 هندي </t>
  </si>
  <si>
    <t xml:space="preserve">كرتون ورق a4 بيبرون الأزرق </t>
  </si>
  <si>
    <t xml:space="preserve">هدايا وردة مع المزهرية كبير حديد </t>
  </si>
  <si>
    <t xml:space="preserve">لواصق </t>
  </si>
  <si>
    <t>لواصق حماية للكيبورد</t>
  </si>
  <si>
    <t xml:space="preserve">لواصق معاليق للجدران </t>
  </si>
  <si>
    <t xml:space="preserve">سيديهات العاب وبرامج </t>
  </si>
  <si>
    <t>ميداليات اسبنجبوب</t>
  </si>
  <si>
    <t xml:space="preserve">ميداليات كرستال </t>
  </si>
  <si>
    <t xml:space="preserve">ميداليات نجمه كرستال </t>
  </si>
  <si>
    <t xml:space="preserve">ميداليات قلوب احمر *3 في الواحد </t>
  </si>
  <si>
    <t xml:space="preserve">ميداليات علامات شركات السيارات </t>
  </si>
  <si>
    <t xml:space="preserve">ميداليات قلوب حديد الأصلي </t>
  </si>
  <si>
    <t xml:space="preserve">ميداليات زجاجي لكتابة الرقم في المفاتيح </t>
  </si>
  <si>
    <t xml:space="preserve">ميداليات برشلونه </t>
  </si>
  <si>
    <t xml:space="preserve">ميداليات أبو خيط للفلاش </t>
  </si>
  <si>
    <t xml:space="preserve">ميداليات كرة بلاستيك مطاط </t>
  </si>
  <si>
    <t xml:space="preserve">ميداليات زجاجي أبو وردة </t>
  </si>
  <si>
    <t xml:space="preserve">ميداليات ملون مطرز </t>
  </si>
  <si>
    <t>ميداليات خناجر</t>
  </si>
  <si>
    <t xml:space="preserve">ميداليات جنابي </t>
  </si>
  <si>
    <t xml:space="preserve">ميداليات للحقائب الشناط النسائي </t>
  </si>
  <si>
    <t xml:space="preserve">ميداليات ختم صغير </t>
  </si>
  <si>
    <t xml:space="preserve">ميداليات حروف بلاستيك </t>
  </si>
  <si>
    <t>ميداليات قلوب لماع love</t>
  </si>
  <si>
    <t xml:space="preserve">ميداليات كشاف مع الليزر صغير </t>
  </si>
  <si>
    <t xml:space="preserve">باكت قلم مع الليزر </t>
  </si>
  <si>
    <t xml:space="preserve">ميداليات واوسمه للطلاب  </t>
  </si>
  <si>
    <t>سماعة راس كمبيوتر sn090</t>
  </si>
  <si>
    <t xml:space="preserve">صفارات حكم </t>
  </si>
  <si>
    <t xml:space="preserve">لاصق تلفون خلفي على شكل ميدالية </t>
  </si>
  <si>
    <t xml:space="preserve">لاصق جدار زينه وسط فراشة بارز </t>
  </si>
  <si>
    <t xml:space="preserve">دفاتر وثائق طويل </t>
  </si>
  <si>
    <t xml:space="preserve">دفاتر وثائق قصير  </t>
  </si>
  <si>
    <t xml:space="preserve">دفاتر طلاق </t>
  </si>
  <si>
    <t xml:space="preserve">حكم إنحصار وراثة </t>
  </si>
  <si>
    <t xml:space="preserve">عقود زواج قديم </t>
  </si>
  <si>
    <t xml:space="preserve">عقود زواج جديد </t>
  </si>
  <si>
    <t xml:space="preserve">عقود ايجار </t>
  </si>
  <si>
    <t xml:space="preserve">دفر وثائق اشهار رجعة </t>
  </si>
  <si>
    <t xml:space="preserve">لصقات للتلفونات عريض </t>
  </si>
  <si>
    <t xml:space="preserve">لصقات تسعيره ابيض عادي </t>
  </si>
  <si>
    <t xml:space="preserve">لصقات شليشان ملون اصلي </t>
  </si>
  <si>
    <t xml:space="preserve">لصقات شليشان ملون أبو خط </t>
  </si>
  <si>
    <t>لصقات شليشان اسود عادي</t>
  </si>
  <si>
    <t xml:space="preserve">لصقات شليشان اسود اصلي </t>
  </si>
  <si>
    <t>لصقات فلوس نحيف</t>
  </si>
  <si>
    <t>لصقات الفراشة من الأكبر رقم 2</t>
  </si>
  <si>
    <t>لصقات الفراشة من الأكبر رقم 3</t>
  </si>
  <si>
    <t xml:space="preserve">لصقات الفراشة رقم 5 صغير </t>
  </si>
  <si>
    <t>لصقات الفراشة من الأكبر رقم 4 وسط</t>
  </si>
  <si>
    <t xml:space="preserve">لصقات كرتوني وسط </t>
  </si>
  <si>
    <t>لصقات ابيض لاصق جهتين وسط</t>
  </si>
  <si>
    <t xml:space="preserve">لصقات شفاف زجاجي لا صق جهتين </t>
  </si>
  <si>
    <t xml:space="preserve">لاصق شفاف زجاجي وسط اصلي </t>
  </si>
  <si>
    <t xml:space="preserve">بوكسات صغير </t>
  </si>
  <si>
    <t xml:space="preserve">لصقة الفراشة عريض اكبر مقاس </t>
  </si>
  <si>
    <t xml:space="preserve">لصقات كرتوني نحيف عبوه كبير </t>
  </si>
  <si>
    <t xml:space="preserve">ميداليات منوع بسكوت وحذاء وغيره </t>
  </si>
  <si>
    <t xml:space="preserve">عصى سحرية نعامة بطه طويل </t>
  </si>
  <si>
    <t>هدايا كرتوني مع زجاج عادي 15*10</t>
  </si>
  <si>
    <t>هدايا كرتوني مع زجاج عادي 15*15</t>
  </si>
  <si>
    <t>هدايا كرتوني مع زجاج عادي 20*15</t>
  </si>
  <si>
    <t>هدايا كرتوني مع زجاج عادي 20*18</t>
  </si>
  <si>
    <t>هدايا كرتوني مع زجاج عادي 20*20</t>
  </si>
  <si>
    <t>هدايا كرتوني مع زجاج عادي 20*25</t>
  </si>
  <si>
    <t>فاين الطاووس</t>
  </si>
  <si>
    <t>مزهريات أصغر برقم</t>
  </si>
  <si>
    <t xml:space="preserve">مزهريات فخار </t>
  </si>
  <si>
    <t>مزهريات كرتون 2 في باكت</t>
  </si>
  <si>
    <t xml:space="preserve">مزهريات اظائة زجاجي باكت احمر </t>
  </si>
  <si>
    <t xml:space="preserve">غماز قلوب كبير اضائة بطارية </t>
  </si>
  <si>
    <t xml:space="preserve">كرات الثلج غماز </t>
  </si>
  <si>
    <t xml:space="preserve">مباخر خشب كبير </t>
  </si>
  <si>
    <t xml:space="preserve">قاعدة ورد فخار  كبير باكت </t>
  </si>
  <si>
    <t xml:space="preserve">مزهريات اضائة زجاجي باكت احمر كبير </t>
  </si>
  <si>
    <t xml:space="preserve">قلصين في باكت شمع عرسان </t>
  </si>
  <si>
    <t>هدايا قماشي في قرطاس مع الجلاس</t>
  </si>
  <si>
    <t>براويز  a3 زجاجي</t>
  </si>
  <si>
    <t xml:space="preserve">بروايز 2*1 love </t>
  </si>
  <si>
    <t>براويز صور 15*20</t>
  </si>
  <si>
    <t>ساعات الاذان jd12</t>
  </si>
  <si>
    <t>ساعات الاذان 368 كبير</t>
  </si>
  <si>
    <t>ساعات السفينه</t>
  </si>
  <si>
    <t>ساعات 8046 مربع وتفاحة</t>
  </si>
  <si>
    <t>ساعات 8045</t>
  </si>
  <si>
    <t>ساعات جرس حديد تايم time</t>
  </si>
  <si>
    <t>ساعات جرس 2235</t>
  </si>
  <si>
    <t>ساعات جرس 2236</t>
  </si>
  <si>
    <t>ساعات جرس صغير h008</t>
  </si>
  <si>
    <t>ساعات جرس 8039</t>
  </si>
  <si>
    <t xml:space="preserve">ساعات جرس أصغر مقاس </t>
  </si>
  <si>
    <t xml:space="preserve">مدافع اعراس كبير </t>
  </si>
  <si>
    <t>جلاس هدايا خشبي قلوب سلة هدايا مركب</t>
  </si>
  <si>
    <t>براوز صور 9*13</t>
  </si>
  <si>
    <t xml:space="preserve">دروع خشبي لاصق للصور </t>
  </si>
  <si>
    <t xml:space="preserve">باكت هدايا مصاحف كبير احمر </t>
  </si>
  <si>
    <t xml:space="preserve">سماعة لابتوب مع مايك مع كامرة كيمرة </t>
  </si>
  <si>
    <t xml:space="preserve">فوانيس رمضان حديد وسط </t>
  </si>
  <si>
    <t>ساعة جدار قلب هندي</t>
  </si>
  <si>
    <t xml:space="preserve">فوانيس رمضان كبير بواكت </t>
  </si>
  <si>
    <t xml:space="preserve">مكينة حلاقة وجه nova </t>
  </si>
  <si>
    <t>مكاين حلاقة وجه  nove 702</t>
  </si>
  <si>
    <t>مكاين تنعيم kemei  ثلاث قطع 812</t>
  </si>
  <si>
    <t>مكاين تنعيم yt10</t>
  </si>
  <si>
    <t>مكاين تنعيم nikai ثلاث قطع كبير</t>
  </si>
  <si>
    <t xml:space="preserve">مكاين حلاقة مع الكشاف </t>
  </si>
  <si>
    <t>مزهريات زجاجي glass</t>
  </si>
  <si>
    <t xml:space="preserve">عطر نسائي شاليز </t>
  </si>
  <si>
    <t xml:space="preserve">عطر عود مود الأصلي </t>
  </si>
  <si>
    <t xml:space="preserve">عطر عود مود بدون اليد </t>
  </si>
  <si>
    <t>عطر عود الشرقية</t>
  </si>
  <si>
    <t>عطر غلاء زايد</t>
  </si>
  <si>
    <t>عطر for elpers</t>
  </si>
  <si>
    <t xml:space="preserve">عطر سر الخلود الأصلي </t>
  </si>
  <si>
    <t>عطر اكسلنت excellent</t>
  </si>
  <si>
    <t>عطر leajve سلاسل</t>
  </si>
  <si>
    <t>عطر opinion</t>
  </si>
  <si>
    <t>عطر lion</t>
  </si>
  <si>
    <t>عطر عود الشمس</t>
  </si>
  <si>
    <t xml:space="preserve">عطر PROCIOUS </t>
  </si>
  <si>
    <t>عطر نسائي dandy</t>
  </si>
  <si>
    <t xml:space="preserve">عطر امير العود </t>
  </si>
  <si>
    <t>عطر انا الأبيض</t>
  </si>
  <si>
    <t xml:space="preserve">معطر المنزل همس العيون </t>
  </si>
  <si>
    <t xml:space="preserve">معطر المنزل مشلف </t>
  </si>
  <si>
    <t xml:space="preserve">معطر المنزل مونيكا </t>
  </si>
  <si>
    <t xml:space="preserve">معطر المنزل فخر البنات </t>
  </si>
  <si>
    <t>عطر forver gold</t>
  </si>
  <si>
    <t xml:space="preserve">عطر زوارة الخميس عريض </t>
  </si>
  <si>
    <t xml:space="preserve">عطر زوارة الخميس طويل </t>
  </si>
  <si>
    <t xml:space="preserve">عطر روح الحياة </t>
  </si>
  <si>
    <t>عطر امير الشباب</t>
  </si>
  <si>
    <t xml:space="preserve">عطر دهن العود الملكي </t>
  </si>
  <si>
    <t xml:space="preserve">عطر أجمل ليله </t>
  </si>
  <si>
    <t>عطر ليجند عريض كبير legend</t>
  </si>
  <si>
    <t xml:space="preserve">عطر new درجة ثالثة </t>
  </si>
  <si>
    <t xml:space="preserve">عطر new درجة ثانية </t>
  </si>
  <si>
    <t>عطر اكسبلور الأصلي explore</t>
  </si>
  <si>
    <t>عطر legendare</t>
  </si>
  <si>
    <t>عطر brown</t>
  </si>
  <si>
    <t>عطر ماجيتس mights</t>
  </si>
  <si>
    <t xml:space="preserve">عطر حنين العود </t>
  </si>
  <si>
    <t>عطر فديتك</t>
  </si>
  <si>
    <t>ranger  عطر</t>
  </si>
  <si>
    <t xml:space="preserve">icon عطر </t>
  </si>
  <si>
    <t>د</t>
  </si>
  <si>
    <t>عطر تاج الملك  الأصلي</t>
  </si>
  <si>
    <t xml:space="preserve">عطر 24 قيراط </t>
  </si>
  <si>
    <t xml:space="preserve">عطر شيخ الشيوخ </t>
  </si>
  <si>
    <t>عطر encre noire</t>
  </si>
  <si>
    <t>عطر black obeum</t>
  </si>
  <si>
    <t>عطر gold secret</t>
  </si>
  <si>
    <t>عطر fabio</t>
  </si>
  <si>
    <t>عطر ecstasy</t>
  </si>
  <si>
    <t>عطر I am whaite</t>
  </si>
  <si>
    <t>عطر orchid</t>
  </si>
  <si>
    <t>عطر marvel</t>
  </si>
  <si>
    <t>عطر 2on2 vip silver</t>
  </si>
  <si>
    <t>عطر عود خاص للشيوخ</t>
  </si>
  <si>
    <t>عطر zephyr</t>
  </si>
  <si>
    <t>عطر bravox</t>
  </si>
  <si>
    <t xml:space="preserve">عطر عود الشمس ابيض </t>
  </si>
  <si>
    <t xml:space="preserve">عطر عود منتصف الليل </t>
  </si>
  <si>
    <t>عطر spisode</t>
  </si>
  <si>
    <t xml:space="preserve">عطر محاسن كرستال صغير </t>
  </si>
  <si>
    <t xml:space="preserve">عطر رغبة صغير </t>
  </si>
  <si>
    <t xml:space="preserve">عطر شذى الطيب صغير </t>
  </si>
  <si>
    <t xml:space="preserve">عطر امير العود صغير </t>
  </si>
  <si>
    <t>عطر سر الخلود 50 مل</t>
  </si>
  <si>
    <t>عطر سر الخلود 25 مل</t>
  </si>
  <si>
    <t xml:space="preserve">عطر بداية الزمان </t>
  </si>
  <si>
    <t xml:space="preserve">عطر السدعي منوع الرحاب </t>
  </si>
  <si>
    <t xml:space="preserve">عطور الرحاب صغير </t>
  </si>
  <si>
    <t xml:space="preserve">عطر امير البنيان صغير </t>
  </si>
  <si>
    <t xml:space="preserve">عطر الفارس </t>
  </si>
  <si>
    <t>عطر ساهر</t>
  </si>
  <si>
    <t xml:space="preserve">عطور منوع خلطات رخام </t>
  </si>
  <si>
    <t xml:space="preserve">عطور منوع خلطات منوع زجاجي </t>
  </si>
  <si>
    <t>عطر taril</t>
  </si>
  <si>
    <t xml:space="preserve">عطر مناسك مخصوص شنطة تعلوق وردي </t>
  </si>
  <si>
    <t xml:space="preserve">عطر بلاك black شنطة </t>
  </si>
  <si>
    <t xml:space="preserve">عطر زجاجي صغير </t>
  </si>
  <si>
    <t>علب عطر بخاخ زجاج 125مل</t>
  </si>
  <si>
    <t>هدايا بواكت مقفصات شفاف زجاجي كبير  قلب مع ورده احمر</t>
  </si>
  <si>
    <t>هدايا بواكت مقفصات شفاف زجاجي صغير  قلب مع ورده احمر</t>
  </si>
  <si>
    <t xml:space="preserve">هدايا قماشي أبو جلاس مع ورده وكتابة </t>
  </si>
  <si>
    <t xml:space="preserve">شمع عرسان مقفص صغير </t>
  </si>
  <si>
    <t xml:space="preserve">سلال هدايا </t>
  </si>
  <si>
    <t xml:space="preserve">برواز دائري للصور صغير </t>
  </si>
  <si>
    <t xml:space="preserve">توب كرز لمعة شعر </t>
  </si>
  <si>
    <t xml:space="preserve">بخاخ ثلجي </t>
  </si>
  <si>
    <t>مثبت شعر توب كلرز</t>
  </si>
  <si>
    <t>كشافات شحن عدسة تكبير وتقريب الأصلي tx8300</t>
  </si>
  <si>
    <t>كشافات راس شحن rg300</t>
  </si>
  <si>
    <t>كشافات راس شحن rg6222</t>
  </si>
  <si>
    <t>كشافات راس شحن tx9965</t>
  </si>
  <si>
    <t>كشافات راس شحن rg8900</t>
  </si>
  <si>
    <t>كشافات راس شحن tx9945</t>
  </si>
  <si>
    <t>كشافات راس شحن tx8645</t>
  </si>
  <si>
    <t>كشافات راس شحن دبل tx3300</t>
  </si>
  <si>
    <t>كشافات راس شحن ts820</t>
  </si>
  <si>
    <t xml:space="preserve">كشافة شحن في باكت علبه ابيض </t>
  </si>
  <si>
    <t xml:space="preserve">كشافة led  بطاريات أبو قلم </t>
  </si>
  <si>
    <t>كشافات أبو قلم ليزر fh9988</t>
  </si>
  <si>
    <t>كشافة cx1288</t>
  </si>
  <si>
    <t>كشافة led 906</t>
  </si>
  <si>
    <t>كشافة hel221</t>
  </si>
  <si>
    <t>كشافة yb9518</t>
  </si>
  <si>
    <t xml:space="preserve">كشافة ملون صغير </t>
  </si>
  <si>
    <t>كشافات ملون كبير</t>
  </si>
  <si>
    <t>كشافات بطاريات qx 1388</t>
  </si>
  <si>
    <t>كشافات tx led 8799</t>
  </si>
  <si>
    <t>كشافات je 1710</t>
  </si>
  <si>
    <t xml:space="preserve">شواحن أصابع بطاريات led usb </t>
  </si>
  <si>
    <t xml:space="preserve">شواحن أصابع بطاريات  cph </t>
  </si>
  <si>
    <t xml:space="preserve">أصابع بطاريات على شاحن سيارة دي تل ماكس </t>
  </si>
  <si>
    <t xml:space="preserve">سيارة القوة الساحرة   mp3   </t>
  </si>
  <si>
    <t xml:space="preserve"> B2B    سيارة  mp3</t>
  </si>
  <si>
    <t>سيارة القوة المثالية    mp3</t>
  </si>
  <si>
    <t xml:space="preserve"> dc42v  سيارة   mp3</t>
  </si>
  <si>
    <t>hz  واير لس سيارة    mp3</t>
  </si>
  <si>
    <t>عادي  hz   mp3</t>
  </si>
  <si>
    <t xml:space="preserve"> سيارة  bt5 mp3</t>
  </si>
  <si>
    <t>ماوس ديلوكس</t>
  </si>
  <si>
    <t>ماوس وايرلس وبلوتوث</t>
  </si>
  <si>
    <t>ماوس hp واير لس</t>
  </si>
  <si>
    <t>سماعة كمبيوتر مع المايك  st 401 n</t>
  </si>
  <si>
    <t>شواحن سيارة 551</t>
  </si>
  <si>
    <t>شواحن سيارة asg- 002</t>
  </si>
  <si>
    <t>شواحن سيارة القوة الفتاكة</t>
  </si>
  <si>
    <t xml:space="preserve">عصاء سلفي صغير </t>
  </si>
  <si>
    <t>كشافات عدستين lb529</t>
  </si>
  <si>
    <t>سماعة جلاكسي غلاف زجاجي</t>
  </si>
  <si>
    <t xml:space="preserve">سماعة عادي قرطاس </t>
  </si>
  <si>
    <t>سماعة بلوتوث m1</t>
  </si>
  <si>
    <t>سماعة جلكسي القوة الساحرة</t>
  </si>
  <si>
    <t>سماعة جلاكسي جي ال tl 80a</t>
  </si>
  <si>
    <t xml:space="preserve">سماعة القوة الساحرة عريض </t>
  </si>
  <si>
    <t>شاحن temax الأصلي</t>
  </si>
  <si>
    <t xml:space="preserve">شاحن القوة الساحرة كهرباء </t>
  </si>
  <si>
    <t>شاحن لوبر usb</t>
  </si>
  <si>
    <t>شاحن سيارة dr14</t>
  </si>
  <si>
    <t>yg - 011u mp3  مع رادية mp3</t>
  </si>
  <si>
    <t>rx 8866bt  مع رادية mp3</t>
  </si>
  <si>
    <t>ws 822  مع رادية mp3</t>
  </si>
  <si>
    <t xml:space="preserve">مع رادية mp3  ws-  887 </t>
  </si>
  <si>
    <t xml:space="preserve">  mp3  دائري أزرق </t>
  </si>
  <si>
    <t>mp3  ازرق مرور mp3</t>
  </si>
  <si>
    <t xml:space="preserve">كشافة شحن شنطة </t>
  </si>
  <si>
    <t xml:space="preserve">كشافات شحن كبير عدسة تقريب </t>
  </si>
  <si>
    <t xml:space="preserve">شواحن تلفون كهرب اسود عادي </t>
  </si>
  <si>
    <t xml:space="preserve">حزام جدار لماع صغير </t>
  </si>
  <si>
    <t xml:space="preserve">حزام جدار لماع كبير </t>
  </si>
  <si>
    <t xml:space="preserve">حزام جدار كبير بدون لمعة </t>
  </si>
  <si>
    <t xml:space="preserve">حزام جدار اكبر مقاس </t>
  </si>
  <si>
    <t xml:space="preserve">حصالات صغير أبو قفل </t>
  </si>
  <si>
    <t xml:space="preserve">حصالات كبير أبو قفل </t>
  </si>
  <si>
    <t xml:space="preserve">شريط افتتاح قماشي كبير </t>
  </si>
  <si>
    <t xml:space="preserve">شريط افتتاح قماشي صغير  </t>
  </si>
  <si>
    <t xml:space="preserve">شريط افتتاح كرتوني كبير </t>
  </si>
  <si>
    <t xml:space="preserve"> rts mp3  رقم 4 mp3</t>
  </si>
  <si>
    <t xml:space="preserve"> رقم 6    mp3</t>
  </si>
  <si>
    <t>موزع منافذ لابتوب *5  usb</t>
  </si>
  <si>
    <t xml:space="preserve">توصيلة ايفون طويل ثلاثة متر </t>
  </si>
  <si>
    <t xml:space="preserve">تواصيل أي فون منوع </t>
  </si>
  <si>
    <t>شلك عجينه</t>
  </si>
  <si>
    <t xml:space="preserve">شلك أبو دبه كبير </t>
  </si>
  <si>
    <t xml:space="preserve">شلك أبو دبه صغير </t>
  </si>
  <si>
    <t>مقصات كبير اسود اسكورس</t>
  </si>
  <si>
    <t xml:space="preserve">ماوس لا سلكي وايرلس ماكس </t>
  </si>
  <si>
    <t>كشاف led 1+8</t>
  </si>
  <si>
    <t>كشاف ثلاث قطع مع الليزر bl84551</t>
  </si>
  <si>
    <t xml:space="preserve">علب حبر ink man </t>
  </si>
  <si>
    <t xml:space="preserve">نظارات الواقع الافتراضي </t>
  </si>
  <si>
    <t xml:space="preserve">شلك مخلوط </t>
  </si>
  <si>
    <t>مسابح صيني كبير</t>
  </si>
  <si>
    <t xml:space="preserve">مسابح ابيض صغير </t>
  </si>
  <si>
    <t xml:space="preserve">مسابح طويل أسماء الله ومنوع *99 </t>
  </si>
  <si>
    <t>مسابح اصلي عقيق حبه كبير</t>
  </si>
  <si>
    <t xml:space="preserve">مسابح وتر </t>
  </si>
  <si>
    <t xml:space="preserve">مسابح صغير </t>
  </si>
  <si>
    <t xml:space="preserve">حروف وأرقام زينه جدار نفخ </t>
  </si>
  <si>
    <t>جملة love  نفخ</t>
  </si>
  <si>
    <t xml:space="preserve">غلافات تلفون القوة الخارقة </t>
  </si>
  <si>
    <t>فاين جيب صغير الطاووس</t>
  </si>
  <si>
    <t xml:space="preserve">فاين الطاوس وسط </t>
  </si>
  <si>
    <t xml:space="preserve">ند نامس </t>
  </si>
  <si>
    <t>لاصق لكافة الأغراض UHU</t>
  </si>
  <si>
    <t xml:space="preserve">فاين مواسم بواكت للحفلات صغير </t>
  </si>
  <si>
    <t xml:space="preserve">مزهرية زجاجي كبير </t>
  </si>
  <si>
    <t>فانوس رمضان كبير s013</t>
  </si>
  <si>
    <t xml:space="preserve">فانوس رمضان وسط مع الصوت </t>
  </si>
  <si>
    <t xml:space="preserve">فانوس رمضان اصغر مقاس </t>
  </si>
  <si>
    <t xml:space="preserve">مزهريات زجاجي صغير باكت احمر </t>
  </si>
  <si>
    <t>فاين مبلل</t>
  </si>
  <si>
    <t xml:space="preserve">شمع فشيش للحفلات </t>
  </si>
  <si>
    <t xml:space="preserve">مزهريات فخار ابيض </t>
  </si>
  <si>
    <t>بطاريات أبو قلم dobast</t>
  </si>
  <si>
    <t>بطاريات أبو قلم 888</t>
  </si>
  <si>
    <t>بطاريات أبو قلم لوح soyo</t>
  </si>
  <si>
    <t xml:space="preserve">بطاريات وكالة أبو قلم الأصلي انجنيزر </t>
  </si>
  <si>
    <t xml:space="preserve">بطاريات ريمونت  وكالة انجنيزر  ريمون </t>
  </si>
  <si>
    <t>مقصات اضافر كبير الأصلي طبي xorios</t>
  </si>
  <si>
    <t xml:space="preserve">مقصات اضافر صغير الأصلي </t>
  </si>
  <si>
    <t>مقصات اضافر صغير عادي</t>
  </si>
  <si>
    <t xml:space="preserve">مقصات اضافر كبير اصلي </t>
  </si>
  <si>
    <t xml:space="preserve">مققصات شعر حواجب صغير الأصلي </t>
  </si>
  <si>
    <t xml:space="preserve">مقصات شنب عطفة صغير  </t>
  </si>
  <si>
    <t>خيوط وتر 0.7</t>
  </si>
  <si>
    <t>طباشير خياطة</t>
  </si>
  <si>
    <t xml:space="preserve">ابر مكاين خياطة </t>
  </si>
  <si>
    <t>اقفال 262</t>
  </si>
  <si>
    <t>تقفال 261</t>
  </si>
  <si>
    <t>اقفال 266</t>
  </si>
  <si>
    <t xml:space="preserve">ربلات مطاط ستاير </t>
  </si>
  <si>
    <t xml:space="preserve">شمع ابيض كبير عادي </t>
  </si>
  <si>
    <t>مقصات شنب كبير</t>
  </si>
  <si>
    <t xml:space="preserve">غمازات قلوب كهرب </t>
  </si>
  <si>
    <t xml:space="preserve">غماز ورد قلوب احمر اخضر كهرب </t>
  </si>
  <si>
    <t xml:space="preserve">غمازات قلوب وورد ملون </t>
  </si>
  <si>
    <t xml:space="preserve">غماز على بطاريات أبو قلم فرشات </t>
  </si>
  <si>
    <t xml:space="preserve">غماز قلوب على بطارية صغير </t>
  </si>
  <si>
    <t xml:space="preserve">غمازات كهرب ورد صغير </t>
  </si>
  <si>
    <t xml:space="preserve">خمازات منوع كهرب 10 متر </t>
  </si>
  <si>
    <t xml:space="preserve">غمازات كهرب ملون عشرة متر </t>
  </si>
  <si>
    <t xml:space="preserve">غمازات ملون احمر </t>
  </si>
  <si>
    <t xml:space="preserve">غمازات ملون كهرب </t>
  </si>
  <si>
    <t xml:space="preserve">امشاط شعر صغير </t>
  </si>
  <si>
    <t xml:space="preserve">كبب خيوط مكاين كبير </t>
  </si>
  <si>
    <t xml:space="preserve">فتله خياطة رقم 80 جرام </t>
  </si>
  <si>
    <t>خيوط مكاين 40 جرام ملون</t>
  </si>
  <si>
    <t xml:space="preserve">خيوط مكاين صغير ملون واسود </t>
  </si>
  <si>
    <t xml:space="preserve">كفوف صبان ربل اصلي كبير </t>
  </si>
  <si>
    <t xml:space="preserve">كفوف صبان ربل اصلي وسط </t>
  </si>
  <si>
    <t xml:space="preserve">كفوف صبان ربل اصلي صغير </t>
  </si>
  <si>
    <t>كفوف قراطيس + 100 حبه خفيف</t>
  </si>
  <si>
    <t xml:space="preserve">امشاط التوحيد </t>
  </si>
  <si>
    <t xml:space="preserve">امشاط فرش ملون صغير نسائي </t>
  </si>
  <si>
    <t xml:space="preserve">حناء قمع تحفة العروس </t>
  </si>
  <si>
    <t xml:space="preserve">حناء الحرازي </t>
  </si>
  <si>
    <t xml:space="preserve">حناء الهنوف </t>
  </si>
  <si>
    <t xml:space="preserve">حناء قمع الحناء مليكة احمر </t>
  </si>
  <si>
    <t xml:space="preserve">حناء سمو الملكه </t>
  </si>
  <si>
    <t xml:space="preserve">قمع حناء معجون بواكت </t>
  </si>
  <si>
    <t xml:space="preserve">دعايات love خفيف وسط </t>
  </si>
  <si>
    <t xml:space="preserve">دعايات مكس كبير جداً </t>
  </si>
  <si>
    <t xml:space="preserve">دعايات هدايا  كرتوني وسط </t>
  </si>
  <si>
    <t xml:space="preserve">دعايات هدايا كرتوني صغير </t>
  </si>
  <si>
    <t xml:space="preserve">غلافات ورد مقوى أصلي </t>
  </si>
  <si>
    <t xml:space="preserve">غلافات هدايا عادي </t>
  </si>
  <si>
    <t xml:space="preserve">دعايات هدايا كرتوني اكبر مقاس </t>
  </si>
  <si>
    <t>دعايات كرتوني نوع جديد مقوى كبير</t>
  </si>
  <si>
    <t xml:space="preserve">دعايات اجمل التهاني </t>
  </si>
  <si>
    <t>دعايات شملان كبير</t>
  </si>
  <si>
    <t xml:space="preserve">دعايات اسود وكبير </t>
  </si>
  <si>
    <t xml:space="preserve">فيونكات هدايا صغير </t>
  </si>
  <si>
    <t xml:space="preserve">فيونكات هدايا كبير </t>
  </si>
  <si>
    <t xml:space="preserve">شلك شمعي صغير </t>
  </si>
  <si>
    <t xml:space="preserve">عيدان فيمات كبير </t>
  </si>
  <si>
    <t xml:space="preserve">دعايات love خفيف صغير </t>
  </si>
  <si>
    <t xml:space="preserve">دعايات خفيف اصغر مقاس </t>
  </si>
  <si>
    <t xml:space="preserve">دعايات مرحبا اصغر مقاس </t>
  </si>
  <si>
    <t xml:space="preserve">دعايات كرتونية اصغر مقاس مقوى </t>
  </si>
  <si>
    <t xml:space="preserve">دعاية قرطاسية الف مبروك  صغير حفلات وعراس </t>
  </si>
  <si>
    <t xml:space="preserve">دعاية كرتوني كبير عادي </t>
  </si>
  <si>
    <t xml:space="preserve">قراطيس تغليف بضاعة كبير </t>
  </si>
  <si>
    <t xml:space="preserve">غلافات بضاعة زجاجي حجم صغير </t>
  </si>
  <si>
    <t>غلافات دفاتر قرطاسي</t>
  </si>
  <si>
    <t xml:space="preserve">دعايات love حجم صغير ابيض واسود </t>
  </si>
  <si>
    <t xml:space="preserve">اعواد فيمات صغير </t>
  </si>
  <si>
    <t xml:space="preserve">فيمات جاهز مصمم مع العيدان </t>
  </si>
  <si>
    <t xml:space="preserve">غلافات بطايق زجاجي اصلي </t>
  </si>
  <si>
    <t xml:space="preserve">غلافات دفاتر أبو ورده </t>
  </si>
  <si>
    <t xml:space="preserve">غلافات دفاتر زجاجي صافي </t>
  </si>
  <si>
    <t xml:space="preserve">غلافات تغليف البضاعة اصغر مقاس </t>
  </si>
  <si>
    <t>غلافات حراري a4</t>
  </si>
  <si>
    <t>ضروف كاكي  كرتوني a4</t>
  </si>
  <si>
    <t>ضروف ابيض كاكي  a4</t>
  </si>
  <si>
    <t>غلافات حراري a5</t>
  </si>
  <si>
    <t xml:space="preserve">ضروف كرتوني اصغر مقاس </t>
  </si>
  <si>
    <t xml:space="preserve">غلافات بطايق شخصية للاصل رطب </t>
  </si>
  <si>
    <t>غلافات بطايق حراري a2</t>
  </si>
  <si>
    <t>غلافات حراري تغليف a3</t>
  </si>
  <si>
    <t xml:space="preserve">غلافات ارقام جلوس وبطايق زجاجي </t>
  </si>
  <si>
    <t xml:space="preserve">غلافات بطايق مقوى بلاستيك </t>
  </si>
  <si>
    <t xml:space="preserve">غلا فات بطايق حراري صغير </t>
  </si>
  <si>
    <t xml:space="preserve">معاليق مقابظ للبطايق حديد </t>
  </si>
  <si>
    <t xml:space="preserve">غلافات بطايق ملون بلاستيك </t>
  </si>
  <si>
    <t xml:space="preserve">زينه رمضان ورقيه </t>
  </si>
  <si>
    <t xml:space="preserve">ضروف رسايل ابيض </t>
  </si>
  <si>
    <t xml:space="preserve">غلافات بطايق وأرقام جلوس الأصلي مع الخيط مقوى </t>
  </si>
  <si>
    <t xml:space="preserve">زمزميات أبو أرنب ناضور </t>
  </si>
  <si>
    <t xml:space="preserve">زمزميات عادي </t>
  </si>
  <si>
    <t xml:space="preserve">زمزميات الأصلي طبي زجاج بواكت </t>
  </si>
  <si>
    <t xml:space="preserve">وسائل لوحات جدران أسماء الله وعبارات وتعليم </t>
  </si>
  <si>
    <t>لوحات كونسون كبير</t>
  </si>
  <si>
    <t>وسائل لوحات ابيض كبير الأصلي</t>
  </si>
  <si>
    <t xml:space="preserve">شناط ولادي خانات بلاستيك </t>
  </si>
  <si>
    <t>غلافات ورق جر</t>
  </si>
  <si>
    <t>غلافات تغليف حراري a3</t>
  </si>
  <si>
    <t>ملفات كرتوني جر حديد</t>
  </si>
  <si>
    <t>ضروف كرتوني كاكي a3</t>
  </si>
  <si>
    <t xml:space="preserve">ورق مقوى ابيض وملون </t>
  </si>
  <si>
    <t>ضروف خشبي a6</t>
  </si>
  <si>
    <t xml:space="preserve">فواصل ملفات </t>
  </si>
  <si>
    <t xml:space="preserve">ضروف خشبي a5 </t>
  </si>
  <si>
    <t xml:space="preserve">مساطر ربل اشكال </t>
  </si>
  <si>
    <t>مساطر طويل زجاجي ابيض</t>
  </si>
  <si>
    <t xml:space="preserve">مساطر طويل زجاجي أطول نوع </t>
  </si>
  <si>
    <t xml:space="preserve">مساطر ملون عريض وكبير هندسة </t>
  </si>
  <si>
    <t xml:space="preserve">مساطر منوع </t>
  </si>
  <si>
    <t xml:space="preserve">منقله </t>
  </si>
  <si>
    <t xml:space="preserve">مثلثات للهندسة </t>
  </si>
  <si>
    <t xml:space="preserve">مقاشط حديد اصغر نوع </t>
  </si>
  <si>
    <t xml:space="preserve">مساحات sab صغير </t>
  </si>
  <si>
    <t xml:space="preserve">مساحات نتراج صغير  </t>
  </si>
  <si>
    <t>مقاشط قلوب</t>
  </si>
  <si>
    <t xml:space="preserve">مقاشط نتراج في علبه </t>
  </si>
  <si>
    <t xml:space="preserve">مساحات نتراج وسط ومستطيل </t>
  </si>
  <si>
    <t>مقاشط وجوه ايموجي صغير</t>
  </si>
  <si>
    <t xml:space="preserve">مقاشط أبو مساحة نتراج </t>
  </si>
  <si>
    <t xml:space="preserve">ميازين ذهب وعطور </t>
  </si>
  <si>
    <t>هدايا كرتوني زجاجي رقم 2</t>
  </si>
  <si>
    <t>ساعات adida ياباني الأصلي  02901 l</t>
  </si>
  <si>
    <t>ساعات adida ياباني الأصلي  4015L</t>
  </si>
  <si>
    <t xml:space="preserve">ساعات سيراميك </t>
  </si>
  <si>
    <t>ساعات ايرلوستون 2127</t>
  </si>
  <si>
    <t>ساعات دومينوا  8039</t>
  </si>
  <si>
    <t>ساعة كراون 1207</t>
  </si>
  <si>
    <t>ساعات اكراون 620</t>
  </si>
  <si>
    <t xml:space="preserve">ساعات كوارتز ذهبي كرستال </t>
  </si>
  <si>
    <t>ساعات مومنت جل 8083</t>
  </si>
  <si>
    <t xml:space="preserve">ساعات هدايا بواكت مع قلم </t>
  </si>
  <si>
    <t xml:space="preserve">ساعات أبو علبه ربل ولادي </t>
  </si>
  <si>
    <t xml:space="preserve">مساطر ابيض شفاف للمهندسين *20 سم </t>
  </si>
  <si>
    <t>مساطر اشكال حروف انجليزي</t>
  </si>
  <si>
    <t xml:space="preserve">مساطر مهندسين شفاف بواكت </t>
  </si>
  <si>
    <t>مساطر حديد</t>
  </si>
  <si>
    <t xml:space="preserve">مساطر ملون أبو علقة شفاف </t>
  </si>
  <si>
    <t xml:space="preserve">مساطر ملون اشكال هندسية </t>
  </si>
  <si>
    <t>مساطر ربل *30</t>
  </si>
  <si>
    <t xml:space="preserve">مساطر زجاجي اشكال </t>
  </si>
  <si>
    <t xml:space="preserve">طقوم نسائي </t>
  </si>
  <si>
    <t>ساعات جلد نسائي domino4013</t>
  </si>
  <si>
    <t>ساعات سلس نسائي  longbo 80413 L</t>
  </si>
  <si>
    <t>ساعات سلس نسائي dinuo 2045</t>
  </si>
  <si>
    <t>ساعات سلس نسائي مغناطيس eooence9108</t>
  </si>
  <si>
    <t xml:space="preserve">ساعات سلس نسائي aldora7858L الأصلي </t>
  </si>
  <si>
    <t>ساعات نسائي جلد  moment8090L</t>
  </si>
  <si>
    <t>ساعات جلد نسائي sonex4077E</t>
  </si>
  <si>
    <t>ساعات جلد نسائي sonex4077A</t>
  </si>
  <si>
    <t>ساعات سلس نسائي 9492</t>
  </si>
  <si>
    <t xml:space="preserve">ساعات نسائي جلد 8717 خريطة </t>
  </si>
  <si>
    <t>ساعات رجالي سلس  eicher7719</t>
  </si>
  <si>
    <t>ساعات رجالي سلسmoonax 1037</t>
  </si>
  <si>
    <t>ساعات رجالي سلس news time 8563</t>
  </si>
  <si>
    <t>ساعات جلد رجالي domino3815m</t>
  </si>
  <si>
    <t>ساعات سلس رجالي yaweisi 4111</t>
  </si>
  <si>
    <t>ساعات سلس رجالي  domino 1415</t>
  </si>
  <si>
    <t>ساعات سلس رجالي  domino 1413</t>
  </si>
  <si>
    <t>ساعات سلس رجالي  domino 1418</t>
  </si>
  <si>
    <t>ساعات سلس رجالي  domino 7704</t>
  </si>
  <si>
    <t>ساعات سلس رجالي  domino 3815</t>
  </si>
  <si>
    <t>ساعات سلس رجالي  domino 5102</t>
  </si>
  <si>
    <t>ساعات سلس رجالي  domino 3816</t>
  </si>
  <si>
    <t>ساعات سلس رجالي  katino 0530 1419</t>
  </si>
  <si>
    <t>ساعات جلد رجالي  gubalai8101</t>
  </si>
  <si>
    <t>ساعات سلس رجالي  momeent 8845</t>
  </si>
  <si>
    <t>ساعات سلس رجالي  momeent 3880</t>
  </si>
  <si>
    <t>ساعات سلس رجالي  momeent 3830</t>
  </si>
  <si>
    <t>ساعات سلس رجالي  adida  7837 m</t>
  </si>
  <si>
    <t>ساعات جلد رجالي yiqin 6227 G</t>
  </si>
  <si>
    <t>ساعات جلد رجالي perucci  1813</t>
  </si>
  <si>
    <t>ساعات سلس رجالي adida 7838</t>
  </si>
  <si>
    <t>ساعات جلد رجالي boshuie 5424</t>
  </si>
  <si>
    <t>ساعات جلد رجالي catomi  1761</t>
  </si>
  <si>
    <t>ساعات جلد رجالي bsj 9915</t>
  </si>
  <si>
    <t xml:space="preserve">ساعات كاسيوا الصلاة </t>
  </si>
  <si>
    <t xml:space="preserve">ساعات كاسيو الوكالة </t>
  </si>
  <si>
    <t xml:space="preserve">ساعات علبه جلد رقمية ولادي صغير الأصلي </t>
  </si>
  <si>
    <t xml:space="preserve">ساعات رقمية جلد علبة شبابي </t>
  </si>
  <si>
    <t>ساعات سلس رجالي وكالة adida 052m</t>
  </si>
  <si>
    <t>ساعات سلس رجالي وكالة moment 9012</t>
  </si>
  <si>
    <t>ساعات سلس رجالي وكالة moment 090m</t>
  </si>
  <si>
    <t>ساعات سلس رجالي وكالة moment 091m</t>
  </si>
  <si>
    <t>ساعات سلس رجالي وكالة ellison 1387</t>
  </si>
  <si>
    <t>ساعات سلس رجالي وكالة adida050 m</t>
  </si>
  <si>
    <t>ساعات سلس مغالق كاسيو  وكالة moment 8849</t>
  </si>
  <si>
    <t>ساعات سلس مغالق كاسيو  وكالة moment 8834</t>
  </si>
  <si>
    <t>ساعات سلس مغالق كاسيو  وكالة moment 8849 m</t>
  </si>
  <si>
    <t xml:space="preserve">ساعات لمس شبابي ربل </t>
  </si>
  <si>
    <t>ساعات  moment no 3830</t>
  </si>
  <si>
    <t>ساعات  moment no 5333</t>
  </si>
  <si>
    <t>ساعات  moment no 5334</t>
  </si>
  <si>
    <t>ساعات 5335</t>
  </si>
  <si>
    <t>ساعات  rado 5836</t>
  </si>
  <si>
    <t>ساعات  colomi  1761</t>
  </si>
  <si>
    <t>ساعات aldora1017 G</t>
  </si>
  <si>
    <t>ساعات 4254</t>
  </si>
  <si>
    <t>ساعات  moment no 2182</t>
  </si>
  <si>
    <t>ساعات  6266</t>
  </si>
  <si>
    <t>ساعات  aldora 3928</t>
  </si>
  <si>
    <t>ساعات sonex 5642L</t>
  </si>
  <si>
    <t>ساعات aldora 3057L</t>
  </si>
  <si>
    <t xml:space="preserve">ساعات  moment no 803G </t>
  </si>
  <si>
    <t>ساعات 2001</t>
  </si>
  <si>
    <t xml:space="preserve">ساعات domino 4014L  وكالة </t>
  </si>
  <si>
    <t xml:space="preserve">ساعات aldora 3915m وكالة </t>
  </si>
  <si>
    <t>A.S.A.D 811 ساعات</t>
  </si>
  <si>
    <t xml:space="preserve">moment fw -1013G ساعات </t>
  </si>
  <si>
    <t>ساعات  8118</t>
  </si>
  <si>
    <t>ساعات 5159</t>
  </si>
  <si>
    <t>ساعات رادوا  9919</t>
  </si>
  <si>
    <t>ساعات kabino  934</t>
  </si>
  <si>
    <t xml:space="preserve">ساعات  3313  boshijie </t>
  </si>
  <si>
    <t>ساعات 1169</t>
  </si>
  <si>
    <t>ساعات 1118</t>
  </si>
  <si>
    <t>ساعات ballin4441</t>
  </si>
  <si>
    <t>ساعات boshiji2  4222</t>
  </si>
  <si>
    <t>ساعات longbo 3072L</t>
  </si>
  <si>
    <t>ساعات Qmax  7059</t>
  </si>
  <si>
    <t>ساعات boshiji2  4333</t>
  </si>
  <si>
    <t xml:space="preserve">ساعات omax نسائي ربل صغير </t>
  </si>
  <si>
    <t xml:space="preserve">ساعات omax 0257  مكسور </t>
  </si>
  <si>
    <t>ساعات مغناطيس لمس نحيف</t>
  </si>
  <si>
    <t>ساعات DELEWRENCE 8010</t>
  </si>
  <si>
    <t>ساعات 9313</t>
  </si>
  <si>
    <t>ساعات NEWS TIM 5426</t>
  </si>
  <si>
    <t>ساعات MHD - 2559</t>
  </si>
  <si>
    <t xml:space="preserve">ساعات omax نسائي ربل كبير </t>
  </si>
  <si>
    <t>ساعات westar1384</t>
  </si>
  <si>
    <t>ساعات love 3103</t>
  </si>
  <si>
    <t>ساعات 0010</t>
  </si>
  <si>
    <t>ساعات moment 8090L</t>
  </si>
  <si>
    <t xml:space="preserve"> sonex4077E ساعات </t>
  </si>
  <si>
    <t>ساعات MHD- 2323</t>
  </si>
  <si>
    <t>ساعات 0011</t>
  </si>
  <si>
    <t>aldora80271 ساعات</t>
  </si>
  <si>
    <t>ساعات 0012</t>
  </si>
  <si>
    <t xml:space="preserve">ساعات omax نسائي ربل وسط </t>
  </si>
  <si>
    <t>ساعات بناتي صغير 0013</t>
  </si>
  <si>
    <t>ساعات ولادي 0014</t>
  </si>
  <si>
    <t>ساعات NANO</t>
  </si>
  <si>
    <t>ساعات بناتي سلس بنفسجي مغناطيس 0016</t>
  </si>
  <si>
    <t>ساعات بناتي ربل عادي أبو خيطين مطرز</t>
  </si>
  <si>
    <t xml:space="preserve">ساعات رولاكس اصلي </t>
  </si>
  <si>
    <t>ساعاتadida 5372m  الأصلي</t>
  </si>
  <si>
    <t>ساعات لمس رقمية الشكل الجديد</t>
  </si>
  <si>
    <t>ساعات ايلون 1387</t>
  </si>
  <si>
    <t>ساعات يونك 601G</t>
  </si>
  <si>
    <t xml:space="preserve"> ساعات adidda 5002 الأصلي</t>
  </si>
  <si>
    <t xml:space="preserve">ساعات ولادي أبو حسابه </t>
  </si>
  <si>
    <t xml:space="preserve">زيت بكوكاي صانسلك الأصلي </t>
  </si>
  <si>
    <t>حقائب ظهر جنز ولادي</t>
  </si>
  <si>
    <t>بخور طارد البعوض بفباف شرائح مع السائل</t>
  </si>
  <si>
    <t>حقائب ظهر كبير علم اليمن جامعي اصلي DENG GAO</t>
  </si>
  <si>
    <t xml:space="preserve">مزهريات أكبر مقاس فخار </t>
  </si>
  <si>
    <t xml:space="preserve">براويز صور صغير على شكل قلب وتاج </t>
  </si>
  <si>
    <t xml:space="preserve">مكاين حلاقة  دنجلنج دنج لنج </t>
  </si>
  <si>
    <t>مكاين حلاقة راس 665</t>
  </si>
  <si>
    <t>عطرر سبيد ليجند  SPEED LEGEND</t>
  </si>
  <si>
    <t>عطر سر الخلود العادي</t>
  </si>
  <si>
    <t>عطر فدواك  فدوى</t>
  </si>
  <si>
    <t>عطر باكت اسود gugciguit  GUCCI</t>
  </si>
  <si>
    <t xml:space="preserve">عطر حياتي انا   انت حياتي </t>
  </si>
  <si>
    <t xml:space="preserve"> delight  عطر  </t>
  </si>
  <si>
    <t xml:space="preserve">عطر original dance موسيقى </t>
  </si>
  <si>
    <t xml:space="preserve">عطر دايموند DIAMONO  DIAMOD </t>
  </si>
  <si>
    <t>عطر حريمي monaco</t>
  </si>
  <si>
    <t>عطر lusian   LUCIAN</t>
  </si>
  <si>
    <t>عطر legend</t>
  </si>
  <si>
    <t xml:space="preserve">chif onrose عطر </t>
  </si>
  <si>
    <t>عطر wild huntress</t>
  </si>
  <si>
    <t>عطر kajar blue</t>
  </si>
  <si>
    <t xml:space="preserve">empressعطر حريمي </t>
  </si>
  <si>
    <t xml:space="preserve">rillionaise عطر مليونير </t>
  </si>
  <si>
    <t xml:space="preserve">عطر لطافة ابيض </t>
  </si>
  <si>
    <t>agent field عطر</t>
  </si>
  <si>
    <t>legendaryعطر</t>
  </si>
  <si>
    <t>victorعطر</t>
  </si>
  <si>
    <t xml:space="preserve">sara qaelعطر    </t>
  </si>
  <si>
    <t>xtree عطر</t>
  </si>
  <si>
    <t>boos عطر</t>
  </si>
  <si>
    <t>skyline  عطر</t>
  </si>
  <si>
    <t xml:space="preserve"> عطر اسير</t>
  </si>
  <si>
    <t xml:space="preserve">عطرعود خليفة </t>
  </si>
  <si>
    <t>new bn sport عطر</t>
  </si>
  <si>
    <t xml:space="preserve"> عطرتويتر</t>
  </si>
  <si>
    <t>raselyn عطر حريمي</t>
  </si>
  <si>
    <t xml:space="preserve">  BUTIK RAGALE     butirrayale  عطر</t>
  </si>
  <si>
    <t>عطر جلاكسي GALAXYSIII</t>
  </si>
  <si>
    <t>islanders  عطر</t>
  </si>
  <si>
    <t xml:space="preserve">  حريمي باكت طويل pink lumiere عطر</t>
  </si>
  <si>
    <t xml:space="preserve">ماوس سلكي صغير + لنفو </t>
  </si>
  <si>
    <t>سماعة راس بلوتوث ملون بواكت p47</t>
  </si>
  <si>
    <t>كشافات بطاريات  txr 7188</t>
  </si>
  <si>
    <t xml:space="preserve">مزهريات اضائة زجاجي باكت ا حمر  </t>
  </si>
  <si>
    <t xml:space="preserve">عطر عاشق العود </t>
  </si>
  <si>
    <t xml:space="preserve">مساحات AB وسط  </t>
  </si>
  <si>
    <t xml:space="preserve">مساحات نتراج صغير  ومستطيل </t>
  </si>
  <si>
    <t xml:space="preserve">حافظات طعام </t>
  </si>
  <si>
    <t xml:space="preserve">ساعة ذهبي  ثلاث نجمات </t>
  </si>
  <si>
    <t>ساعات dinuo3665L</t>
  </si>
  <si>
    <t>ساعات CK 3774</t>
  </si>
  <si>
    <t xml:space="preserve">ساعة وستر 982  westar </t>
  </si>
  <si>
    <t xml:space="preserve">ck3772 ساعات </t>
  </si>
  <si>
    <t xml:space="preserve">news time 5425  ساعات </t>
  </si>
  <si>
    <t xml:space="preserve">hamar1116 ساعات </t>
  </si>
  <si>
    <t xml:space="preserve">vertical  vp052 ساعات </t>
  </si>
  <si>
    <t xml:space="preserve">vertical  vp049 ساعات </t>
  </si>
  <si>
    <t xml:space="preserve">quartz 4919ساعات  </t>
  </si>
  <si>
    <t xml:space="preserve">mhd 2544ساعات  </t>
  </si>
  <si>
    <t xml:space="preserve">zena 9932 ساعات </t>
  </si>
  <si>
    <t>wonder   ساعات</t>
  </si>
  <si>
    <t xml:space="preserve">westara 1045  ساعات </t>
  </si>
  <si>
    <t>slimstak 1054  ساعات</t>
  </si>
  <si>
    <t>westara 1378  ساعات</t>
  </si>
  <si>
    <t>swatch 7241  ساعات</t>
  </si>
  <si>
    <t>dinho  ساعات</t>
  </si>
  <si>
    <t xml:space="preserve"> dinuo3067lL  ساعات</t>
  </si>
  <si>
    <t xml:space="preserve">ساعات حريمي  moment no 4013L </t>
  </si>
  <si>
    <t>ساعات جلد رجالي مع التاريخ   longines5411</t>
  </si>
  <si>
    <t>ساعات رجالي سلس مع التاريخ  longines929</t>
  </si>
  <si>
    <t>مساطر الومنيوم دلويت</t>
  </si>
  <si>
    <t>بخور خشبي سلاسل سدادسي</t>
  </si>
  <si>
    <t xml:space="preserve">جهاز بخاخ البعوض على شرائح سائل </t>
  </si>
  <si>
    <t>ساعات kabino 0845</t>
  </si>
  <si>
    <t>مشارط  كبار حديد</t>
  </si>
  <si>
    <t xml:space="preserve">فرجال زجاجي هندسي علبة </t>
  </si>
  <si>
    <t xml:space="preserve">مشارط حديد صغير </t>
  </si>
  <si>
    <t xml:space="preserve">كشافة ليزر صغير نحيف اصبع </t>
  </si>
  <si>
    <t xml:space="preserve">لوح قلم ومقشطة ومقص بلاستيك أطفال </t>
  </si>
  <si>
    <t xml:space="preserve">خيوط بطائق ارقام جلوس </t>
  </si>
  <si>
    <t xml:space="preserve">سلوس كرستال عرائسي كبير </t>
  </si>
  <si>
    <t xml:space="preserve">لحام ورق سائل </t>
  </si>
  <si>
    <t xml:space="preserve">سبورة اكتب وامسح صغير </t>
  </si>
  <si>
    <t>غسول زجاج ZEAL</t>
  </si>
  <si>
    <t xml:space="preserve">البوم صور كبير </t>
  </si>
  <si>
    <t xml:space="preserve">علب هدايا قلوب صغير </t>
  </si>
  <si>
    <t>علب هدايا قلوب وسط رقم 2</t>
  </si>
  <si>
    <t xml:space="preserve">نظارات ولادي صغير </t>
  </si>
  <si>
    <t xml:space="preserve">نظارات سباحة ومترات </t>
  </si>
  <si>
    <t xml:space="preserve">نظارات شمسية </t>
  </si>
  <si>
    <t xml:space="preserve">جهاز قاتل الذباب والنامس والبعوض صغير </t>
  </si>
  <si>
    <t xml:space="preserve">جهاز بفباف مع السائل لقتل النامس والذباب البعوض </t>
  </si>
  <si>
    <t>الواح تلوين مقفص</t>
  </si>
  <si>
    <t>الواح تلوين كبير مقفص</t>
  </si>
  <si>
    <t xml:space="preserve">أقلام لوح مع ورده وعبارة حب </t>
  </si>
  <si>
    <t>جنبية استيل تراث جنابي تراث</t>
  </si>
  <si>
    <t>محافظ طقم العناية بالاضافر 8 قطع صغير</t>
  </si>
  <si>
    <t>محافظ طقم العناية بالاضافر 8 قطع كبير</t>
  </si>
  <si>
    <t>بواكت لواصق عبارات احبك</t>
  </si>
  <si>
    <t xml:space="preserve">طقم هدايا قلم مع الساعة </t>
  </si>
  <si>
    <t>محفظة جلد أبو زرارين</t>
  </si>
  <si>
    <t>أقلام رصاص قراطيس قلوب وورده</t>
  </si>
  <si>
    <t>هدايا قماشية مغلفة للام جلاس دائري</t>
  </si>
  <si>
    <t>باقات ورد عرائسي</t>
  </si>
  <si>
    <t xml:space="preserve">باقات ورد كبوت سيارات على شكل قلب </t>
  </si>
  <si>
    <t>عكاوات تاج ورد عريس وردعلى الراس</t>
  </si>
  <si>
    <t>ورد مفرد احمر</t>
  </si>
  <si>
    <t xml:space="preserve">ورد 12 فرع </t>
  </si>
  <si>
    <t>ورد 7 فروع</t>
  </si>
  <si>
    <t>ورد 10 فروع</t>
  </si>
  <si>
    <t xml:space="preserve">ورد 24 فرع </t>
  </si>
  <si>
    <t>ورد 9 فروع</t>
  </si>
  <si>
    <t xml:space="preserve">ورد احمر مقفص مع الدب </t>
  </si>
  <si>
    <t xml:space="preserve">ورد تعلوق جدار زينة ورد كبير </t>
  </si>
  <si>
    <t xml:space="preserve">ورد تعلوق على شكل فل </t>
  </si>
  <si>
    <t>مقاشط مع مساحات كبير على شكل حامورة وورده وبرش</t>
  </si>
  <si>
    <t>مساحات كبير نتراج</t>
  </si>
  <si>
    <t xml:space="preserve">مقاشط اشكال سيارات </t>
  </si>
  <si>
    <t xml:space="preserve">مقاشط عاديات صغير </t>
  </si>
  <si>
    <t xml:space="preserve">مقاشط + مساحات قلوب </t>
  </si>
  <si>
    <t xml:space="preserve">مساحات مع صور </t>
  </si>
  <si>
    <t xml:space="preserve">دباسات صغار اصغر مقاس </t>
  </si>
  <si>
    <t xml:space="preserve">لواصق مائي لعبة مع فصوص حلقة  مايني </t>
  </si>
  <si>
    <t xml:space="preserve">علب خواتم زجاجي </t>
  </si>
  <si>
    <t xml:space="preserve">علب خواتم كرتوني أبو كرفته صغير </t>
  </si>
  <si>
    <t xml:space="preserve">علب خواتم زجاجي كبير </t>
  </si>
  <si>
    <t xml:space="preserve">سائل للجهاز الخاص بقتل البعوض والذباب </t>
  </si>
  <si>
    <t>شرائح خاصة بجهاز بفباف قاتل للبعوض</t>
  </si>
  <si>
    <t xml:space="preserve">مساحات أقلام رصاص أصابع طبقات </t>
  </si>
  <si>
    <t>هندسة زجاجي</t>
  </si>
  <si>
    <t xml:space="preserve">أقلام بركل روس في لوح </t>
  </si>
  <si>
    <t xml:space="preserve">مقاشط اشكال طائرات </t>
  </si>
  <si>
    <t xml:space="preserve">بواكت أدوات تنظيف اللابتوب والشاشات </t>
  </si>
  <si>
    <t xml:space="preserve">فرجال حديد في قفص مع المثلثات </t>
  </si>
  <si>
    <t xml:space="preserve">أقلام سحرية </t>
  </si>
  <si>
    <t xml:space="preserve">علب خواتم دائري كبير  </t>
  </si>
  <si>
    <t xml:space="preserve">قلوب احمر حبيبي صغير قماشي </t>
  </si>
  <si>
    <t xml:space="preserve">ورد مغلف كرتوني مع عبارات حبيبي </t>
  </si>
  <si>
    <t xml:space="preserve">ورد مفرد مغلف زجاجي واحمر </t>
  </si>
  <si>
    <t xml:space="preserve">طبعات تاتوا مائية عرسان الابداع وسط </t>
  </si>
  <si>
    <t xml:space="preserve">طبعات تاتوا مائية عرسان الابداع صغير  </t>
  </si>
  <si>
    <t xml:space="preserve">طبعات تاتو الحرم الأصلي </t>
  </si>
  <si>
    <t xml:space="preserve">طبعات نور الحرم الأصلي مائي </t>
  </si>
  <si>
    <t xml:space="preserve">طبعات حناء نقوش الوان </t>
  </si>
  <si>
    <t xml:space="preserve">طبعات مائي كبير اكبر مقاس </t>
  </si>
  <si>
    <t xml:space="preserve">طبعات مائي تاتوا الحروف </t>
  </si>
  <si>
    <t xml:space="preserve">نقوش طبع قمر البنات </t>
  </si>
  <si>
    <t>نقوش حناء fh 243</t>
  </si>
  <si>
    <t xml:space="preserve">نقوش حناء الغزالة </t>
  </si>
  <si>
    <t xml:space="preserve">نقوش حناء عيد مبارك </t>
  </si>
  <si>
    <t xml:space="preserve">نقوش حناء دلع </t>
  </si>
  <si>
    <t xml:space="preserve">نقوش حناء عرائسي كبير </t>
  </si>
  <si>
    <t>طقوم بواكت هدايا دائري من 0 الى 8</t>
  </si>
  <si>
    <t xml:space="preserve">طقوم هدايا مربع احمد </t>
  </si>
  <si>
    <t xml:space="preserve">مزهرية ورد زجاجي صغير </t>
  </si>
  <si>
    <t>قارئ otg</t>
  </si>
  <si>
    <t xml:space="preserve">توصلات القوة الحارقة  4 امبير </t>
  </si>
  <si>
    <t xml:space="preserve">توصلات القوة الحارقة  s 06 امبير </t>
  </si>
  <si>
    <t xml:space="preserve">مسابح الكتروني </t>
  </si>
  <si>
    <t>مقص نوع وسط</t>
  </si>
  <si>
    <t xml:space="preserve">مقص نوع صغير </t>
  </si>
  <si>
    <t xml:space="preserve">ميداليات الله ومحمد </t>
  </si>
  <si>
    <t xml:space="preserve">mp3 سماعة اصغر مقاس </t>
  </si>
  <si>
    <t xml:space="preserve">ميداليات أبو قلب قماش احمر </t>
  </si>
  <si>
    <t xml:space="preserve">mp3 سماعة وسط </t>
  </si>
  <si>
    <t xml:space="preserve">فرشة رسم </t>
  </si>
  <si>
    <t xml:space="preserve">فانوس اكبر مقاس رمضان </t>
  </si>
  <si>
    <t>شاحن سيارة مدخلين</t>
  </si>
  <si>
    <t xml:space="preserve">توصيلة lt  اسود </t>
  </si>
  <si>
    <t>مراية وسط</t>
  </si>
  <si>
    <t xml:space="preserve">محفظة يد نسائي أبو سلسله </t>
  </si>
  <si>
    <t>توصيلات lt  a3</t>
  </si>
  <si>
    <t xml:space="preserve">تحويله usb منافذ للكمبيوتر </t>
  </si>
  <si>
    <t>تحويله من سماعه الى سماعه</t>
  </si>
  <si>
    <t>تحويله من سماعه الى سماعة temax</t>
  </si>
  <si>
    <t xml:space="preserve">سماعة اذن  new </t>
  </si>
  <si>
    <t>سماعة اذن accessories</t>
  </si>
  <si>
    <t xml:space="preserve">ماسك يد للهاتف </t>
  </si>
  <si>
    <t xml:space="preserve">توصيلات   lt a4 </t>
  </si>
  <si>
    <t xml:space="preserve">لاصق كيبورد حروف </t>
  </si>
  <si>
    <t>تحويله من سماعه الى سماعة اسود</t>
  </si>
  <si>
    <t xml:space="preserve">تواصيل شاحن صغير </t>
  </si>
  <si>
    <t>تواصيل شاحن احمر</t>
  </si>
  <si>
    <t>تواصيل 3 x  في واحد</t>
  </si>
  <si>
    <t xml:space="preserve">ماسك يد تلفونات </t>
  </si>
  <si>
    <t>توصيلة جوال  4 am</t>
  </si>
  <si>
    <t xml:space="preserve">تحويله من سماعه الى سماعه </t>
  </si>
  <si>
    <t xml:space="preserve">توصيلة ايفون القوة الخارقة </t>
  </si>
  <si>
    <t>سماعة lt</t>
  </si>
  <si>
    <t>فلاش ساندكس الأصلي 256 gb</t>
  </si>
  <si>
    <t>قارئ typ - c</t>
  </si>
  <si>
    <t xml:space="preserve">مشاط قشرة </t>
  </si>
  <si>
    <t>شباريز باكت عبوة 40 شده</t>
  </si>
  <si>
    <t xml:space="preserve">مشاط أبو مراية كبير </t>
  </si>
  <si>
    <t xml:space="preserve">مشاط احمر طويل </t>
  </si>
  <si>
    <t>مخايط كبير ابر اكبر مقاس</t>
  </si>
  <si>
    <t xml:space="preserve">لميع بواكت عرسان </t>
  </si>
  <si>
    <t xml:space="preserve">اخراص طبي اصلي </t>
  </si>
  <si>
    <t>اخراص بناتي أبو ورده</t>
  </si>
  <si>
    <t xml:space="preserve">اخراص ذهبي بناتي </t>
  </si>
  <si>
    <t xml:space="preserve">تيجان حديد بناتي تيجان بلاستيك بناتي </t>
  </si>
  <si>
    <t xml:space="preserve">تيجان بلاستيك أبو ورده بناتي </t>
  </si>
  <si>
    <t xml:space="preserve">اخراص منوع كرستال قصير </t>
  </si>
  <si>
    <t xml:space="preserve">اخراص لوح صغير عادي </t>
  </si>
  <si>
    <t xml:space="preserve">اخراص كرستال طويل منوع </t>
  </si>
  <si>
    <t>اخراص ذهبي مع قلب</t>
  </si>
  <si>
    <t xml:space="preserve">اخراص كبير كرستال </t>
  </si>
  <si>
    <t xml:space="preserve">اخراص لوح طويل </t>
  </si>
  <si>
    <t>اخراص صغير اصلي مطلي</t>
  </si>
  <si>
    <t xml:space="preserve">ربطات يد حروف منوع </t>
  </si>
  <si>
    <t xml:space="preserve">خواتم نسائي مطلي </t>
  </si>
  <si>
    <t xml:space="preserve">خواتم حروف اصلي </t>
  </si>
  <si>
    <t>خواتم كرستال عرائسي</t>
  </si>
  <si>
    <t xml:space="preserve">خواتم حروف بواكت ذهبي نسائي </t>
  </si>
  <si>
    <t xml:space="preserve">دبل مطلي اصلي </t>
  </si>
  <si>
    <t xml:space="preserve">دبل فص كرستال </t>
  </si>
  <si>
    <t xml:space="preserve">خواتم نسائي  فص لمعه كرستال </t>
  </si>
  <si>
    <t>خواتم بناتي أبو باكت قلب</t>
  </si>
  <si>
    <t xml:space="preserve">خواتم رجالي كبير </t>
  </si>
  <si>
    <t xml:space="preserve">خواتم ولادي </t>
  </si>
  <si>
    <t xml:space="preserve">خواتم حروف اسود ولادي </t>
  </si>
  <si>
    <t xml:space="preserve">دبل رجالي قديم </t>
  </si>
  <si>
    <t xml:space="preserve">دبل رجالي اصلي مع حروف </t>
  </si>
  <si>
    <t xml:space="preserve">اربال شعر نسائي اسود وابيض </t>
  </si>
  <si>
    <t xml:space="preserve">ربطات يد نسائي عادي </t>
  </si>
  <si>
    <t>شبكات شعر كوافير  HAIR</t>
  </si>
  <si>
    <t>شمع عبارات أعياد ميلاد لوح</t>
  </si>
  <si>
    <t xml:space="preserve">ربطات يد نسائي أبو شبك </t>
  </si>
  <si>
    <t xml:space="preserve">ربطات يد بناتي  كرستال أبو خاتم مع الخاتم </t>
  </si>
  <si>
    <t xml:space="preserve">اساول مطلي كبير </t>
  </si>
  <si>
    <t>اساور مطلي وسط</t>
  </si>
  <si>
    <t xml:space="preserve">اساور مطلي صغير </t>
  </si>
  <si>
    <t xml:space="preserve">اساور بناتي عادي </t>
  </si>
  <si>
    <t xml:space="preserve">مرايات مدور صغير </t>
  </si>
  <si>
    <t xml:space="preserve">ربطات يد بناتي كرستال </t>
  </si>
  <si>
    <t>قباضات كمشة كرستال عرائسي</t>
  </si>
  <si>
    <t>قباضات كمشة كبير ريش</t>
  </si>
  <si>
    <t xml:space="preserve">قباضات كمشة لماع </t>
  </si>
  <si>
    <t xml:space="preserve">قباضات كمشة بلاستيك </t>
  </si>
  <si>
    <t>تيجان كرستال عرائسي</t>
  </si>
  <si>
    <t>قباضات كمشة ريش وسط</t>
  </si>
  <si>
    <t>شمع قلوب با باكت زجاجي *3 لوح</t>
  </si>
  <si>
    <t xml:space="preserve">شمع قلوب في باكت زجاجي عبوة 1 </t>
  </si>
  <si>
    <t>شمع ارقام عيد ميلاد فضي</t>
  </si>
  <si>
    <t xml:space="preserve">شناط تلفونات نسائي صغير </t>
  </si>
  <si>
    <t xml:space="preserve">شناط تلفونات نسائي كبير </t>
  </si>
  <si>
    <t xml:space="preserve">شناط محفضة نسائي تعلوق </t>
  </si>
  <si>
    <t xml:space="preserve">شناط بناتي تعلوق مدور صوف </t>
  </si>
  <si>
    <t xml:space="preserve">شناط بناتي ظهر وجنب لماع </t>
  </si>
  <si>
    <t xml:space="preserve">عصايب بناتي ورده ملوك </t>
  </si>
  <si>
    <t>عصايب منوع</t>
  </si>
  <si>
    <t>مفارق +عصايب لوح</t>
  </si>
  <si>
    <t xml:space="preserve">مفارق نسائي كبير صافي </t>
  </si>
  <si>
    <t xml:space="preserve">مفارق شبابي وسط صافي </t>
  </si>
  <si>
    <t xml:space="preserve">مفارق شبابي وسط كرستال + ذهبي </t>
  </si>
  <si>
    <t>مفارق نسائي عرائسي لماع مع فصوص</t>
  </si>
  <si>
    <t xml:space="preserve">كماشات بناتي بلاستيك اصغر مقاس </t>
  </si>
  <si>
    <t xml:space="preserve">ربطات شعر قباضات منوع </t>
  </si>
  <si>
    <t xml:space="preserve">اساور نسائي درج </t>
  </si>
  <si>
    <t>مناطب شعر حديد</t>
  </si>
  <si>
    <t>عطورات صغير منوع الرشيد</t>
  </si>
  <si>
    <t>عطورات وسط منوع اسمارت بواكت</t>
  </si>
  <si>
    <t>عطورات وسط  فاسيو faso</t>
  </si>
  <si>
    <t xml:space="preserve">مضارب عطر فاضي عبوة 25 ذهبي الأصلي </t>
  </si>
  <si>
    <t>مفارق كبير لون فضي مع اسود</t>
  </si>
  <si>
    <t xml:space="preserve">شنطة بناتي بيضاء جنب مع ضهر </t>
  </si>
  <si>
    <t>لبه ذهبي خواتم مع السلس لوح احمر faishon</t>
  </si>
  <si>
    <t>زينه اسقف وفصول طويل وكبير رقم 1</t>
  </si>
  <si>
    <t xml:space="preserve">زينه اسقف وفصول طويل وسط  رقم 2 </t>
  </si>
  <si>
    <t>زينه اسقف وفصول صغير رقم 3</t>
  </si>
  <si>
    <t xml:space="preserve">  mp3 3in 1</t>
  </si>
  <si>
    <t>ماوس خمسة زرارات c12</t>
  </si>
  <si>
    <t xml:space="preserve">أيباد بابا مشمش لمس كمبيوتر وزرارات كبير </t>
  </si>
  <si>
    <t xml:space="preserve">شلك سحري أصابع </t>
  </si>
  <si>
    <t xml:space="preserve">تالف </t>
  </si>
  <si>
    <t>أقلام الجوهرة كبير مع المساحات</t>
  </si>
  <si>
    <t>سمك عروس وعروسه</t>
  </si>
  <si>
    <t xml:space="preserve">سماعات راس كبير </t>
  </si>
  <si>
    <t xml:space="preserve">اخراص لوح الأصلي </t>
  </si>
  <si>
    <t>أخراص لوح عادي بناتي 2 لوح</t>
  </si>
  <si>
    <t>شبكة شعر كوافير</t>
  </si>
  <si>
    <t xml:space="preserve">خواتم حروف عادي ذهبي نسائي </t>
  </si>
  <si>
    <t xml:space="preserve">حزام عرائسي نفس فضة </t>
  </si>
  <si>
    <t>سلات ورود  شبك</t>
  </si>
  <si>
    <t xml:space="preserve">شمع ارقام عيد ميلاد ابيض </t>
  </si>
  <si>
    <t xml:space="preserve">fashion عصايب  </t>
  </si>
  <si>
    <t xml:space="preserve">مفارق منوع صافي استيل اسود وابيض </t>
  </si>
  <si>
    <t xml:space="preserve">باكت هدايا سداسي احمر </t>
  </si>
  <si>
    <t>منتهي</t>
  </si>
  <si>
    <t>رقم الصنف</t>
  </si>
  <si>
    <t>الرمز</t>
  </si>
  <si>
    <t>الصنف</t>
  </si>
  <si>
    <t>الموقع</t>
  </si>
  <si>
    <t>العملة</t>
  </si>
  <si>
    <t>التحويل</t>
  </si>
  <si>
    <t>اجمالي السعر</t>
  </si>
  <si>
    <t>السعر بالعملة الأساسية</t>
  </si>
  <si>
    <t>تاريخ الانتهاء</t>
  </si>
  <si>
    <t>ورق ملون A4 خفيف *250</t>
  </si>
  <si>
    <t>شده</t>
  </si>
  <si>
    <t>ريال يمني</t>
  </si>
  <si>
    <t xml:space="preserve">بالونات لوح عبوه 144 </t>
  </si>
  <si>
    <t>درز</t>
  </si>
  <si>
    <t xml:space="preserve">ورق تغليف حراري في باكت ابيض </t>
  </si>
  <si>
    <t>باكت</t>
  </si>
  <si>
    <t>ورق واجهات *100</t>
  </si>
  <si>
    <t xml:space="preserve">ورق ملون خفيف  a 4 *100 ورقه </t>
  </si>
  <si>
    <t xml:space="preserve">ورق مقوى ملون *100 </t>
  </si>
  <si>
    <t>دفاتر رسم بياني كبير A3</t>
  </si>
  <si>
    <t>دفتر</t>
  </si>
  <si>
    <t>كوبي 100 حبة  LOOU KORES 300 KOROS</t>
  </si>
  <si>
    <t>شفاف ملازم *100</t>
  </si>
  <si>
    <t>ورق اسود مقوى *100  A4</t>
  </si>
  <si>
    <t>دفتر وثائق رسميه طويل *100</t>
  </si>
  <si>
    <t>قوائم الجيل الجديد *100</t>
  </si>
  <si>
    <t>فواصل ملفات ورق *100</t>
  </si>
  <si>
    <t>ورق بصاير مقوى *100</t>
  </si>
  <si>
    <t>شدة</t>
  </si>
  <si>
    <t>ورق مقوى ملون مخلط *100</t>
  </si>
  <si>
    <t>ورق جلوسي فاخر 200 جرام  *50</t>
  </si>
  <si>
    <t>ورقة</t>
  </si>
  <si>
    <t>جليدات كتب *100</t>
  </si>
  <si>
    <t xml:space="preserve">دعوات زفاف مع الغلاف * 100 مكتوب </t>
  </si>
  <si>
    <t>دعوات زفاف حريمي عطفه *100</t>
  </si>
  <si>
    <t xml:space="preserve">دعوات زفاف باكت اسود </t>
  </si>
  <si>
    <t xml:space="preserve">دعوات زفاف حريمي عادي * 100 </t>
  </si>
  <si>
    <t>مشارط deli</t>
  </si>
  <si>
    <t xml:space="preserve">ورق تغليف حراري 70*100 </t>
  </si>
  <si>
    <t xml:space="preserve">ورق تغليف حراري A5 </t>
  </si>
  <si>
    <t xml:space="preserve">غلافات بطايق أبو معلاق  B3 </t>
  </si>
  <si>
    <t xml:space="preserve">غلافات بطايق شخصية رطب </t>
  </si>
  <si>
    <t xml:space="preserve">ضروف دعوات </t>
  </si>
  <si>
    <t xml:space="preserve">ضروف كاكي  A4 </t>
  </si>
  <si>
    <t xml:space="preserve">ضروف كاكي  A3 </t>
  </si>
  <si>
    <t xml:space="preserve">دعايات الف مبروك +فرحة العمر </t>
  </si>
  <si>
    <t>دعايات خفيف حجم صغير  رقم 2</t>
  </si>
  <si>
    <t>دعايات خفيف حجم صغير رقم 4</t>
  </si>
  <si>
    <t>حلزون كبس ملازم *100</t>
  </si>
  <si>
    <t xml:space="preserve">قباضات شعر ورده لوح ابيض </t>
  </si>
  <si>
    <t xml:space="preserve">بالونات ابيض وملون </t>
  </si>
  <si>
    <t xml:space="preserve">مقاشط نتراج عبوة 50 برايات </t>
  </si>
  <si>
    <t>علبة</t>
  </si>
  <si>
    <t>مساحات نتراج عبوة 50 نوع كبير</t>
  </si>
  <si>
    <t>أقلام OMEGA ×10 الواح</t>
  </si>
  <si>
    <t>أقلام ليزر ×12</t>
  </si>
  <si>
    <t xml:space="preserve">دفتر جر صغير قلاب 50 ورقه </t>
  </si>
  <si>
    <t xml:space="preserve">دفتر طلاق </t>
  </si>
  <si>
    <t xml:space="preserve">ورق جلوسي لاصق ببغاء 135 جرام *50 </t>
  </si>
  <si>
    <t>ورق جلوسي وجهين  180 جرام *50</t>
  </si>
  <si>
    <t>ورق جلوسي متسوبيشي120 وجهين  جرام *50</t>
  </si>
  <si>
    <t>ورق جلوسي لاصق120 جرام *50</t>
  </si>
  <si>
    <t>أوراق لاصق اصفر منوعات</t>
  </si>
  <si>
    <t xml:space="preserve">دعوات زفاف فاضي * 50 </t>
  </si>
  <si>
    <t>ورق تغليف حراري 75*105  بيزرس bizrs</t>
  </si>
  <si>
    <t xml:space="preserve">ضروف رسايل رسائل </t>
  </si>
  <si>
    <t xml:space="preserve">ضروف  smart  صغير للبطايق </t>
  </si>
  <si>
    <t xml:space="preserve">قباضات لوح ملون فراتك ملون </t>
  </si>
  <si>
    <t xml:space="preserve">خواتم ذهبي مطلي حروف </t>
  </si>
  <si>
    <t xml:space="preserve">خواتم بناتي باكت شكل قلب عادي </t>
  </si>
  <si>
    <t xml:space="preserve">قباضات شعر بناتي ملون صغير أكياس </t>
  </si>
  <si>
    <t xml:space="preserve">عطور خام الشتيوي </t>
  </si>
  <si>
    <t xml:space="preserve">عطور خام السدعي </t>
  </si>
  <si>
    <t xml:space="preserve">عطور خام قديم </t>
  </si>
  <si>
    <t>علبه</t>
  </si>
  <si>
    <t>شلك مخلوط   25X</t>
  </si>
  <si>
    <t>ملفات كرتوني للبلدية *25</t>
  </si>
  <si>
    <t>كرتون</t>
  </si>
  <si>
    <t>مساحات نوع ERASER × 24</t>
  </si>
  <si>
    <t>مساطر 20CM جرام ×24</t>
  </si>
  <si>
    <t>مساطر مطاط عريض ×24</t>
  </si>
  <si>
    <t>تعبئة أقلام سبورة *24</t>
  </si>
  <si>
    <t>شلك ورق 15  جرام</t>
  </si>
  <si>
    <t>ربطات كتب ملون كبير</t>
  </si>
  <si>
    <t>ربطات كتب ملون صغير</t>
  </si>
  <si>
    <t>اربال حق الفلوس ( اصلي )</t>
  </si>
  <si>
    <t>مساطر ODORO صغير كرتون</t>
  </si>
  <si>
    <t>مساطر ODORO كبير</t>
  </si>
  <si>
    <t>عبوات</t>
  </si>
  <si>
    <t xml:space="preserve">شهايد مكتوبه *20 حبه </t>
  </si>
  <si>
    <t>حناء قمع *12</t>
  </si>
  <si>
    <t>خيوط مكاين ملون 40-2</t>
  </si>
  <si>
    <t>شمع احمر مضيء حفلات *12</t>
  </si>
  <si>
    <t>نقوش خظاب الحناء</t>
  </si>
  <si>
    <t>ابيام شعر الواح بنسات فراتك *12</t>
  </si>
  <si>
    <t>صبغة شعر رولا ( باكت بني )</t>
  </si>
  <si>
    <t>مقوي اضافر *12</t>
  </si>
  <si>
    <t>مقصات اظافر ( كبير ) الأصلي</t>
  </si>
  <si>
    <t>مقصات شنب حديد ( صغير )</t>
  </si>
  <si>
    <t>بطاريات أبو قلم 888 باكت</t>
  </si>
  <si>
    <t xml:space="preserve">حناء تحفة العروسة ( باكت ) </t>
  </si>
  <si>
    <t>شلك ابودبة ( صغير )  12X</t>
  </si>
  <si>
    <t>لوح</t>
  </si>
  <si>
    <t>شلك ابودبة ( كبير )  12X</t>
  </si>
  <si>
    <t>مقصات شعر زجاجي</t>
  </si>
  <si>
    <t xml:space="preserve">مقاشط حديد </t>
  </si>
  <si>
    <t xml:space="preserve">مساطر زجاجية أبو مسكة ×12  - 20سم </t>
  </si>
  <si>
    <t>مساطر دوائر ×12</t>
  </si>
  <si>
    <t xml:space="preserve">مساطر اشكال حروف وأرقام </t>
  </si>
  <si>
    <t xml:space="preserve">مساطر ×12 زجاجي ابيض - 20 سم </t>
  </si>
  <si>
    <t>ملون شمعي   H-1818  HORRSE</t>
  </si>
  <si>
    <t xml:space="preserve">صلصال كبير </t>
  </si>
  <si>
    <t>صلصال صغير علب ×12</t>
  </si>
  <si>
    <t xml:space="preserve">بصمات دمغة حديد صغير </t>
  </si>
  <si>
    <t xml:space="preserve">حبر بصمات </t>
  </si>
  <si>
    <t>أقلام TUZOO ×12 الواح</t>
  </si>
  <si>
    <t>أقلام لاماع ×12 الواح</t>
  </si>
  <si>
    <t>أقلام مونتيكس ×10 الواح</t>
  </si>
  <si>
    <t>أقلام PILOT ×8 الواح</t>
  </si>
  <si>
    <t>أقلام الانيق × 12</t>
  </si>
  <si>
    <t>أقلام الذهبي × 12</t>
  </si>
  <si>
    <t>أقلام الذكي ×12</t>
  </si>
  <si>
    <t>أقلام سائل لينك ×12 FXECUFLUF</t>
  </si>
  <si>
    <t>أقلام نتراج حبر×12</t>
  </si>
  <si>
    <t>أقلام ديزل ×12 DAZZLE</t>
  </si>
  <si>
    <t xml:space="preserve">أقلام طقطق ملون × 12 لوح </t>
  </si>
  <si>
    <t>أقلام سائل فلاير × 12</t>
  </si>
  <si>
    <t xml:space="preserve">أقلام GEL IVKPEN </t>
  </si>
  <si>
    <t xml:space="preserve">أقلام الجوهر DIMOND ×12 </t>
  </si>
  <si>
    <t>أقلام شاروخان لينك × 12</t>
  </si>
  <si>
    <t>أقلام الجواهر سائل MO,38 رقم 805</t>
  </si>
  <si>
    <t>أقلام لينك تي 20×12</t>
  </si>
  <si>
    <t>أقلام اوفر ×12</t>
  </si>
  <si>
    <t xml:space="preserve">أقلام لينك السريع </t>
  </si>
  <si>
    <t>أقلام BUTTERFLOW ×12 جاف</t>
  </si>
  <si>
    <t>أقلام بيبي  0,38MM-7,98</t>
  </si>
  <si>
    <t>أقلام FARRO × 12 0,7</t>
  </si>
  <si>
    <t>أقلام الحبر الجاف STAR ×12</t>
  </si>
  <si>
    <t>أقلام  GOLDEX ×12 جاف</t>
  </si>
  <si>
    <t>أقلام  GOLDEX ×12 سائل</t>
  </si>
  <si>
    <t>أقلام اكتب وامسح ×12 0,7</t>
  </si>
  <si>
    <t>أقلام اكتب وامسح ×12 0,5</t>
  </si>
  <si>
    <t>أقلام لينك التوأم أبو رأسين حبر + رصاص ×12</t>
  </si>
  <si>
    <t>أقلام يوميه صيني ×12</t>
  </si>
  <si>
    <t>أقلام MATREX × 12</t>
  </si>
  <si>
    <t>أقلام TOBTK - UNEMAX  0,7</t>
  </si>
  <si>
    <t>أقلام BLACK PEARI  ×12 0,7</t>
  </si>
  <si>
    <t xml:space="preserve">أقلام مونتكس جاف × 10 </t>
  </si>
  <si>
    <t>أقلام بايلوت هسة ×12</t>
  </si>
  <si>
    <t>أقلام شارب ابو هسة ×12</t>
  </si>
  <si>
    <t>أقلام أبو هسة صيني × 12 SOM IX - K36</t>
  </si>
  <si>
    <t>أقلام أبو هسة G6-M6Z9003</t>
  </si>
  <si>
    <t>أقلام أبو هسة ادجل حديد ADD GEL</t>
  </si>
  <si>
    <t xml:space="preserve">أقلام لينك أبو هسة S16 </t>
  </si>
  <si>
    <t>أقلام حديد أبو هسة IPOWER</t>
  </si>
  <si>
    <t xml:space="preserve">أقلام سائل يونيبل اصلي </t>
  </si>
  <si>
    <t xml:space="preserve">أقلام سائل بايلوت </t>
  </si>
  <si>
    <t xml:space="preserve">أقلام سائل رولر </t>
  </si>
  <si>
    <t>أقلام K130×12</t>
  </si>
  <si>
    <t>أقلام DELI ROLLER Pen</t>
  </si>
  <si>
    <t xml:space="preserve">أقلام الزعيم </t>
  </si>
  <si>
    <t>أقلام CHEIVYO×12</t>
  </si>
  <si>
    <t>أقلام G-LISIB-FIVE×12</t>
  </si>
  <si>
    <t>أقلام الخطاط ×12   2M</t>
  </si>
  <si>
    <t>أقلام الناعم ×12 0,7</t>
  </si>
  <si>
    <t>أقلام OMEGA ×12</t>
  </si>
  <si>
    <t>أقلام سائل SHARP ×12 شارب</t>
  </si>
  <si>
    <t xml:space="preserve">أقلام  ROLLER BALL BEILONG </t>
  </si>
  <si>
    <t>ROLLER WANGZILONG اقلام سائل</t>
  </si>
  <si>
    <t xml:space="preserve"> FIAMINGO اقلام سائل</t>
  </si>
  <si>
    <t>أقلام سائل EXTRA 0,7 *12</t>
  </si>
  <si>
    <t>أقلام سائل PILOT   0,7   *12</t>
  </si>
  <si>
    <t>أقلام صيني  GP-558    1,0</t>
  </si>
  <si>
    <t xml:space="preserve">أقلام سائل GELINK PEN   *12 </t>
  </si>
  <si>
    <t>أقلام سائل GP-730 0,5  *12</t>
  </si>
  <si>
    <t xml:space="preserve">أقلام سائل COMIX  0,5 </t>
  </si>
  <si>
    <t>أقلام سائل  SHYZR</t>
  </si>
  <si>
    <t>أقلام سائل TG 32010 0,5 *12</t>
  </si>
  <si>
    <t>أقلام صيني  GP-1015</t>
  </si>
  <si>
    <t>أقلام صيني  GP-758</t>
  </si>
  <si>
    <t>أقلام صيني  GP-863</t>
  </si>
  <si>
    <t>أقلام صيني  GP-1035</t>
  </si>
  <si>
    <t>أقلام صيني  K99</t>
  </si>
  <si>
    <t>أقلام صيني  K104</t>
  </si>
  <si>
    <t>أقلام صيني  GP-761</t>
  </si>
  <si>
    <t>أقلام صيني  GP-953</t>
  </si>
  <si>
    <t>أقلام صيني  ROLLER TIPPEN *12</t>
  </si>
  <si>
    <t>أقلام سائل  UNI-BULL 0,7</t>
  </si>
  <si>
    <t>أقلام سائل  UNI-PINZ 0,8</t>
  </si>
  <si>
    <t>أقلام صيني  GP-799</t>
  </si>
  <si>
    <t xml:space="preserve">أقلام ثنائي مقرطس *2   BEILONG التوئم </t>
  </si>
  <si>
    <t xml:space="preserve">أقلام ثنائي مقرطس *2   SHENGFENG </t>
  </si>
  <si>
    <t>أقلام المتفوق *12</t>
  </si>
  <si>
    <t>أقلام X AMIGO</t>
  </si>
  <si>
    <t>أقلام الجوهرة  *12   DIAMOND</t>
  </si>
  <si>
    <t>أقلام لينك X GLISS</t>
  </si>
  <si>
    <t>أقلام المتفوق طقطق *12</t>
  </si>
  <si>
    <t>أقلام السريع  *12  FASI</t>
  </si>
  <si>
    <t>أقلام *12   BLACK PEARL</t>
  </si>
  <si>
    <t>أقلام *12 GOLDEX</t>
  </si>
  <si>
    <t>أقلام *12 توب إستار</t>
  </si>
  <si>
    <t>أقلام *12   Liquid Ball</t>
  </si>
  <si>
    <t>أقلام ويزر  *12</t>
  </si>
  <si>
    <t>أقلام  N50G.588  *12  GELWK PEN</t>
  </si>
  <si>
    <t>أقلام سبورة جهتين *12   CY-1008</t>
  </si>
  <si>
    <t>أقلام سبورة جهتين ( الصقر ) RAF-400</t>
  </si>
  <si>
    <t>أقلام سبورة تعبئة *12   BIZRS</t>
  </si>
  <si>
    <t xml:space="preserve">أقلام علامة راس مشطرف *12  I3Z-408 </t>
  </si>
  <si>
    <t>أقلام شارب علامة *12</t>
  </si>
  <si>
    <t xml:space="preserve">أقلام الجيل سبورة *12    ALJEEL  </t>
  </si>
  <si>
    <t xml:space="preserve">أقلام علامة الجيل  *12    ALJEEL  </t>
  </si>
  <si>
    <t>أقلام رصاص الذكي *12</t>
  </si>
  <si>
    <t>أقلام رصاص نتراج لوح *12</t>
  </si>
  <si>
    <t>أقلام رصاص HB PENCIL</t>
  </si>
  <si>
    <t>أقلام رصاص الماني *12</t>
  </si>
  <si>
    <t>أقلام رصاص FIAMING     *12</t>
  </si>
  <si>
    <t>أقلام رصاص *12  2.4MM    FLAIR</t>
  </si>
  <si>
    <t>أقلام رصاص *12  NATARAJ</t>
  </si>
  <si>
    <t>أقلام رصاص *12   MARCO</t>
  </si>
  <si>
    <t>أقلام بركل راس مشطوف</t>
  </si>
  <si>
    <t>أقلام رصاص *12 BLACK LEAD PENCIL</t>
  </si>
  <si>
    <t>أقلام رصاص تعبئة  مع المساحة*12  SUPER MAAS</t>
  </si>
  <si>
    <t>أقلام رصاص تعبئة *12 0.5MM    ROTRING</t>
  </si>
  <si>
    <t>أقلام رصاص تعبئة *12 PILOT</t>
  </si>
  <si>
    <t>أقلام كركت شارب ابيض كبير *12</t>
  </si>
  <si>
    <t>أقلام كركت الذكي فراشة    SMART   *12</t>
  </si>
  <si>
    <t xml:space="preserve">أقلام الخط  العربي  + 0.5MM  *12     AMFST </t>
  </si>
  <si>
    <t xml:space="preserve">أقلام ملاون 16 - alpino  </t>
  </si>
  <si>
    <t xml:space="preserve">أقلام ملاون 18 - alpino  </t>
  </si>
  <si>
    <t xml:space="preserve">أقلام ملاون في علبة الذكي </t>
  </si>
  <si>
    <t xml:space="preserve">دفتر جر قلاب صغير </t>
  </si>
  <si>
    <t xml:space="preserve">ورق بحث منوع *12 درز فيه 20 ورقه </t>
  </si>
  <si>
    <t>واجهات بحوث *100 ورقة</t>
  </si>
  <si>
    <t>دفاتر بحث</t>
  </si>
  <si>
    <t xml:space="preserve">كرفتات هدايا كبير </t>
  </si>
  <si>
    <t xml:space="preserve">كرفتات هدايا صغير </t>
  </si>
  <si>
    <t>غلافات هدايا شفاف مربع صغير</t>
  </si>
  <si>
    <t>غلافات ورق هدايا كرتوني لفات طوال</t>
  </si>
  <si>
    <t xml:space="preserve">فيمات مع العيدان جاهزات *10 </t>
  </si>
  <si>
    <t>ورق ملاحظات ملون *12   *100   76mm</t>
  </si>
  <si>
    <t>ورق ملاحظات ملون اشكال *12   *100   76mm</t>
  </si>
  <si>
    <t>ورق ملاحظات  jst 200*100mm   ALJEEL</t>
  </si>
  <si>
    <t>ورق بحث *12  عبوة 20 ورقة</t>
  </si>
  <si>
    <t>فلين</t>
  </si>
  <si>
    <t>أسناد قبض  *12</t>
  </si>
  <si>
    <t>دفاتر تحضير الدروس جلد أبو 100 ورقة</t>
  </si>
  <si>
    <t>دفاتر رسم ملون قلاب A4*12</t>
  </si>
  <si>
    <t>شفاف فواصل ملون *12</t>
  </si>
  <si>
    <t xml:space="preserve">ملفات زرار </t>
  </si>
  <si>
    <t>ملفات زجاجي السحاب *10</t>
  </si>
  <si>
    <t>ملفات زجاجي تخريم *12</t>
  </si>
  <si>
    <t>مصاحف قران شخريط اصغر مقاس</t>
  </si>
  <si>
    <t xml:space="preserve">أقلام الذهبي علبه </t>
  </si>
  <si>
    <t>دفاتر مدرسي غلافين أبو 100 *12</t>
  </si>
  <si>
    <t>دفاتر مدرسي غلافين أبو 80 *12</t>
  </si>
  <si>
    <t>دفاتر مدرسي غلافين أبو 60 *12</t>
  </si>
  <si>
    <t>دفاتر مدرسي غلافين أبو 40 *12</t>
  </si>
  <si>
    <t>دفاتر مدرسي غلافين انجليزي أبو 40 *12</t>
  </si>
  <si>
    <t>دفاتر مدرسي غلافين هندسه أبو 100 *12</t>
  </si>
  <si>
    <t>دفاتر مدرسي غلافين هندسه أبو 80 *12</t>
  </si>
  <si>
    <t>دفاتر مدرسي غلاف أبو 60 *12</t>
  </si>
  <si>
    <t>قصص أطفال كبير *12</t>
  </si>
  <si>
    <t>ميداليات معالق مفاتيح *12 LUVY</t>
  </si>
  <si>
    <t xml:space="preserve">هدية قلم مع ساعه باكت </t>
  </si>
  <si>
    <t xml:space="preserve">دعوات زفاف مكتوب عطفه في 50 </t>
  </si>
  <si>
    <t xml:space="preserve">حبر تعبية أقلام سبورة  علب كبير </t>
  </si>
  <si>
    <t>مساكة ورق</t>
  </si>
  <si>
    <t xml:space="preserve">مسامير دباسة 24/6  staple </t>
  </si>
  <si>
    <t xml:space="preserve">ورق تغليف حراري  65*95 </t>
  </si>
  <si>
    <t xml:space="preserve">غلافات بطايق أبو معلاق  B2 </t>
  </si>
  <si>
    <t xml:space="preserve">غلافات بطايق معلاق رطب </t>
  </si>
  <si>
    <t xml:space="preserve">عصايب راس للمولد </t>
  </si>
  <si>
    <t xml:space="preserve">ربطات كتب محازم قماشي </t>
  </si>
  <si>
    <t>شناط محافظ نسائي للتلفونات سحابين  كبير</t>
  </si>
  <si>
    <t>شناط محافظ نسائي للتلفونات سحابين صغير</t>
  </si>
  <si>
    <t xml:space="preserve">لوح احمر سلوس كرستال ذهبي   حروف  </t>
  </si>
  <si>
    <t xml:space="preserve">تيجان بناتي حديد أبو ورده بناتي </t>
  </si>
  <si>
    <t xml:space="preserve">ربطات يد رجالي حروف وطير </t>
  </si>
  <si>
    <t xml:space="preserve">اخراص لوح قديم </t>
  </si>
  <si>
    <t xml:space="preserve">اخراص طبي بناتي </t>
  </si>
  <si>
    <t xml:space="preserve">لوح قباضات بناتي بلاستيك مطاط </t>
  </si>
  <si>
    <t xml:space="preserve">عصايب بناتي شكل جديد فراشات </t>
  </si>
  <si>
    <t xml:space="preserve">زهافر لماع كبير في لوح </t>
  </si>
  <si>
    <t xml:space="preserve">اخراص عادي في باكت زجاج </t>
  </si>
  <si>
    <t xml:space="preserve">مساكات شعر فراتك أبو كرفته </t>
  </si>
  <si>
    <t xml:space="preserve">شمع حروف اسم عيد ميلاد لوح </t>
  </si>
  <si>
    <t xml:space="preserve">اساور هندي </t>
  </si>
  <si>
    <t xml:space="preserve">خواتم نسائي مطلي باكت احمر </t>
  </si>
  <si>
    <t xml:space="preserve">خواتم شبابي فص شكل عقيق </t>
  </si>
  <si>
    <t xml:space="preserve">خواتم ولادي عقيق </t>
  </si>
  <si>
    <t xml:space="preserve">خواتم فضه نسائي وولادي قديم </t>
  </si>
  <si>
    <t xml:space="preserve">مساكات شعر كمشه كماشات نسائي وسط </t>
  </si>
  <si>
    <t xml:space="preserve">قباظات شعر نسائي وسط لماع اصلي </t>
  </si>
  <si>
    <t xml:space="preserve">أربال شعر ابيض واسود صغير  قرطاس </t>
  </si>
  <si>
    <t xml:space="preserve">زينه ورقي لماع جدار  تتعلق مدارس وبيوت صغير </t>
  </si>
  <si>
    <t xml:space="preserve">زينه ورقي لماع جدار  تتعلق مدارس وبيوت كبير </t>
  </si>
  <si>
    <t>ابر خياطه فتله صغير * 12</t>
  </si>
  <si>
    <t xml:space="preserve">امشطة نسائي اصلي  بيوتي سوفت </t>
  </si>
  <si>
    <t xml:space="preserve">فحم الأمير أكياس في باكت </t>
  </si>
  <si>
    <t xml:space="preserve">مطابع حناء كبير عرايسي  نقش </t>
  </si>
  <si>
    <t xml:space="preserve">مطابع حناء يد صغير عرسان رجالي  نقش رجالي  </t>
  </si>
  <si>
    <t xml:space="preserve">فل صناعي ورقي </t>
  </si>
  <si>
    <t xml:space="preserve">بالونات زجاجي ابيض كبير زهافر </t>
  </si>
  <si>
    <t xml:space="preserve">جلاجل  </t>
  </si>
  <si>
    <t>عرايس في لوح مع التسريحة</t>
  </si>
  <si>
    <t xml:space="preserve">أقلام تعبية رصاص سبيدرمان </t>
  </si>
  <si>
    <t>سنن أقلام رصاص اصلي  HB   rotring</t>
  </si>
  <si>
    <t xml:space="preserve">سنن سن أقلام رصاص نتراج </t>
  </si>
  <si>
    <t xml:space="preserve">سنن سن أقلام رصاص باكت زجاجي X 6 s </t>
  </si>
  <si>
    <t>سنن أقلام رصاص اصلي بايلوت  0.7  0.3  pilot</t>
  </si>
  <si>
    <t xml:space="preserve">سنن أقلام رصاص على شكل أقلام طولي </t>
  </si>
  <si>
    <t xml:space="preserve">زيت شعر البيداء </t>
  </si>
  <si>
    <t xml:space="preserve">دبابيس شعر صغير </t>
  </si>
  <si>
    <t xml:space="preserve">صبغات شعر فاتيكا </t>
  </si>
  <si>
    <t>روج شفايف السيدة ااحمر حامورة شفاة السيده</t>
  </si>
  <si>
    <t xml:space="preserve"> مضارب عطر فاضي كبير اكبر نوع </t>
  </si>
  <si>
    <t xml:space="preserve">مضارب عطر فاضي صغير زجاجي </t>
  </si>
  <si>
    <t>شمع ملون *10</t>
  </si>
  <si>
    <t>فاين شدات صغير عبوة 10</t>
  </si>
  <si>
    <t>أقلام CLARO ×10 الواح</t>
  </si>
  <si>
    <t>أقلام FLAIR ×10 الواح</t>
  </si>
  <si>
    <t xml:space="preserve">أقلام TRLODCGI ×10 الواح </t>
  </si>
  <si>
    <t>أقلام الذهبي ×10 الواح</t>
  </si>
  <si>
    <t>أقلام COLCRPEN ×10 الواح</t>
  </si>
  <si>
    <t>أقلام قلمي ×10 الواح</t>
  </si>
  <si>
    <t>أقلام الذكي ×10 الواح</t>
  </si>
  <si>
    <t>أقلام الذكي ×10</t>
  </si>
  <si>
    <t>أقلام بينتونك ×10</t>
  </si>
  <si>
    <t>أقلام LAZORTUCOOIY ×10</t>
  </si>
  <si>
    <t>أقلام نتراج أبو قرطاس ×10</t>
  </si>
  <si>
    <t>أقلام نتراج رصاص  ×10</t>
  </si>
  <si>
    <t>أقلام أبو هسة PEBNOK</t>
  </si>
  <si>
    <t>أقلام CLARO * 10     0,7</t>
  </si>
  <si>
    <t xml:space="preserve">أقلام  ROLLER BALL SHARP </t>
  </si>
  <si>
    <t>أقلام  لينك النجم *10</t>
  </si>
  <si>
    <t>أقلام فسفوري باكت *10  S621</t>
  </si>
  <si>
    <t xml:space="preserve">أقلام علامة راس مشطوف *10  AS-218 </t>
  </si>
  <si>
    <t>أقلام علامة جهتين صغير *10     PM-991210</t>
  </si>
  <si>
    <t>غلافات  هدايا كبير *10</t>
  </si>
  <si>
    <t>غلافات  هدايا صغير *10</t>
  </si>
  <si>
    <t>ملفات زجاجي سحاب *10</t>
  </si>
  <si>
    <t>دفاتر مدرسي غلاف أبو 80 *12</t>
  </si>
  <si>
    <t>مسامير أبو كوفية *10 باكت</t>
  </si>
  <si>
    <t>أقلام لاماع ×8 الواح</t>
  </si>
  <si>
    <t xml:space="preserve">أقلام SEMI BELLIX PEN  ×8 الواح </t>
  </si>
  <si>
    <t xml:space="preserve">ريش رسم </t>
  </si>
  <si>
    <t>أقلام MUITICOLOR ×6 الواح</t>
  </si>
  <si>
    <t>أقلام لاماع ×6 الواح</t>
  </si>
  <si>
    <t>دفاتر جر عربي 100 ورقة *6</t>
  </si>
  <si>
    <t>أقلام TUZO ×5 بلاستيك الواح</t>
  </si>
  <si>
    <t>أقلام فسفوري *5  isofit</t>
  </si>
  <si>
    <t>أقلام فسفوري *5 FLAIR   اصلي</t>
  </si>
  <si>
    <t>أقلام فسفوري *4  Gright</t>
  </si>
  <si>
    <t xml:space="preserve">أقلام فسفوري صيني *4 SEM </t>
  </si>
  <si>
    <t xml:space="preserve">هدايا مغلف عيد الأم والتخرج والزواج كبير </t>
  </si>
  <si>
    <t xml:space="preserve">هدايا زجاج عيد الام وسط </t>
  </si>
  <si>
    <t xml:space="preserve">هدايا زجاج عيد الام صغير </t>
  </si>
  <si>
    <t>مزهريات فخار صغير</t>
  </si>
  <si>
    <t>مزهريات فخار وسط</t>
  </si>
  <si>
    <t>مزهريات فخار كبير</t>
  </si>
  <si>
    <t>قاعدة ورد حديد كبير</t>
  </si>
  <si>
    <t>اقلاص عرسان في باكت هدية</t>
  </si>
  <si>
    <t>قاعدة ورد زجاجي صغير بواكت</t>
  </si>
  <si>
    <t>قاعدة ورد زجاجي كبير بواكت</t>
  </si>
  <si>
    <t>قاعدة ورد زجاجي مربع كبيرة</t>
  </si>
  <si>
    <t xml:space="preserve">قاعدة ورد زجاجي مربع مع الاضائة </t>
  </si>
  <si>
    <t xml:space="preserve">شمع ارقام زجاجي مضئ </t>
  </si>
  <si>
    <t xml:space="preserve">كرة الثلج دوار </t>
  </si>
  <si>
    <t>زينة قلوب على حجار</t>
  </si>
  <si>
    <t>مزهريه 1*2 ورد فخار</t>
  </si>
  <si>
    <t xml:space="preserve">مبخرة خشب كبير </t>
  </si>
  <si>
    <t>مزهرية باكت 9,2 وسط فخار</t>
  </si>
  <si>
    <t xml:space="preserve">سماعه كمبيوتر مع الكامره </t>
  </si>
  <si>
    <t>محول كهرباء  اتش بي كمبيوتر</t>
  </si>
  <si>
    <t xml:space="preserve">براويز صور 2*1 </t>
  </si>
  <si>
    <t>براويز صور a3</t>
  </si>
  <si>
    <t xml:space="preserve">براويز صور 9*13 </t>
  </si>
  <si>
    <t>براويز صور 13*20</t>
  </si>
  <si>
    <t xml:space="preserve">عروس وعروسه صنم </t>
  </si>
  <si>
    <t xml:space="preserve">براويز + صوره + love </t>
  </si>
  <si>
    <t>ساعات حائط دائري RIKON هندي</t>
  </si>
  <si>
    <t>مدافع اعراس كبير</t>
  </si>
  <si>
    <t>مدافع اعراس صغير</t>
  </si>
  <si>
    <t>زينة صورة يس وايات الكرسي 3*1</t>
  </si>
  <si>
    <t>هدايا صناعة محلي خفيف عيد الام وزواج</t>
  </si>
  <si>
    <t>ساعات جرس اذان شكل مسجد وسط</t>
  </si>
  <si>
    <t>ساعات جرس اذان شكل مسجد 368 كبير</t>
  </si>
  <si>
    <t xml:space="preserve">ساعات جرس شكل تفاحة </t>
  </si>
  <si>
    <t>ساعه جرس حديد TIME صغير</t>
  </si>
  <si>
    <t>ساعات جرس صغير مربع  8039</t>
  </si>
  <si>
    <t>ساعات جرس حديد كبير اصلي</t>
  </si>
  <si>
    <t>ساعات على شكل سفينة</t>
  </si>
  <si>
    <t xml:space="preserve">براويز صور a4 مع خشبي </t>
  </si>
  <si>
    <t>بواكت هدايا مصاحف او كتب احمر</t>
  </si>
  <si>
    <t xml:space="preserve">باكت هدايا مع المصحف احمر </t>
  </si>
  <si>
    <t xml:space="preserve">مكاين راس اصلي  دنج لنج </t>
  </si>
  <si>
    <t>مكاين وجه kemei</t>
  </si>
  <si>
    <t>مكاين تنعيم وجه nikai</t>
  </si>
  <si>
    <t xml:space="preserve">مكاين راس اصلي  دنج لنج وسط </t>
  </si>
  <si>
    <t>مكاين وجه كهرباء NOVA</t>
  </si>
  <si>
    <t>مكاين تنعيم وجه كهرباء 1008 nikai</t>
  </si>
  <si>
    <t>مكينية مع كشافة JY SUPER</t>
  </si>
  <si>
    <t>عطر رغبه الأصلي</t>
  </si>
  <si>
    <t>عطر زوارة الخميس</t>
  </si>
  <si>
    <t>عطر رغبه عادي</t>
  </si>
  <si>
    <t>عطر FADITUK</t>
  </si>
  <si>
    <t>عطر زوارة الخميس اصلي</t>
  </si>
  <si>
    <t xml:space="preserve">عطر رائع العود </t>
  </si>
  <si>
    <t xml:space="preserve">عطر سر الخلود عادي </t>
  </si>
  <si>
    <t xml:space="preserve">عطر سر الخلود الاصلي </t>
  </si>
  <si>
    <t xml:space="preserve">عطر امير العود كرتون عريض  </t>
  </si>
  <si>
    <t xml:space="preserve">عطر امير العود كرتون عريض م  </t>
  </si>
  <si>
    <t>عطر انا الأبيض احمر</t>
  </si>
  <si>
    <t xml:space="preserve">عطر انا الابيض اصلي </t>
  </si>
  <si>
    <t xml:space="preserve">عطر انا الابيض عادي </t>
  </si>
  <si>
    <t>عطر وشوشة مثلث نسائي</t>
  </si>
  <si>
    <t>عطرGVECL صغير مربع</t>
  </si>
  <si>
    <t>طقم عطر وشوشة هدية</t>
  </si>
  <si>
    <t>طقم عطر ONE LOVE</t>
  </si>
  <si>
    <t>طقم عطر LEGEND</t>
  </si>
  <si>
    <t xml:space="preserve">عطر BUTIK RAGALE </t>
  </si>
  <si>
    <t>طقم عطر TRILIFON ذهبي</t>
  </si>
  <si>
    <t>طقم عطر PRECIOUSGIFT</t>
  </si>
  <si>
    <t>بواكت هدايا قلوب</t>
  </si>
  <si>
    <t>بواكت هدايا مربع احمر * 3</t>
  </si>
  <si>
    <t>بواكت هدايا سداسي</t>
  </si>
  <si>
    <t>بواكت هدايا سداسي احمر</t>
  </si>
  <si>
    <t>بواكت هدايا مربع كبير *3</t>
  </si>
  <si>
    <t>معطر فراش كبير</t>
  </si>
  <si>
    <t xml:space="preserve">روائح جسم </t>
  </si>
  <si>
    <t>روائح جو كبير</t>
  </si>
  <si>
    <t xml:space="preserve">روائح جسم علبه كبير </t>
  </si>
  <si>
    <t>عطر عود مود علب اصلي</t>
  </si>
  <si>
    <t xml:space="preserve">عطر عود مود علبه صغير عادي </t>
  </si>
  <si>
    <t>عطر امير العود باطت طويل ذهبي</t>
  </si>
  <si>
    <t xml:space="preserve">عطر امير العود باكت طويل </t>
  </si>
  <si>
    <t xml:space="preserve">عطر امير الشباب الأصلي </t>
  </si>
  <si>
    <t>عطر امير الشباب عادي</t>
  </si>
  <si>
    <t xml:space="preserve">عطر روحي روحك </t>
  </si>
  <si>
    <t>عطر خالص عود</t>
  </si>
  <si>
    <t>عطر IAMLEEND</t>
  </si>
  <si>
    <t xml:space="preserve">عطر انا وانت </t>
  </si>
  <si>
    <t>عطر فقط عود</t>
  </si>
  <si>
    <t>عطر ليجند عود</t>
  </si>
  <si>
    <t>عطر محاسن كريستال صغير</t>
  </si>
  <si>
    <t xml:space="preserve">عطر العذراء </t>
  </si>
  <si>
    <t>عطر GUCCI GUILTY</t>
  </si>
  <si>
    <t>عطر EXCELLENT</t>
  </si>
  <si>
    <t xml:space="preserve">عطر فدوى </t>
  </si>
  <si>
    <t>عطر عودوني</t>
  </si>
  <si>
    <t>عطر شذى الطيب</t>
  </si>
  <si>
    <t>عطر غلا زايد</t>
  </si>
  <si>
    <t>عطر شيخ الشيوخ</t>
  </si>
  <si>
    <t xml:space="preserve">عطر LEGENDRY </t>
  </si>
  <si>
    <t>عطر خفايا الروح</t>
  </si>
  <si>
    <t>عطر اهل العطور</t>
  </si>
  <si>
    <t>عطر OPINION اوبن</t>
  </si>
  <si>
    <t>عطر روح الحياه</t>
  </si>
  <si>
    <t xml:space="preserve">عطر DARRCEC موسيقى </t>
  </si>
  <si>
    <t>عطر مشتاق</t>
  </si>
  <si>
    <t>عطر شمس المعارف</t>
  </si>
  <si>
    <t>عطر NEWBN BLACK</t>
  </si>
  <si>
    <t>عطر SPRT</t>
  </si>
  <si>
    <t>عطر TAG - HIM</t>
  </si>
  <si>
    <t>عطر FOR ELDERS</t>
  </si>
  <si>
    <t>عطر ملك الصحراء</t>
  </si>
  <si>
    <t>عطر EX PLORE</t>
  </si>
  <si>
    <t xml:space="preserve"> عطرLUCION</t>
  </si>
  <si>
    <t xml:space="preserve"> عطر ACQUA</t>
  </si>
  <si>
    <t xml:space="preserve"> عطر CLASSIC ETIQUETTE</t>
  </si>
  <si>
    <t xml:space="preserve"> عطر CHIFON ROSE</t>
  </si>
  <si>
    <t>عطر رغبه صغير الخانة فوق</t>
  </si>
  <si>
    <t>SPEED LEGND</t>
  </si>
  <si>
    <t>PINK DRESS</t>
  </si>
  <si>
    <t>عطر وصوف</t>
  </si>
  <si>
    <t>عطر رمز لطافة</t>
  </si>
  <si>
    <t>عطر DELIGHT</t>
  </si>
  <si>
    <t>عطر LOCASIT  (اصلي)</t>
  </si>
  <si>
    <t>عطر FOREVER GOLD</t>
  </si>
  <si>
    <t>عطر SCANDANT</t>
  </si>
  <si>
    <t>عطر DANTE LLE</t>
  </si>
  <si>
    <t>عطر LUMIOUS NIGHT</t>
  </si>
  <si>
    <t>عطر X ROME</t>
  </si>
  <si>
    <t>عطر EMPRESS</t>
  </si>
  <si>
    <t>عطر I AM WHITE</t>
  </si>
  <si>
    <t>زباد اصداف</t>
  </si>
  <si>
    <t xml:space="preserve">عطر نسائي أبو ورد TAFLEUR LAMUSE </t>
  </si>
  <si>
    <t>بخور بيت العز</t>
  </si>
  <si>
    <t>بخور الماس</t>
  </si>
  <si>
    <t>بخور ليالي</t>
  </si>
  <si>
    <t>بخور عرائسي</t>
  </si>
  <si>
    <t>بخور النبيل ( عادي)</t>
  </si>
  <si>
    <t>بخور النبيل ( الأصلي) باكت صغير</t>
  </si>
  <si>
    <t>بخور روحي روحك + صبايا ومنوع</t>
  </si>
  <si>
    <t xml:space="preserve">بخور سعر اليالي </t>
  </si>
  <si>
    <t>بخور دار الحب</t>
  </si>
  <si>
    <t>بخور معمول</t>
  </si>
  <si>
    <t>بخور طيبة</t>
  </si>
  <si>
    <t>بخور احلى الأيام</t>
  </si>
  <si>
    <t>بخور جواهر المسك</t>
  </si>
  <si>
    <t>بخور المهل</t>
  </si>
  <si>
    <t>عطر عدنان الدبعي</t>
  </si>
  <si>
    <t>عطر الرحاب منوع</t>
  </si>
  <si>
    <t>عطر روحي روحك ( صغير )</t>
  </si>
  <si>
    <t>عطر دهن العود الملكي</t>
  </si>
  <si>
    <t>عطر خشب العود</t>
  </si>
  <si>
    <t>عطر روحي روحك ( نسائي )</t>
  </si>
  <si>
    <t xml:space="preserve">عطر I AM GEND </t>
  </si>
  <si>
    <t>عطر للشيوخ خالص عود</t>
  </si>
  <si>
    <t>عطر LION</t>
  </si>
  <si>
    <t>عطر ECSTASY</t>
  </si>
  <si>
    <t>عطر رهف</t>
  </si>
  <si>
    <t>عطر MONACO  احمر</t>
  </si>
  <si>
    <t>عطر I CON</t>
  </si>
  <si>
    <t>عطر المود منتصف الليل</t>
  </si>
  <si>
    <t>عطر INTENSITY</t>
  </si>
  <si>
    <t>عطر VIGARA</t>
  </si>
  <si>
    <t>عطر إحساس جديد</t>
  </si>
  <si>
    <t>عطر انت الشيخ</t>
  </si>
  <si>
    <t>عطر عود الشمس اييف</t>
  </si>
  <si>
    <t>عطر DANDY احمر</t>
  </si>
  <si>
    <t>عطر GOLD SECRET</t>
  </si>
  <si>
    <t>عطر VICTORIOUS</t>
  </si>
  <si>
    <t>عطر EPISODE</t>
  </si>
  <si>
    <t>عطر SARAQAEL</t>
  </si>
  <si>
    <t>عطر 24 قيراط ( اصلي )</t>
  </si>
  <si>
    <t>عطر 24 قيراط ( عادي )</t>
  </si>
  <si>
    <t>عطر ENCRE NOIRE</t>
  </si>
  <si>
    <t>عطر BILLION AISE</t>
  </si>
  <si>
    <t>عطر OPINION</t>
  </si>
  <si>
    <t>عطر SKYLINE</t>
  </si>
  <si>
    <t>عطر PROCIOUS SECRETS</t>
  </si>
  <si>
    <t>عطر LEGENDARY</t>
  </si>
  <si>
    <t>عطر FABIO</t>
  </si>
  <si>
    <t>عطر حريم الملك</t>
  </si>
  <si>
    <t>عطر BRAVOX</t>
  </si>
  <si>
    <t>عطر غروري</t>
  </si>
  <si>
    <t>عطر XTREEM</t>
  </si>
  <si>
    <t>عطر باكت ابيض LATTAFA</t>
  </si>
  <si>
    <t>عطر 2 في باكت BRAVEWLIVE</t>
  </si>
  <si>
    <t>عطر SMART</t>
  </si>
  <si>
    <t>عطر VIGARA بنفسجي</t>
  </si>
  <si>
    <t>عطر WILD باكت ابيض</t>
  </si>
  <si>
    <t>عطر PINK LUMIERE</t>
  </si>
  <si>
    <t>عطر ISLANDERS</t>
  </si>
  <si>
    <t>عطر ORCHID</t>
  </si>
  <si>
    <t>عطر TWITTER</t>
  </si>
  <si>
    <t>عطر VICTOR باقي طويل</t>
  </si>
  <si>
    <t>عطر ACTIVE MAN  ( شنطة )</t>
  </si>
  <si>
    <t>عطر LEAGUE</t>
  </si>
  <si>
    <t>عطر RASELYN</t>
  </si>
  <si>
    <t>عطر امير العود بني ( خارب )</t>
  </si>
  <si>
    <t>عطر في زجاجة TRAIL</t>
  </si>
  <si>
    <t>عطر AGENT FIELD</t>
  </si>
  <si>
    <t>عطر GALAXSI III  ( ازرق + ابيض )</t>
  </si>
  <si>
    <t>عطر ZEPNYR</t>
  </si>
  <si>
    <t>عطر DIAMOND  ( اصلي )</t>
  </si>
  <si>
    <t xml:space="preserve">عطر MARVEL </t>
  </si>
  <si>
    <t>عطر 2ON2 VIP SILVER</t>
  </si>
  <si>
    <t>عطر PURE BLACK ( شنطة )</t>
  </si>
  <si>
    <t>عطر سر الخلود ( صغير )</t>
  </si>
  <si>
    <t>عطر بدون باكت زرقاء  LION</t>
  </si>
  <si>
    <t>عطر بدون باكت ابيض  WILD</t>
  </si>
  <si>
    <t>معطر فراش قطر البنات</t>
  </si>
  <si>
    <t>مزهريات زجاج باقة احمر ووردي</t>
  </si>
  <si>
    <t>مبخرة خشب ( كبير )</t>
  </si>
  <si>
    <t>عطر BLACK NIGHT ( شنطة )</t>
  </si>
  <si>
    <t>عطر اسير ( بدون باكت )</t>
  </si>
  <si>
    <t>مثبت شعر ( صغير )</t>
  </si>
  <si>
    <t>مثبت شعر ( كبير )</t>
  </si>
  <si>
    <t>ملمع شعر ( بخاخ )</t>
  </si>
  <si>
    <t>هدايا عيد الام مغلف زجاجي ( صغير )</t>
  </si>
  <si>
    <t>هدايا عيد الام مغلف زجاجي ( وسط )</t>
  </si>
  <si>
    <t>هدايا عيد الام مغلف زجاجي ( كبير )</t>
  </si>
  <si>
    <t>هدايا ورد في علبة دائري مغلف</t>
  </si>
  <si>
    <t>هدايا دب ابيض مع ورد في سله</t>
  </si>
  <si>
    <t>هدايا انت قلبي 2 اصنام مع زجاجة احمر</t>
  </si>
  <si>
    <t>ورد في بواكت زجاجي بلاستيك ( وسط )</t>
  </si>
  <si>
    <t xml:space="preserve">شمع احمر مضيء قلوب </t>
  </si>
  <si>
    <t>مزيل اضافر ( صغير )</t>
  </si>
  <si>
    <t>مزيل اضافر ( كبير )</t>
  </si>
  <si>
    <t>معطر جو بخور علبه فاضي</t>
  </si>
  <si>
    <t>صبغات شعر OLIVE</t>
  </si>
  <si>
    <t>صبغات شعر GALAXY</t>
  </si>
  <si>
    <t>مخمرية جلاكسي</t>
  </si>
  <si>
    <t xml:space="preserve">زباد اخر موعد </t>
  </si>
  <si>
    <t>معطر جسم عاشق الورد</t>
  </si>
  <si>
    <t xml:space="preserve">زباد انغام الخليج </t>
  </si>
  <si>
    <t xml:space="preserve">خلطة خيراات زباد </t>
  </si>
  <si>
    <t>خلطة لمسة حنين زباد</t>
  </si>
  <si>
    <t>كحل الاشمر</t>
  </si>
  <si>
    <t>كحل الهاشمي</t>
  </si>
  <si>
    <t>ند سداسي ريزم *12</t>
  </si>
  <si>
    <t>امواس *12</t>
  </si>
  <si>
    <t>مبثوث ملكي</t>
  </si>
  <si>
    <t>معجون قمع حنا عرائسي</t>
  </si>
  <si>
    <t>زباد معشوقة صبايا</t>
  </si>
  <si>
    <t>فحم الأمير</t>
  </si>
  <si>
    <t>بخور مرجان</t>
  </si>
  <si>
    <t>مناطب  ( اصلي ) باكت مربع</t>
  </si>
  <si>
    <t>خيوط رقم 12 ( كبير )</t>
  </si>
  <si>
    <t>حناء تحفة العروس ( احمر )</t>
  </si>
  <si>
    <t>شمع فشيش</t>
  </si>
  <si>
    <t xml:space="preserve">زينة كهرباء 15 متر </t>
  </si>
  <si>
    <t>مقصات اظافر (صغير )</t>
  </si>
  <si>
    <t>مقصات شنب جديد ( كبير )</t>
  </si>
  <si>
    <t>اقفال رقم 261</t>
  </si>
  <si>
    <t>اقفال رقم 265 باكت اصلي</t>
  </si>
  <si>
    <t xml:space="preserve">اقفال رقم 266 كبير </t>
  </si>
  <si>
    <t>اقفال رقم 232 اصلي</t>
  </si>
  <si>
    <t>بطاريات ريمونت SQMY زوجين</t>
  </si>
  <si>
    <t>بطاريات ريمونت SOYO زوجين</t>
  </si>
  <si>
    <t xml:space="preserve">خيوط وتر ابيض </t>
  </si>
  <si>
    <t>بالونات حروف + ارقام ( كبير )</t>
  </si>
  <si>
    <t xml:space="preserve">بالونات حروف كلمة LOVE </t>
  </si>
  <si>
    <t>مرايات قمرية</t>
  </si>
  <si>
    <t>مرايات عادي أبو جلاس</t>
  </si>
  <si>
    <t>فاين النوارس ( كبير )</t>
  </si>
  <si>
    <t>مشارط بلاستيك ( كبير )</t>
  </si>
  <si>
    <t>مشارط بلاستيك ( وسط )</t>
  </si>
  <si>
    <t>مشارط بلاستيك ( اصلي )</t>
  </si>
  <si>
    <t xml:space="preserve">مقصات شعر </t>
  </si>
  <si>
    <t>كفوف للصبان الأصلي( كبير )</t>
  </si>
  <si>
    <t>كفوف للصبان الأصلي( صغير )</t>
  </si>
  <si>
    <t>قرطاس</t>
  </si>
  <si>
    <t>خيوط رباط للكراتين شده</t>
  </si>
  <si>
    <t>شناط ظهر+جنب بناتي لمعه وسط</t>
  </si>
  <si>
    <t>زينه بطاريات كرات حمراء 4448</t>
  </si>
  <si>
    <t>زينه بطاريات قلوب حمراء (قلبي انت )</t>
  </si>
  <si>
    <t>زينه بطاريات قلوب حمراء 3938</t>
  </si>
  <si>
    <t>زينة كهرباء على شكل ورد ابيض</t>
  </si>
  <si>
    <t>زينة كهرباء على شكل ورد بنفسجي</t>
  </si>
  <si>
    <t>زينة كهرباء قلوب مع ورق اخضر</t>
  </si>
  <si>
    <t xml:space="preserve">زينة كهرباء ورد احمر مع ورق اخضر </t>
  </si>
  <si>
    <t>زينة كهرباء 10 متر في قرطاس</t>
  </si>
  <si>
    <t xml:space="preserve">زينة هلال رمضان على بطاريات </t>
  </si>
  <si>
    <t>حناء الهنوف</t>
  </si>
  <si>
    <t>KTS1352 احمر كبير MP3</t>
  </si>
  <si>
    <t>KTS1093 (وسط رقم (3 MP3</t>
  </si>
  <si>
    <t>KTS1173 (وسط رقم (3 MP3</t>
  </si>
  <si>
    <t>KTS129 (صغير احمر رقم (2 MP3</t>
  </si>
  <si>
    <t>سماعات راس كبير P47</t>
  </si>
  <si>
    <t>عصاء سلفي MINI MONOPOD</t>
  </si>
  <si>
    <t>سماعات بلوتوث صغير HI -FI</t>
  </si>
  <si>
    <t>mp3 سيارة بي تو بي B2B -MP3</t>
  </si>
  <si>
    <t>mp3سيارة القوة المثالية  ASG03-MP3</t>
  </si>
  <si>
    <t>mp3 مع واير  HZ-MP3</t>
  </si>
  <si>
    <t>mp3 مع واير  CAR-DC24 V - MP3</t>
  </si>
  <si>
    <t>mp3 سيارة WIRELESS + 3IN1 - MP3</t>
  </si>
  <si>
    <t>mp3 سيارة BTV بدون غلاف</t>
  </si>
  <si>
    <t>سماعات القوة الساحرة جلكسي</t>
  </si>
  <si>
    <t>سماعات تلفون TI8A JBL</t>
  </si>
  <si>
    <t>سماعات تلفون ASG05</t>
  </si>
  <si>
    <t>سماعات LT  وكالة</t>
  </si>
  <si>
    <t>سماعات القوة الخارقة I5 2.4 A</t>
  </si>
  <si>
    <t>سماعات القوة الخارقة 2MM 2.4 A</t>
  </si>
  <si>
    <t>سماعات القوة الخارقة 1000MM 2.4 A</t>
  </si>
  <si>
    <t>سماعات القوة الخارقة S -06 USB</t>
  </si>
  <si>
    <t>سماعات القوة الساحرة M-22 اذن كبير</t>
  </si>
  <si>
    <t>سماعات ST -401 N  اذن كبير</t>
  </si>
  <si>
    <t>شواحن سيارة AOLFAKY 551</t>
  </si>
  <si>
    <t>شواحن كبس تلفون القوة الساحرة 2.4</t>
  </si>
  <si>
    <t>شواحن سيارة ASG-02 MAX</t>
  </si>
  <si>
    <t>شواحن سيارة DKI4</t>
  </si>
  <si>
    <t>شواحن القوة الفتاكة سيارة H-40</t>
  </si>
  <si>
    <t>شواحن كبس اصلي TEMAX 1.0A</t>
  </si>
  <si>
    <t>شواحن كبس القوة الساحرة AHD-501</t>
  </si>
  <si>
    <t>شواحن سوبر تلفون USB CHARGER</t>
  </si>
  <si>
    <t>قواعد شحن أبو اصابع FON CITY</t>
  </si>
  <si>
    <t>شاحن سيارة USB NEW</t>
  </si>
  <si>
    <t>قاعدة شحن الجودة والضمان أصابع H.B MAX</t>
  </si>
  <si>
    <t>قاعدة شحن أصابع 5IN 1</t>
  </si>
  <si>
    <t>شاحن أصابع BLUE BULL 6 IN</t>
  </si>
  <si>
    <t>شاحن أصابع D MAXTEL كيس</t>
  </si>
  <si>
    <t>كشافات على أصابع بطارية ..USB LED</t>
  </si>
  <si>
    <t>كشافات يد JE-1710</t>
  </si>
  <si>
    <t>كشافات بطاريات LED 526</t>
  </si>
  <si>
    <t>كشافات أبو بطاريات LED 402</t>
  </si>
  <si>
    <t>كشافات راس طاقة شمسية LED 526A</t>
  </si>
  <si>
    <t>كشافات بطاريات XR 7188</t>
  </si>
  <si>
    <t>كشافات طاقة شمسية LP - 529</t>
  </si>
  <si>
    <t>كشافات بطاريات QX - 1388</t>
  </si>
  <si>
    <t>كشافات بطاريات CC - 938</t>
  </si>
  <si>
    <t>كشافات يد مربع HEL - 221</t>
  </si>
  <si>
    <t>كشافات شحن RG - 6222</t>
  </si>
  <si>
    <t>كشافات شحن TS - 6622</t>
  </si>
  <si>
    <t>كشافات شحن TX - 2070</t>
  </si>
  <si>
    <t>كشافات شحن TX - 9965</t>
  </si>
  <si>
    <t>ساعة منبه  ( صغير ) QUARTZ CLOCK</t>
  </si>
  <si>
    <t>شريط افتتاح قماش ( عريض )</t>
  </si>
  <si>
    <t>شريط افتتاح قماش ( نحيف )</t>
  </si>
  <si>
    <t>شريط افتتاح ورقي ( عريض )</t>
  </si>
  <si>
    <t>شريط افتتاح ورقي ( نحيف )</t>
  </si>
  <si>
    <t>حصالات  أبو قفل كبير حديد</t>
  </si>
  <si>
    <t>حصالات أبو قفل صغير حديد</t>
  </si>
  <si>
    <t>كشافات يد بلاستيك MERCEDE</t>
  </si>
  <si>
    <t>كشافات يد بلاستيك JR - 1618</t>
  </si>
  <si>
    <t>سماعات بلوتوث  HI -FI</t>
  </si>
  <si>
    <t>كشافات يد LED POWER FUL</t>
  </si>
  <si>
    <t>كشافات يد   LED - 906</t>
  </si>
  <si>
    <t>كشافات يد  FH -9988</t>
  </si>
  <si>
    <t>كشافات يد YB SUPER YB- 9018</t>
  </si>
  <si>
    <t>كشافات يد شحن بطارية BL-8455</t>
  </si>
  <si>
    <t>قاعدة شحن أصابع على ثلاث منافذ سيارة</t>
  </si>
  <si>
    <t xml:space="preserve">شواحن سيارة منفذين </t>
  </si>
  <si>
    <t xml:space="preserve">رولات خشبي قصير لماع </t>
  </si>
  <si>
    <t>رولات خشبي قصير عادي</t>
  </si>
  <si>
    <t xml:space="preserve">ماوس سلكي LENOVO لينفو </t>
  </si>
  <si>
    <t>كشافات شحن زرقاء UE-1710</t>
  </si>
  <si>
    <t>محول كمبيوتر مكتبي HP</t>
  </si>
  <si>
    <t xml:space="preserve">نظارة الواقع الافتراضي </t>
  </si>
  <si>
    <t xml:space="preserve">سماعة كمبيوتر راس مع الكاميرا والمايك </t>
  </si>
  <si>
    <t>شاشة USB 1284</t>
  </si>
  <si>
    <t>شلك مخلوط عجينه</t>
  </si>
  <si>
    <t>نظارات ابيض موديل 777</t>
  </si>
  <si>
    <t>نظارات اسود عاكس 822</t>
  </si>
  <si>
    <t>نظارات اسود كبير 5119</t>
  </si>
  <si>
    <t>ماوس وايرلس فايل ماكس</t>
  </si>
  <si>
    <t>ماوس لاسلكي GW - 218</t>
  </si>
  <si>
    <t xml:space="preserve">خيوط تلفونات </t>
  </si>
  <si>
    <t>ام بي ثري ( صغير ) مع سماعة وتوصيلة</t>
  </si>
  <si>
    <t>ام بي ثري مع بطارية وسماعة وتوصيلة 8V</t>
  </si>
  <si>
    <t>تواصيل A4 ( صغير )</t>
  </si>
  <si>
    <t>تواصيل A2 ( صغير )</t>
  </si>
  <si>
    <t>تواصيل A3 ( صغير )</t>
  </si>
  <si>
    <t>تواصيل A4 ( عريض )</t>
  </si>
  <si>
    <t>تواصيل A5 ( عريض )</t>
  </si>
  <si>
    <t>تواصيل A10 ( عريض )</t>
  </si>
  <si>
    <t>تواصيل A9 ( عريض )</t>
  </si>
  <si>
    <t>تواصيل A11 ( عريض )</t>
  </si>
  <si>
    <t xml:space="preserve">مساكات تلفونات </t>
  </si>
  <si>
    <t>توصيلات سماعة الى سماعة  AUX - IN</t>
  </si>
  <si>
    <t>توصيلات سماعة الى سماعة  TEMAX</t>
  </si>
  <si>
    <t xml:space="preserve">تحويلات من صغير الى عريض </t>
  </si>
  <si>
    <t>بيت ذاكرة القوة الخارقة</t>
  </si>
  <si>
    <t xml:space="preserve">لواصق تلفونات حروف لماع </t>
  </si>
  <si>
    <t>تحويله جلاكسي صغير الى USB - (OTGUSB)</t>
  </si>
  <si>
    <t xml:space="preserve">القوة الساحرة مع USB - (TYPE-C) </t>
  </si>
  <si>
    <t xml:space="preserve">توصيلة جلاكسي احمر </t>
  </si>
  <si>
    <t>توصيلة القوة الخارقة ( ايباد )</t>
  </si>
  <si>
    <t>توصيلة من سماعة الى سماعة R73</t>
  </si>
  <si>
    <t>توصيلة من سماعة الى سماعة بنفسجي حلزون</t>
  </si>
  <si>
    <t>توصيلة الثعبان LASER</t>
  </si>
  <si>
    <t>فلاش SANDISK (64GB)</t>
  </si>
  <si>
    <t>توصيلة رسيفر D MAX</t>
  </si>
  <si>
    <t>توصيلة من رسيفر الى شاشة</t>
  </si>
  <si>
    <t>توصيلة شاحن تميم</t>
  </si>
  <si>
    <t xml:space="preserve">توصيلة مكينية </t>
  </si>
  <si>
    <t>توصيلات من جلاكسي USB</t>
  </si>
  <si>
    <t>سماعة NEW اذن</t>
  </si>
  <si>
    <t>زينة على جلاس SD - 07</t>
  </si>
  <si>
    <t>سلات للورود ( كبير )</t>
  </si>
  <si>
    <t>سلات للورود ( صغير )</t>
  </si>
  <si>
    <t>كرات اداديس اصلي رقم 5</t>
  </si>
  <si>
    <t xml:space="preserve">كرات قدم </t>
  </si>
  <si>
    <t xml:space="preserve">كرات أبو ميدالية </t>
  </si>
  <si>
    <t>سيارات جيب حبه</t>
  </si>
  <si>
    <t xml:space="preserve">سيارات شرطة  10144 a  </t>
  </si>
  <si>
    <t xml:space="preserve">سيارات شبح </t>
  </si>
  <si>
    <t xml:space="preserve">سيارات شبح أبو رشاش </t>
  </si>
  <si>
    <t xml:space="preserve">سيارة همر </t>
  </si>
  <si>
    <t>سيارة جمس</t>
  </si>
  <si>
    <t>سيارات شرطة 8ِ-18 A</t>
  </si>
  <si>
    <t>سيارات شرطة رقم 20</t>
  </si>
  <si>
    <t xml:space="preserve">شطرنج علب </t>
  </si>
  <si>
    <t>حصالات دولار كبير رقم 1</t>
  </si>
  <si>
    <t>حصالات دولار صغير رقم 2</t>
  </si>
  <si>
    <t>حصالات رقم 5</t>
  </si>
  <si>
    <t>حصالات رقم 6</t>
  </si>
  <si>
    <t xml:space="preserve">علب فاين </t>
  </si>
  <si>
    <t xml:space="preserve">لصقات الفراشة اكبر حجم </t>
  </si>
  <si>
    <t>لصقات الفراشة رقم 2</t>
  </si>
  <si>
    <t>لصقات الفراشة رقم 3</t>
  </si>
  <si>
    <t>لصفات الفراشة رقم 4</t>
  </si>
  <si>
    <t>لصقات الفراشة رقم 5</t>
  </si>
  <si>
    <t xml:space="preserve">لصقات ملازم امريكي </t>
  </si>
  <si>
    <t xml:space="preserve">لصقات زجاجي وسط </t>
  </si>
  <si>
    <t xml:space="preserve">لصقات كرتونية عريض </t>
  </si>
  <si>
    <t xml:space="preserve">لصقات زجاجي عريض </t>
  </si>
  <si>
    <t xml:space="preserve">لصقات كرتوني تسعيرة  عريض </t>
  </si>
  <si>
    <t xml:space="preserve">لصقات كرتوني نحيف </t>
  </si>
  <si>
    <t>لصقات كرتوني وسط</t>
  </si>
  <si>
    <t>لصقات تسعيرة * 10عادي</t>
  </si>
  <si>
    <t>لصقات لماع نحيف</t>
  </si>
  <si>
    <t xml:space="preserve">لصقات شليشان الأسود الأصلي </t>
  </si>
  <si>
    <t>لصقات شليشان درجة ثانية</t>
  </si>
  <si>
    <t xml:space="preserve">لصقات شليشان درجة ثالثة </t>
  </si>
  <si>
    <t>لصقات شليشان اصفر *10</t>
  </si>
  <si>
    <t xml:space="preserve">لصقات فلوس اصفر </t>
  </si>
  <si>
    <t xml:space="preserve">لصقات فلوس صغير </t>
  </si>
  <si>
    <t xml:space="preserve">لصقات فلوس زجاجي </t>
  </si>
  <si>
    <t xml:space="preserve">كوافي عيد ميلاد </t>
  </si>
  <si>
    <t xml:space="preserve">سيارات تتحول الى رجل آلي </t>
  </si>
  <si>
    <t>سيارات فراري أبو ريموت كبير</t>
  </si>
  <si>
    <t>سيارة بوليس على بطاريات</t>
  </si>
  <si>
    <t xml:space="preserve">سيارة فراري صغير </t>
  </si>
  <si>
    <t xml:space="preserve">سيارة f5شكل حراثة أبو خيط جرس </t>
  </si>
  <si>
    <t>سيارة أبو ريموت سبيدرمان</t>
  </si>
  <si>
    <t>طائرات كبير أبو عصا</t>
  </si>
  <si>
    <t>اعواد بالونات مع المقابض (قواعد بالونات)</t>
  </si>
  <si>
    <t xml:space="preserve">زينة صالات ومطاعم كبير لاصق جدار </t>
  </si>
  <si>
    <t xml:space="preserve">لوحة جونسن اسود وابيض </t>
  </si>
  <si>
    <t xml:space="preserve">سيارة اكبرنوع 6135بوليس </t>
  </si>
  <si>
    <t xml:space="preserve">سيارة بوليس 911 كبير </t>
  </si>
  <si>
    <t>سيارة بوليس وسط</t>
  </si>
  <si>
    <t xml:space="preserve">حراثات </t>
  </si>
  <si>
    <t>شيولات كبير</t>
  </si>
  <si>
    <t>شيولات صغير</t>
  </si>
  <si>
    <t>بوابير أطفال مع العده أبو شبك</t>
  </si>
  <si>
    <t>بابور 101</t>
  </si>
  <si>
    <t>سيارة سباق أبو خيط 639</t>
  </si>
  <si>
    <t xml:space="preserve">بابور عسكري </t>
  </si>
  <si>
    <t>سيارة على بطاريات جميع الاتجاهات No:999G-1</t>
  </si>
  <si>
    <t>مترات أبو خيط</t>
  </si>
  <si>
    <t>متر شرطة</t>
  </si>
  <si>
    <t>سيارة مصري</t>
  </si>
  <si>
    <t>دبابات أبو ريموت</t>
  </si>
  <si>
    <t>سيارات أبو رشاش 663</t>
  </si>
  <si>
    <t>سيارات وسط منوع أبو خيط حجم واحد</t>
  </si>
  <si>
    <t>سيارات تلفون كبير</t>
  </si>
  <si>
    <t>سيارات تلفون صغير</t>
  </si>
  <si>
    <t>سيارات بوليس NO: 991</t>
  </si>
  <si>
    <t>سيارات بوليس NO:766</t>
  </si>
  <si>
    <t>سيارة أبو ريموت اصغر حجم</t>
  </si>
  <si>
    <t>العاب مروحة يدوي</t>
  </si>
  <si>
    <t>مسدسات خرز</t>
  </si>
  <si>
    <t xml:space="preserve">مسدسات صوت </t>
  </si>
  <si>
    <t>مسدسات عسكرية مع التلفون والساعة</t>
  </si>
  <si>
    <t>مسدسات قارح</t>
  </si>
  <si>
    <t>مسدسات نبله</t>
  </si>
  <si>
    <t>مسدسات ماء فقاعات</t>
  </si>
  <si>
    <t>مسدسات ماء كبير 2</t>
  </si>
  <si>
    <t xml:space="preserve">مسدسات ماء وسط </t>
  </si>
  <si>
    <t>اوالي نبله وكرات</t>
  </si>
  <si>
    <t>ألي خرز</t>
  </si>
  <si>
    <t>اوالي صوت</t>
  </si>
  <si>
    <t>سيوف</t>
  </si>
  <si>
    <t>تلفون سبيدرمان</t>
  </si>
  <si>
    <t>غزال على بطاريات</t>
  </si>
  <si>
    <t>سيارات لوح مقاس 12</t>
  </si>
  <si>
    <t>سيارات لوح بوليس 911</t>
  </si>
  <si>
    <t xml:space="preserve">خرز أوالي ومسدسات </t>
  </si>
  <si>
    <t>تلفونات لعبة مع الساعة كبير</t>
  </si>
  <si>
    <t xml:space="preserve">نبلات يدوي  نبال زيروا </t>
  </si>
  <si>
    <t>سلك شبكة باكت</t>
  </si>
  <si>
    <t xml:space="preserve">قراطيس تغليف منوع </t>
  </si>
  <si>
    <t>مظلات كمشة اصلي</t>
  </si>
  <si>
    <t>مظلات كمشة عادي</t>
  </si>
  <si>
    <t>آلي صوت كبير</t>
  </si>
  <si>
    <t xml:space="preserve">كرات اسفنج كبير </t>
  </si>
  <si>
    <t>كرات هواء</t>
  </si>
  <si>
    <t>كرات بلستيك</t>
  </si>
  <si>
    <t>ضمنة</t>
  </si>
  <si>
    <t>بيانو موسيقى</t>
  </si>
  <si>
    <t xml:space="preserve">أتاري كبير </t>
  </si>
  <si>
    <t>شطرنج صغير</t>
  </si>
  <si>
    <t xml:space="preserve">بطة أبو الف </t>
  </si>
  <si>
    <t xml:space="preserve">بطة أبو دولار </t>
  </si>
  <si>
    <t>بطة بلستيك *2</t>
  </si>
  <si>
    <t>بطة أونو*2</t>
  </si>
  <si>
    <t>بطة ارطغرل</t>
  </si>
  <si>
    <t>حبوب كيرم</t>
  </si>
  <si>
    <t xml:space="preserve">حروف عربي بلاستيك </t>
  </si>
  <si>
    <t>ملون مائي أبو ريشة باكت زجاجي صغير</t>
  </si>
  <si>
    <t xml:space="preserve">ملاون زجاجي لوح أبو ريشة 12 لون </t>
  </si>
  <si>
    <t>غلافات بطائق جامعية بالستيك بشكل طولي</t>
  </si>
  <si>
    <t>ملاون نتراج شمعي</t>
  </si>
  <si>
    <t xml:space="preserve">ملاون لوح أبو ريشة خشبي 12 لون </t>
  </si>
  <si>
    <t>أقلام ملاون خشبي mercurio  12 لون في قرطاس</t>
  </si>
  <si>
    <t xml:space="preserve"> مساحات SIVO</t>
  </si>
  <si>
    <t>مساحات نتراج اسود كبيرعبوة 50</t>
  </si>
  <si>
    <t>مقاشط + مساحات شارب</t>
  </si>
  <si>
    <t>مساحات نتراج صغير عبوة 50</t>
  </si>
  <si>
    <t xml:space="preserve">مقاشط نتراج زجاجي مع الغلاف </t>
  </si>
  <si>
    <t xml:space="preserve">مساحات مع المقاشط اشكال سفينة ومربع </t>
  </si>
  <si>
    <t>مساحات ERASER</t>
  </si>
  <si>
    <t xml:space="preserve">مقاشط مع المساحات على شكل حامورة TOPMOJEL </t>
  </si>
  <si>
    <t>مساطر الامنيوم</t>
  </si>
  <si>
    <t>مساطر مطاط كبير</t>
  </si>
  <si>
    <t xml:space="preserve">مساطر هندسية كبير كرتون ابيض 50 سم </t>
  </si>
  <si>
    <t xml:space="preserve">مساطر ذات اشكال 25 سم </t>
  </si>
  <si>
    <t xml:space="preserve">مساطر زجاجية أبو سكة ×12  - 20سم </t>
  </si>
  <si>
    <t>مساحات 48 كبير</t>
  </si>
  <si>
    <t>مساطر حديد ×20</t>
  </si>
  <si>
    <t>مساطر قمرية اشكال To you</t>
  </si>
  <si>
    <t xml:space="preserve">مساحات + مقاشط </t>
  </si>
  <si>
    <t xml:space="preserve">مقاشط كبير اشكال أبو علبة </t>
  </si>
  <si>
    <t>مساحات سوبر اصلي</t>
  </si>
  <si>
    <t>مساحات 48 كبير صغير اصلي</t>
  </si>
  <si>
    <t xml:space="preserve">مساطر هندسية مع مثلث وقمرية </t>
  </si>
  <si>
    <t xml:space="preserve">مساطر انواع </t>
  </si>
  <si>
    <t xml:space="preserve">سبورات متكلم </t>
  </si>
  <si>
    <t xml:space="preserve">سبورات اكتب وامسح صغير الكتروني </t>
  </si>
  <si>
    <t xml:space="preserve">سبورات اكتب وامسح كبير الكتروني </t>
  </si>
  <si>
    <t>سبورات بالاستيك أبو قلم كبير رقم 1</t>
  </si>
  <si>
    <t>سبورات بالاستيك أبو قلم كبير رقم 2</t>
  </si>
  <si>
    <t>سبورات بالاستيك أبو قلم وسط رقم 3 40×25</t>
  </si>
  <si>
    <t>سبورات بالاستيك أبو قلم صغير 30×20</t>
  </si>
  <si>
    <t xml:space="preserve">دفاتر اكتب وامسح </t>
  </si>
  <si>
    <t>سبورات مع قلم مسطر</t>
  </si>
  <si>
    <t>أقلام الجوهر زينة راس زجاجي</t>
  </si>
  <si>
    <t xml:space="preserve">اعلام الجمهورية صغير </t>
  </si>
  <si>
    <t xml:space="preserve">مقاشط مع مساحات علبه </t>
  </si>
  <si>
    <t>منقلة هندسة على شكل قمرية  TO YOU</t>
  </si>
  <si>
    <t xml:space="preserve">اشكال قمرية مع مثلث اضلاع الزوايا زوايا هندسية </t>
  </si>
  <si>
    <t>مقاشط اشكال قلوب وسيارة علب</t>
  </si>
  <si>
    <t xml:space="preserve">ملاون لوح شمعي وخشبي أبو طير 42 قطعة </t>
  </si>
  <si>
    <t xml:space="preserve">ملاون لوح شمعي وخشبي أبو طير 24 قطعة </t>
  </si>
  <si>
    <t xml:space="preserve">علب خواتم كرتوني صغير </t>
  </si>
  <si>
    <t>علب خواتم زجاجي</t>
  </si>
  <si>
    <t>علب خواتم دائري كبير</t>
  </si>
  <si>
    <t xml:space="preserve">علب هدايا مربع صغير </t>
  </si>
  <si>
    <t>علب هدايا قلب صغير احمر</t>
  </si>
  <si>
    <t>علب ساعات كرتوني</t>
  </si>
  <si>
    <t xml:space="preserve">كشافات شحن اسود يد علبة </t>
  </si>
  <si>
    <t xml:space="preserve">mp3  ازرق مستطيل </t>
  </si>
  <si>
    <t>ملصقت مع العاب ماء</t>
  </si>
  <si>
    <t xml:space="preserve">مسبحة الكترونية حلقة كبير </t>
  </si>
  <si>
    <t xml:space="preserve">مسبحة الكترونية صغير </t>
  </si>
  <si>
    <t xml:space="preserve">سماعات جلكسي ابيض باكت زجاج </t>
  </si>
  <si>
    <t>دباسات اصغر حجم مع المسامير</t>
  </si>
  <si>
    <t xml:space="preserve">قلم مع كشاف وليزر باكت هديا </t>
  </si>
  <si>
    <t>كركت الكتروني ضوء</t>
  </si>
  <si>
    <t xml:space="preserve">دساميس تلفونات </t>
  </si>
  <si>
    <t xml:space="preserve">حروف اسفنج مع ارقام </t>
  </si>
  <si>
    <t>علبه خاتم زجاجي عريض</t>
  </si>
  <si>
    <t>عدسات تكبير</t>
  </si>
  <si>
    <t>امبيثري صغير اصغر حجم في علب</t>
  </si>
  <si>
    <t>قلم بركل كبير أبو روس</t>
  </si>
  <si>
    <t xml:space="preserve">هندسة زجاجي كبير فرجال </t>
  </si>
  <si>
    <t xml:space="preserve">هندسة زجاجي وسط فرجال </t>
  </si>
  <si>
    <t>فرجال زجاجي</t>
  </si>
  <si>
    <t xml:space="preserve">فرجال حديد </t>
  </si>
  <si>
    <t>دفاتر ذكريات أبو قفل اصغر مقاس رقم 1</t>
  </si>
  <si>
    <t>علبه سلس ذهب زجاجي</t>
  </si>
  <si>
    <t>دفاتر ذكريات أبو قفل صغير رقم 2</t>
  </si>
  <si>
    <t>دفاتر ذكريات أبو قفل الأصلي حجم وسط</t>
  </si>
  <si>
    <t xml:space="preserve">دفاتر ذكريات بدون قفل نفس المقاس وسط </t>
  </si>
  <si>
    <t>دفاتر ذكريات أبو شفرة ذكريات كبير</t>
  </si>
  <si>
    <t xml:space="preserve">دفاتر ذكريات أبو شفرة وسط </t>
  </si>
  <si>
    <t xml:space="preserve">دفاتر ذكريات أبو شفرة صغير  </t>
  </si>
  <si>
    <t xml:space="preserve">دفاتر ذكريات غلاف خفيف </t>
  </si>
  <si>
    <t>دفاتر ذكريات أبو وردة بدون غلاف ودفتر قلب بنفسجي</t>
  </si>
  <si>
    <t>دفاتر ذكريات عادي</t>
  </si>
  <si>
    <t xml:space="preserve">حقائب بناتي جلد </t>
  </si>
  <si>
    <t>حقائب بناتي جلد D137 اصلي</t>
  </si>
  <si>
    <t>حقائب بناتي الوان نوع عادي</t>
  </si>
  <si>
    <t>حقائب بناتي قماش اسبورت ولادي</t>
  </si>
  <si>
    <t xml:space="preserve">حقائب قماش بناتي أبو فراشة + لمعة </t>
  </si>
  <si>
    <t>حقائب جنز بناتي صور بنت اصلي</t>
  </si>
  <si>
    <t xml:space="preserve">حقائب جنز عود </t>
  </si>
  <si>
    <t>حقائب بناتي جنب خفيف أبو دب</t>
  </si>
  <si>
    <t xml:space="preserve">حقائب ثلاث قطع بناتي ولادي </t>
  </si>
  <si>
    <t>حقائب جنز جنب بناتي + قماش</t>
  </si>
  <si>
    <t>حقائب جنز مصغر اسبورت SPRT</t>
  </si>
  <si>
    <t>حقائب بناتي WIFI</t>
  </si>
  <si>
    <t xml:space="preserve">حقائب بناتي مع المقلمة لون وردي </t>
  </si>
  <si>
    <t>حقائب بناتي خفيف Beutiful</t>
  </si>
  <si>
    <t xml:space="preserve">حقائب بناتي ولادي D247 </t>
  </si>
  <si>
    <t xml:space="preserve">حقائب  Fashion </t>
  </si>
  <si>
    <t xml:space="preserve">حقائب أبو كرة </t>
  </si>
  <si>
    <t>حقائب ولادي اسبورت احمر واسود خفيف</t>
  </si>
  <si>
    <t xml:space="preserve">حقائب BEiBuLNtS </t>
  </si>
  <si>
    <t>حقائب G.R.S</t>
  </si>
  <si>
    <t>حقائب لابتوب BLPOWEDRS - D398</t>
  </si>
  <si>
    <t>حقائب لابتوب YAOSH - D564</t>
  </si>
  <si>
    <t>حقائب لابتوب SPORT - 3003</t>
  </si>
  <si>
    <t>حقائب لابتوب كبير YAOSH</t>
  </si>
  <si>
    <t>حقائب لابتوب PLPOWER - D235</t>
  </si>
  <si>
    <t>حقائب لابتوب Bokun -C19-25H</t>
  </si>
  <si>
    <t>حقائب لابتوب B - شنطة الاديب</t>
  </si>
  <si>
    <t xml:space="preserve">حقائب لابتوب SPORT  - الحقيبة الذكية </t>
  </si>
  <si>
    <t xml:space="preserve">حقائب لابتوب  HP-PWER </t>
  </si>
  <si>
    <t>حقائب لابتوب JIN XIN</t>
  </si>
  <si>
    <t>حقائب لابتوب AL-216</t>
  </si>
  <si>
    <t>حقائب لابتوب DTH-211-15 SPRT</t>
  </si>
  <si>
    <t xml:space="preserve">حقائب لابتوب TAILAIS - 1610 </t>
  </si>
  <si>
    <t>حقائب لابتوب SHARP اصلي</t>
  </si>
  <si>
    <t>حقائب لابتوب DENGGAO</t>
  </si>
  <si>
    <t>حقائب لابتوب M9803-3H SAMSONIC</t>
  </si>
  <si>
    <t>حقائب لابتوب DRS -2216 TAIKKSS</t>
  </si>
  <si>
    <t>حقائب لابتوب AD-64 WEIYESHENG</t>
  </si>
  <si>
    <t>حقائب لابتوب AD-91 eyoldye</t>
  </si>
  <si>
    <t>حقائب لابتوب DENJJAO</t>
  </si>
  <si>
    <t>حقائب جنب AOTE NIXILUA - 1319</t>
  </si>
  <si>
    <t>حقائب جنب 611-M   YUMMY</t>
  </si>
  <si>
    <t>حقائب جنب MEIJWIELUQ</t>
  </si>
  <si>
    <t xml:space="preserve">حقائب جنب وكالة QNB </t>
  </si>
  <si>
    <t>حقائب جنب SVPERBAG</t>
  </si>
  <si>
    <t>حقائب جنب MEIJIELVO</t>
  </si>
  <si>
    <t>حقائب جنب صغير  -  ANCHOR BLUE - AB +MINXINIAO</t>
  </si>
  <si>
    <t>حقائب أوراق وملفات يد منوع</t>
  </si>
  <si>
    <t>حقائب جنب  OMAYGE</t>
  </si>
  <si>
    <t xml:space="preserve">حقائب جنب وسط محامي </t>
  </si>
  <si>
    <t>حقائب جنب HAOQIXILIE</t>
  </si>
  <si>
    <t>حقائب جنب C19-15-DAJIVPJ</t>
  </si>
  <si>
    <t>حقائب جنب قطعتين</t>
  </si>
  <si>
    <t>حقائب لابتوب D-2695 PLPOWER</t>
  </si>
  <si>
    <t>حقائب لابتوب BIAOWANG</t>
  </si>
  <si>
    <t>حقائب MINXINIAO</t>
  </si>
  <si>
    <t>شناط أبو خيط عسكري لوان</t>
  </si>
  <si>
    <t>شناط أبو خيط سوداء + واحدة زرقاء</t>
  </si>
  <si>
    <t xml:space="preserve">شناط بناتي أبو دب خفيف </t>
  </si>
  <si>
    <t xml:space="preserve">شناط بناتي جنب السنافر </t>
  </si>
  <si>
    <t xml:space="preserve">حسابات MJ-120D CASIO </t>
  </si>
  <si>
    <t xml:space="preserve">حسابات FX-82MS CASIO </t>
  </si>
  <si>
    <t>حسابات DJ-220D CASIO تجاري</t>
  </si>
  <si>
    <t>حسابات DJ-120D CASIO تجاري</t>
  </si>
  <si>
    <t xml:space="preserve">حسابات DJ-240D CASIO </t>
  </si>
  <si>
    <t xml:space="preserve">حسابات DJ-120D PLUS CASIO </t>
  </si>
  <si>
    <t xml:space="preserve">حسابات GY-140C CASIO </t>
  </si>
  <si>
    <t xml:space="preserve">حسابات DJ-120T-W CASIO </t>
  </si>
  <si>
    <t xml:space="preserve">حسابات DY-140C CASIO </t>
  </si>
  <si>
    <t>حسابات NO-39264 DELI تجاري</t>
  </si>
  <si>
    <t>حسابات NO-1671C DELI تجاري</t>
  </si>
  <si>
    <t>حسابات تجاري صغير  WEIYADAED-7766B</t>
  </si>
  <si>
    <t>حسابات على شكل لابتوب CITITON  CT-222C</t>
  </si>
  <si>
    <t>حسابات تجاري  CITHZEN CT-512</t>
  </si>
  <si>
    <t>حسابات COMIX KA-1200H</t>
  </si>
  <si>
    <t>حسابات علمي كاسيو عادي FX-991 MS</t>
  </si>
  <si>
    <t>حسابات علمي كاسيو عادي FX-991 ES</t>
  </si>
  <si>
    <t>حسابات علمي كاسيو عريض FX-991 MS</t>
  </si>
  <si>
    <t>حسابات علمي كاسيو وكالة FX-991 ES PLUS</t>
  </si>
  <si>
    <t>حسابات علمي كاسيو حديد  FX-82 MS</t>
  </si>
  <si>
    <t>حسابات علمي كاسيو قديم  FX-82 MS</t>
  </si>
  <si>
    <t>حسابات كاسيو اصلي  FX-991 ES PLUS</t>
  </si>
  <si>
    <t>حسابات علمي SAMI  AS-991 MS</t>
  </si>
  <si>
    <t>حسابات علمي DELI  L710</t>
  </si>
  <si>
    <t>حسابات JOINUS  JS-82TL</t>
  </si>
  <si>
    <t>حسابات صغير جرس  KK-328 A</t>
  </si>
  <si>
    <t>حسابات صغير جرس  KK-402</t>
  </si>
  <si>
    <t>حسابات صغير جرس  KC-888</t>
  </si>
  <si>
    <t>حسابات صغير جرس  DS-558A</t>
  </si>
  <si>
    <t>خرامات هندي PUNCH 20007</t>
  </si>
  <si>
    <t>خرامات هندي صغير PUNCH 20002</t>
  </si>
  <si>
    <t xml:space="preserve">خرامات هندي  PUNCH    NO.0102 </t>
  </si>
  <si>
    <t>خرامة كبيرة  KAAGARO  DP-720</t>
  </si>
  <si>
    <t>خرامات  YIZHIWANG  YZW-203</t>
  </si>
  <si>
    <t>خرامة جنرال  NO 330</t>
  </si>
  <si>
    <t>خرامة  PUNCH  SX 8230</t>
  </si>
  <si>
    <t xml:space="preserve">خرامة غلاف زجاجي FLS  FSPU6716 </t>
  </si>
  <si>
    <t>دباسة كبير  DELI   0424</t>
  </si>
  <si>
    <t>دباسة صيني  DELI   N00315</t>
  </si>
  <si>
    <t xml:space="preserve">دباسة DELI   0423 </t>
  </si>
  <si>
    <t xml:space="preserve">لصقات فلوس قواعد  DELI </t>
  </si>
  <si>
    <t xml:space="preserve">هندسة عادي </t>
  </si>
  <si>
    <t>دباسة خشب زجاجي</t>
  </si>
  <si>
    <t xml:space="preserve">بصمات دمغة بلاستيك </t>
  </si>
  <si>
    <t xml:space="preserve">بصمات دمغة حديد كبير </t>
  </si>
  <si>
    <t>أقلام الذكي طقطق ×12</t>
  </si>
  <si>
    <t>أقلام توبستار ×12  TOBSTAR</t>
  </si>
  <si>
    <t>أقلام مونتكس جاف ×12 كبير</t>
  </si>
  <si>
    <t>أقلام بيوتيمكس ×50</t>
  </si>
  <si>
    <t xml:space="preserve">أقلام سائل يونيبول اصلي </t>
  </si>
  <si>
    <t>أقلام   POLLER GELPIN LINC</t>
  </si>
  <si>
    <t>أقلام   TG-1900</t>
  </si>
  <si>
    <t>أقلام   G-1267   0,5M</t>
  </si>
  <si>
    <t>أقلام   ODEMEI  0,5M</t>
  </si>
  <si>
    <t>أقلام   OIENYONG 0,38</t>
  </si>
  <si>
    <t>أقلام   TG31900</t>
  </si>
  <si>
    <t xml:space="preserve">أقلام متنوعة في الكراتين ومسند للاقلام </t>
  </si>
  <si>
    <t>أقلام GP-355    12*GELWK PEN</t>
  </si>
  <si>
    <t xml:space="preserve">أقلام MOTO*12 </t>
  </si>
  <si>
    <t>أقلام O-38MM     12*TUZOO</t>
  </si>
  <si>
    <t>أقلام O-5MM   12*COMIX</t>
  </si>
  <si>
    <t>أقلام O-5MM    12*CTHSCH</t>
  </si>
  <si>
    <t>أقلام لينك O-5MM    12*A*0</t>
  </si>
  <si>
    <t xml:space="preserve">أقلام لينك 10*اكس تن *10    </t>
  </si>
  <si>
    <t>أقلام GP-2888    HighCapacity    *12</t>
  </si>
  <si>
    <t>أقلام zing</t>
  </si>
  <si>
    <t>أقلام o.7mm    uni-ball</t>
  </si>
  <si>
    <t>أقلام 12*   Liguid Ball</t>
  </si>
  <si>
    <t xml:space="preserve"> أقلام 12* o.5mm   Busines</t>
  </si>
  <si>
    <t xml:space="preserve"> أقلام سائل صيني باكت بني 1.0mm  GP-7700</t>
  </si>
  <si>
    <t>أقلام سائل صيني باكت سماوي    1.0mm  GP-969</t>
  </si>
  <si>
    <t>أقلام سائل صيني باكت اسود احمر  G-18888</t>
  </si>
  <si>
    <t>أقلام سائل صيني باكت اسود   GP-558    *12</t>
  </si>
  <si>
    <t>أقلام سائل صيني باكت اسود اصفر  YJ-8878</t>
  </si>
  <si>
    <t>أقلام سائل صيني باكت ابيض  1.0mm  PROMPI</t>
  </si>
  <si>
    <t>أقلام سائل صيني   0.5mm  818</t>
  </si>
  <si>
    <t>أقلام سائل صيني  1.0mm  GP-2898</t>
  </si>
  <si>
    <t>أقلام سائل صيني   VALUARIE -2898</t>
  </si>
  <si>
    <t>أقلام سائل صيني   0.5mm TG32010</t>
  </si>
  <si>
    <t xml:space="preserve">أقلام سائل احمر   RARGE CAPACITY   0.5mm </t>
  </si>
  <si>
    <t>أقلام صيني *12باكت زجاج   GP-976</t>
  </si>
  <si>
    <t>قلم</t>
  </si>
  <si>
    <t>أقلام K36   *12  COMIX</t>
  </si>
  <si>
    <t>أقلام o.7mm    Fast-o</t>
  </si>
  <si>
    <t>أقلام *12 momo  صيني</t>
  </si>
  <si>
    <t>أقلام *36 SMART</t>
  </si>
  <si>
    <t xml:space="preserve">أقلام علامة راس مشطوف *12  I3Z-408 </t>
  </si>
  <si>
    <t>أقلام سبورة تعبئة MAX</t>
  </si>
  <si>
    <t>أقلام سبورة *12   G-201</t>
  </si>
  <si>
    <t>أقلام علامة جهتين beli صغير *12     NO-6824</t>
  </si>
  <si>
    <t>أقلام فسفوري باكت صغير صيني 105</t>
  </si>
  <si>
    <t>أقلام علامة ماركر*10  MARKER</t>
  </si>
  <si>
    <t>أقلام جهتين - فرادي MARKER</t>
  </si>
  <si>
    <t>أقلام سبورة جهتين -تعبئة  K7070</t>
  </si>
  <si>
    <t>أقلام سبورة جهتين -  REFILLABLE</t>
  </si>
  <si>
    <t>أقلام فسفوري جهة فرادي</t>
  </si>
  <si>
    <t>أقلام فسفوري جهتين رسوم كرتونية</t>
  </si>
  <si>
    <t>أقلام سبورة غزال جهة فرادي</t>
  </si>
  <si>
    <t>لمراجعة الإجمالي</t>
  </si>
  <si>
    <t>أقلام رصاص تعبئة الوان *12 TIAN HAO</t>
  </si>
  <si>
    <t>أقلام رصاص تعبئة *12 ROTRING</t>
  </si>
  <si>
    <t>أقلام رصاص تعبئة *12 SUPER GRIP</t>
  </si>
  <si>
    <t>أقلام رصاص تعبئة *12 0.5MM    SMART</t>
  </si>
  <si>
    <t>أقلام رصاص تعبئة *12 MECH5</t>
  </si>
  <si>
    <t>أقلام رصاص تعبئة *10    FABER-CASTELL</t>
  </si>
  <si>
    <t>أقلام رصاص تعبئة *12 TREE SAVER</t>
  </si>
  <si>
    <t>أقلام رصاص تعبئة *48 CANDY VOLORS</t>
  </si>
  <si>
    <t>أقلام رصاص  PENCILL CAST</t>
  </si>
  <si>
    <t>أقلام كركت صغير ملون</t>
  </si>
  <si>
    <t>أقلام كركت ابيض متوسط   METAL TIP   *12</t>
  </si>
  <si>
    <t>أقلام كركت الكتروني ضوء</t>
  </si>
  <si>
    <t>أقلام الخط العربي *24    0.10</t>
  </si>
  <si>
    <t>أقلام الخطاط    0.3</t>
  </si>
  <si>
    <t>أقلام ملاون في علبه harry potter</t>
  </si>
  <si>
    <t>أقلام ملاون مزاز oil colour</t>
  </si>
  <si>
    <t xml:space="preserve">أقلام ملاون علبه بلاستيك </t>
  </si>
  <si>
    <t>أقلام ملاون شمعي  horse</t>
  </si>
  <si>
    <t>أقلام ملاون شمعي  نتراج  nataraj</t>
  </si>
  <si>
    <t>أقلام ملاون شمعي colour</t>
  </si>
  <si>
    <t xml:space="preserve">أقلام ملاون ميراج </t>
  </si>
  <si>
    <t>القلام ملاون نتراج  صغير</t>
  </si>
  <si>
    <t xml:space="preserve">أقلام ملاون GOOD كبير </t>
  </si>
  <si>
    <t xml:space="preserve">أقلام ملاون crayonsde </t>
  </si>
  <si>
    <t xml:space="preserve">أقلام ملاون lapices de colora </t>
  </si>
  <si>
    <t xml:space="preserve">أقلام ملاون في صفيحة باكت  casber </t>
  </si>
  <si>
    <t>أقلام ملاون في علبه زجاج نتراج  nataraj</t>
  </si>
  <si>
    <t xml:space="preserve">أقلام ملاون جهتين  </t>
  </si>
  <si>
    <t xml:space="preserve">أقلام ملاون في علبه بلستيك خضراء </t>
  </si>
  <si>
    <t xml:space="preserve">هندسة شنطة أبو ولد </t>
  </si>
  <si>
    <t xml:space="preserve">دفتر جيب أبو خيط   50k مقاس كبير *200 ورقه </t>
  </si>
  <si>
    <t xml:space="preserve">دفتر جيب زرار كبير   c50 </t>
  </si>
  <si>
    <t xml:space="preserve">دفتر جيب شارب 100 ورقه </t>
  </si>
  <si>
    <t xml:space="preserve">دفتر جيب كبير سما بكين </t>
  </si>
  <si>
    <t>دفتر جيب 80 ورقه prado</t>
  </si>
  <si>
    <t xml:space="preserve">دفتر جيب مقاس كبير raf  200 </t>
  </si>
  <si>
    <t>دفتر جيب مقاس كبير فواصل أبو جر  note book</t>
  </si>
  <si>
    <t>دفتر جيب مقاس صغير نوته  nota</t>
  </si>
  <si>
    <t xml:space="preserve">دفتر جيب مقاس صغير  AYA+ واحد زرار </t>
  </si>
  <si>
    <t xml:space="preserve">دفتر جيب مقاس وسط ملون جلد نوته </t>
  </si>
  <si>
    <t xml:space="preserve">دفتر جيب مقاس كبير ملون جلد نوته </t>
  </si>
  <si>
    <t xml:space="preserve">دفتر جيب أبو جر ملون </t>
  </si>
  <si>
    <t xml:space="preserve">دفتر جيب أبو جر فواصل مقاس كبير </t>
  </si>
  <si>
    <t>دفتر جيب مقاس صغير منقوش item no 3100</t>
  </si>
  <si>
    <t>دفتر جيب مقاس كبير منقوش item no 3160</t>
  </si>
  <si>
    <t>دفتر جيب مخرم مقاس صغير   item no 1001</t>
  </si>
  <si>
    <t xml:space="preserve">دفتر مقاس صغير جلد not book </t>
  </si>
  <si>
    <t>دفتر جيب جلد صغير زرار  TEL book</t>
  </si>
  <si>
    <t>دفتر جيب اصغر مقاس زرار ADDRESS book</t>
  </si>
  <si>
    <t>دفتر جلد كبير   60k</t>
  </si>
  <si>
    <t>دفتر تقويم مكتبي janssn - cilag 1998</t>
  </si>
  <si>
    <t xml:space="preserve">دفتر جيب كبير 100 ورقه  duplicate </t>
  </si>
  <si>
    <t xml:space="preserve">دفتر جيب صغير لماع </t>
  </si>
  <si>
    <t xml:space="preserve">دفتر جيب صغير جلد prado </t>
  </si>
  <si>
    <t xml:space="preserve">دفتر جر قلاب كبير 5*8  </t>
  </si>
  <si>
    <t xml:space="preserve">دفتر جر قلاب كبير A4  </t>
  </si>
  <si>
    <t>دفتر جر قلاب وسط  A6 A7</t>
  </si>
  <si>
    <t>دروع شهايد شكر وتقدير خشبي</t>
  </si>
  <si>
    <t xml:space="preserve">دروع شهايد شكر وتقدير  كرتوني </t>
  </si>
  <si>
    <t xml:space="preserve">دروع شهايد شكر وتدير كرتوني </t>
  </si>
  <si>
    <t xml:space="preserve">شهادات شكر وتقدير مكتوبه </t>
  </si>
  <si>
    <t xml:space="preserve">شهايد اطار فقط *20 </t>
  </si>
  <si>
    <t xml:space="preserve">شهايد اطار فقط *20 ورقه </t>
  </si>
  <si>
    <t xml:space="preserve">شهايد حجم صغير </t>
  </si>
  <si>
    <t xml:space="preserve">غلاف دفاتر قرطاسي </t>
  </si>
  <si>
    <t xml:space="preserve">كتب وزارية </t>
  </si>
  <si>
    <t xml:space="preserve">ورق تصوير A4 80جرام </t>
  </si>
  <si>
    <t xml:space="preserve">ورق تصوير 70 جرام </t>
  </si>
  <si>
    <t xml:space="preserve">dvd 8 GB </t>
  </si>
  <si>
    <t xml:space="preserve">غلافات للسيديهات </t>
  </si>
  <si>
    <t xml:space="preserve">تغليف هدايا ورقي  رسوم كبير  غلافات ورقيه </t>
  </si>
  <si>
    <t>تغليف هدايا لاصق</t>
  </si>
  <si>
    <t xml:space="preserve">ورق تغليف باقة ورود كبير اطار ناعم </t>
  </si>
  <si>
    <t>بالونات نفخ 1 عيد ميلاد</t>
  </si>
  <si>
    <t>بالونات نفخ حروف وارقام عيد ميلاد</t>
  </si>
  <si>
    <t>غلافات باقة ورد كبير لون رصاصي</t>
  </si>
  <si>
    <t>غلافات باقة ورد شفاف كبير</t>
  </si>
  <si>
    <t>غلافات باقة ورد شفاف متوسط</t>
  </si>
  <si>
    <t>غلافات باقة ورد شفاف صغير</t>
  </si>
  <si>
    <t>علاقيات كرتوني أبو معلاق كبير هدايا</t>
  </si>
  <si>
    <t xml:space="preserve">علاقيات كرتوني أبو معلاق متوسط  </t>
  </si>
  <si>
    <t xml:space="preserve">علاقيات كرتوني أبو معلاق صغير  </t>
  </si>
  <si>
    <t xml:space="preserve">علاقيات هدايا أبو علقة اكبر مقاس رطب </t>
  </si>
  <si>
    <t xml:space="preserve">علاقيات هدايا أبو علقة رقم (2) رطب </t>
  </si>
  <si>
    <t>علاقيات هدايا أبو علقة رقم (3) رطب</t>
  </si>
  <si>
    <t>علاقيات هدايا أبو علقة رقم (4)رطب</t>
  </si>
  <si>
    <t>علاقيات هدايا أبو علقة اصغر مقاس</t>
  </si>
  <si>
    <t>اعواد فيمات خسب</t>
  </si>
  <si>
    <t>غراء شمعي كبير</t>
  </si>
  <si>
    <t>غراء شمعي صغير</t>
  </si>
  <si>
    <t>تغليف هدايا ( قراطيس)</t>
  </si>
  <si>
    <t>تغليف هدايا كرتون لماع</t>
  </si>
  <si>
    <t>ورق ملاحظات اصفر كبير *12   *100   76mm</t>
  </si>
  <si>
    <t>ورق ملاحظات 9*9 GRI  SNARLINE</t>
  </si>
  <si>
    <t>ورق ملاحظات 700 ورقة   8*9  علبة</t>
  </si>
  <si>
    <t xml:space="preserve">ورق ملاحظات 500 ورقة   76mm  </t>
  </si>
  <si>
    <t xml:space="preserve">ورق ملاحظات campap </t>
  </si>
  <si>
    <t xml:space="preserve">ورق ملاحظات mosegor </t>
  </si>
  <si>
    <t xml:space="preserve">ورق ملاحظات هيدرو كينون </t>
  </si>
  <si>
    <t>ورق ملاحظات بنك سباء الإعلامي</t>
  </si>
  <si>
    <t>ورق ملاحظات دفتر احمر صغير</t>
  </si>
  <si>
    <t>ورق ملاحظات ورق A5  وردي</t>
  </si>
  <si>
    <t>دفاتر بحوث  *12</t>
  </si>
  <si>
    <t>دفاتر مكتب جلاس  HHE</t>
  </si>
  <si>
    <t>دفاتر مكتبي   YBRP</t>
  </si>
  <si>
    <t xml:space="preserve">دفاتر مكتبي قلاب </t>
  </si>
  <si>
    <t xml:space="preserve">حامل ورق مكتبي </t>
  </si>
  <si>
    <t>دفاتر جلد 200 ورقة (2024م)</t>
  </si>
  <si>
    <t>دفاتر جلد 200 ورقة طقطق  (2020م)</t>
  </si>
  <si>
    <t>دفاتر كرتوني الغلاف 200 ورقة  (2020م)</t>
  </si>
  <si>
    <t xml:space="preserve">دفاتر جامعي 100 ورقة طقطق مفناطيس </t>
  </si>
  <si>
    <t xml:space="preserve">دفاتر جامعي 100 ورقة ملون </t>
  </si>
  <si>
    <t>دفاتر جامعي 200 ورقة ملون (صغير)</t>
  </si>
  <si>
    <t>دفاتر جامعي 200 ورقة ملون (كبير)</t>
  </si>
  <si>
    <t>دفاتر محاضرات 100 ورقة  جلد  ----------------</t>
  </si>
  <si>
    <t>دفاتر محاضرات 200 ورقة جلد   ---------</t>
  </si>
  <si>
    <t>دفاتر جامعي 100 ورقة جلد ربطة قوي اصلي</t>
  </si>
  <si>
    <t>دفاتر جامعي 100 ورقة جلد بدون ربطة صغير</t>
  </si>
  <si>
    <t>دفاتر جامعي أبو جر ييزرس فاخر 4 اقسام</t>
  </si>
  <si>
    <t>دفاتر جامعي أبو جر راف لاين  5 اقسام 150 ورقه</t>
  </si>
  <si>
    <t>دفاتر جامعي أبو جر راف لاين  6 اقسام 150 ورقه</t>
  </si>
  <si>
    <t>دفاتر جامعي أبو جر راف لاين  3 اقسام</t>
  </si>
  <si>
    <t>دفاتر محاضرات جامعي 4 مواضيع متوسط</t>
  </si>
  <si>
    <t>دفاتر جامعي أبو جر  4 اقسام قوي</t>
  </si>
  <si>
    <t>دفاتر محاضرات جامعي ملون  4 اقسام</t>
  </si>
  <si>
    <t>دفاتر محاضرات جامعي أبو جر  2 اقسام</t>
  </si>
  <si>
    <t>دفاتر محاضرات جامعي أبو قبضة  صغير</t>
  </si>
  <si>
    <t>دفاتر قلاب  صغير 300 ورقة أبو جر COLES</t>
  </si>
  <si>
    <t>أسناد قبض وصرف *12</t>
  </si>
  <si>
    <t xml:space="preserve">دفاتر جر 80 ورقة </t>
  </si>
  <si>
    <t>دفاتر جر أبو 175 ورقة اصفر تفاحة</t>
  </si>
  <si>
    <t>دفاتر جر انجليزي 40 ورقة</t>
  </si>
  <si>
    <t>دفاتر ديلوكس لتحضير الدروس والدرجات جر</t>
  </si>
  <si>
    <t>دفاتر ديلوكس لتحضير الدروس والدرجات جر عادي</t>
  </si>
  <si>
    <t>دفاتر تحضير الدروس 80 ورقة بدون غلاف</t>
  </si>
  <si>
    <t>دفاتر تحضير دروس بالانجليزي</t>
  </si>
  <si>
    <t>دفاتر حضور وغياب اسبرنج أبو جر صغير-----------</t>
  </si>
  <si>
    <t>دفاتر حضور وغياب أبو جر كبير</t>
  </si>
  <si>
    <t>دفاتر درجات اعمال السنه  كتيب</t>
  </si>
  <si>
    <t>دفاتر جر ملون A4  قلاب</t>
  </si>
  <si>
    <t xml:space="preserve">دفاتر قلاب A4 رسم كبير 100 ورقة </t>
  </si>
  <si>
    <t>دفاتر رسم بياني  A4 كتيب</t>
  </si>
  <si>
    <t xml:space="preserve">كراسة رسم ابيض كبير قلاب A4 </t>
  </si>
  <si>
    <t>دفاتر رسم قلاب ملون A4</t>
  </si>
  <si>
    <t>كراسة رسم قلاب ملون A4 قوي</t>
  </si>
  <si>
    <t>بوكسات كبير *50</t>
  </si>
  <si>
    <t>بوكسات صغير *50</t>
  </si>
  <si>
    <t>شناط يد ورق خانات بلاستيك</t>
  </si>
  <si>
    <t>مساند اختبارات عادي</t>
  </si>
  <si>
    <t>مساند اختبارات اصلي</t>
  </si>
  <si>
    <t>بوكسات زجاجي</t>
  </si>
  <si>
    <t xml:space="preserve">ورق سيديهات </t>
  </si>
  <si>
    <t xml:space="preserve">ورق مقوى للشهائد </t>
  </si>
  <si>
    <t>ورق مقوى ازرق</t>
  </si>
  <si>
    <t>ورق مقوى اصفر</t>
  </si>
  <si>
    <t>ورق مقوى شفاف ابيض</t>
  </si>
  <si>
    <t>ورق مقوى خشبي ابيض</t>
  </si>
  <si>
    <t>ورق مقوى عادي ابيض</t>
  </si>
  <si>
    <t>ملفات زجاجي كبير   اصلي لل  CV</t>
  </si>
  <si>
    <t>دفاتر يومية حسابات *600 ورقة A3</t>
  </si>
  <si>
    <t>دفاتر يومية حسابات سنار لاين كبير  *100 ورقة</t>
  </si>
  <si>
    <t>دفاتر يومية حسابات غلافه رطب 200 ورقة</t>
  </si>
  <si>
    <t xml:space="preserve">دفاتر يومية حسابات غلافه مقوى </t>
  </si>
  <si>
    <t xml:space="preserve">دفاتر يومية حسابات غلافه مقوى *100 ورقة </t>
  </si>
  <si>
    <t>دفاتر يومية حسابات غلافه رطب</t>
  </si>
  <si>
    <t>دفاتر يومية حسابات غلافه مقوى *200 ورقة  A4</t>
  </si>
  <si>
    <t>مصاحف قران كبير A4</t>
  </si>
  <si>
    <t>مصاحف قران اكبير من  A4</t>
  </si>
  <si>
    <t>مصاحف قران اكبير من  A5</t>
  </si>
  <si>
    <t xml:space="preserve">مصاحف قران شخريط مع التفسير </t>
  </si>
  <si>
    <t xml:space="preserve">مصاحف قران شخريط بدون التفسير مقاس 8*5 </t>
  </si>
  <si>
    <t xml:space="preserve">مصاحف قران شخريط بدون التفسير مقاس 4*7 </t>
  </si>
  <si>
    <t>مصاحف قران مقاس 8*6</t>
  </si>
  <si>
    <t>مصاحف قران مقسم أجزاء</t>
  </si>
  <si>
    <t xml:space="preserve">كتب أسباب النزول دينية </t>
  </si>
  <si>
    <t xml:space="preserve">كتب تفسير الجلالين  + شرح العقيده الوسطيه </t>
  </si>
  <si>
    <t>كتب الفقه الميسر</t>
  </si>
  <si>
    <t xml:space="preserve">كتب فن التجويد </t>
  </si>
  <si>
    <t>كتب الدعاء من الكتاب والسنة</t>
  </si>
  <si>
    <t>كتب الأربعين النووية مقاس صغير</t>
  </si>
  <si>
    <t xml:space="preserve">كتب الأربعين النووية مقاس كبير </t>
  </si>
  <si>
    <t xml:space="preserve">مصحف  الاندلسية </t>
  </si>
  <si>
    <t xml:space="preserve">كتب الماثورات </t>
  </si>
  <si>
    <t>كتب الدروس المهمة للامة</t>
  </si>
  <si>
    <t>كتب حصن المسلم</t>
  </si>
  <si>
    <t>كتب متن العقيدة الوسطية</t>
  </si>
  <si>
    <t>مذكرات الواجب اليومية</t>
  </si>
  <si>
    <t>كتب متنوعة صغيرة</t>
  </si>
  <si>
    <t xml:space="preserve">كتب عقيدة التوحيد </t>
  </si>
  <si>
    <t>صور لاصق مكة مع المسجد</t>
  </si>
  <si>
    <t xml:space="preserve">جدول الحصص </t>
  </si>
  <si>
    <t>مجلات الزهراء</t>
  </si>
  <si>
    <t xml:space="preserve">مجلات العربي </t>
  </si>
  <si>
    <t>تهذيب العقيدة</t>
  </si>
  <si>
    <t xml:space="preserve">تفسير العشر الأخير +العشر الأخير </t>
  </si>
  <si>
    <t xml:space="preserve">ربع يس ياسين </t>
  </si>
  <si>
    <t xml:space="preserve">القاعدة النورانية </t>
  </si>
  <si>
    <t xml:space="preserve">جزء قد سمع </t>
  </si>
  <si>
    <t>كتب متنوعة</t>
  </si>
  <si>
    <t>زهافر في كيس دعاية قراطيس خفيف</t>
  </si>
  <si>
    <t>دفاتر مدرسي غلافين انجليزي أبو 80 *12</t>
  </si>
  <si>
    <t>دفاتر مدرسي غلافين انجليزي أبو 60 *12</t>
  </si>
  <si>
    <t>دفاتر مدرسي غلاف أبو 100 *12</t>
  </si>
  <si>
    <t>عقد زواج *2 ورق جديد</t>
  </si>
  <si>
    <t>عقد زواج *1 ورق قديم</t>
  </si>
  <si>
    <t xml:space="preserve">عقد ايجار  *1 ورق </t>
  </si>
  <si>
    <t>اشهار رجعة</t>
  </si>
  <si>
    <t>دفتر انحصار وراثة</t>
  </si>
  <si>
    <t xml:space="preserve">وثائق رسميه قصير </t>
  </si>
  <si>
    <t>ورق ملون خفيف</t>
  </si>
  <si>
    <t xml:space="preserve">زمزميات باكت  Animal 400ml </t>
  </si>
  <si>
    <t>زمزميات باكت  DESIGN</t>
  </si>
  <si>
    <t>زمزميات باكت  NISE</t>
  </si>
  <si>
    <t xml:space="preserve">زمزميات   Sistan Fgneuen </t>
  </si>
  <si>
    <t>زمزميات باكت  ناظور</t>
  </si>
  <si>
    <t>زمزميات غلاف حديد SAVE WSATER</t>
  </si>
  <si>
    <t>زمزميات حديد Ours gol story</t>
  </si>
  <si>
    <t>زمزميات سبيدرمان</t>
  </si>
  <si>
    <t>زمزميات  رسوم سيارات سباق Dinoco</t>
  </si>
  <si>
    <t>زمزميات غطايه ظغطه طقطق Lets play</t>
  </si>
  <si>
    <t>زمزميات قلص بيضاء صغير</t>
  </si>
  <si>
    <t>زمزميات HELLOBEAR</t>
  </si>
  <si>
    <t>زمزميات شفاف اصفر قصبه</t>
  </si>
  <si>
    <t>زمزميات كبير قلص Vlassin</t>
  </si>
  <si>
    <t>زمزميات كبير قلص BPA free</t>
  </si>
  <si>
    <t>زمزميات كبير قلص MADE in CHLNA</t>
  </si>
  <si>
    <t xml:space="preserve">زمزميات عريض رسوم أطفال </t>
  </si>
  <si>
    <t xml:space="preserve">زمزميات عريض  أطفال صغير </t>
  </si>
  <si>
    <t xml:space="preserve">مقالم أبو سحابين كبير عريض </t>
  </si>
  <si>
    <t xml:space="preserve">مقالم سحاب واحد كبير </t>
  </si>
  <si>
    <t>مقالم أبو سحابين مخلف غلافين بلستيك</t>
  </si>
  <si>
    <t>مقالم جلد زرار مخلف Traypoush</t>
  </si>
  <si>
    <t>مقالم البنداء سحاب واحد Panda</t>
  </si>
  <si>
    <t>مقالم مغالف سحاب واحد  WHAT is LOVE</t>
  </si>
  <si>
    <t>مقالم علب حديد BAT</t>
  </si>
  <si>
    <t>مقالم أمقالم أبو سحابين صغير ملون عسكري كيس</t>
  </si>
  <si>
    <t>مقالم مقالم ثلاثه سحابات Taotao</t>
  </si>
  <si>
    <t xml:space="preserve">مقالم أبو سحاب دايري طويل قلوب وغيره </t>
  </si>
  <si>
    <t>مقالم دايري سحاب  SWEETOON</t>
  </si>
  <si>
    <t xml:space="preserve">مقالم سحابين دايري لماع </t>
  </si>
  <si>
    <t xml:space="preserve">مقالم كبير رسوم بناتي  ثلاثه سحابات </t>
  </si>
  <si>
    <t>مقالم ثلاثه سحابات قماش قوي  Xinyu</t>
  </si>
  <si>
    <t>مقالم سحابين BECAUSE OF YOU</t>
  </si>
  <si>
    <t>مقالم سحابين CRYAIRiyllty</t>
  </si>
  <si>
    <t xml:space="preserve">مقالم كلب Luchyidday معلاق </t>
  </si>
  <si>
    <t xml:space="preserve">مقالم كلب Luchyidday بدون معلاق صغير </t>
  </si>
  <si>
    <t>مقالم جلد سحاب واحد طويل مدور</t>
  </si>
  <si>
    <t>مقالم كونان + دببه  Gaadstart</t>
  </si>
  <si>
    <t xml:space="preserve">مقالم عادي اصغر مقاس </t>
  </si>
  <si>
    <t xml:space="preserve">كتاب تحسين الخط </t>
  </si>
  <si>
    <t>كتاب الخط العربي</t>
  </si>
  <si>
    <t>كتاب تعلم معناء</t>
  </si>
  <si>
    <t>كتاب القاعده البغداديه</t>
  </si>
  <si>
    <t>قصص أطفال صغير *13</t>
  </si>
  <si>
    <t xml:space="preserve">دفاتر تعليم انجليزي أبو حلزون مقوى </t>
  </si>
  <si>
    <t xml:space="preserve">القراءه المصوره صغير </t>
  </si>
  <si>
    <t xml:space="preserve">دفاتر ملصقات عبارات تشجيعيه </t>
  </si>
  <si>
    <t xml:space="preserve">دفاتر ملصقات </t>
  </si>
  <si>
    <t xml:space="preserve">كراسة رسم صغير </t>
  </si>
  <si>
    <t xml:space="preserve">كراسة رسم وسط </t>
  </si>
  <si>
    <t xml:space="preserve">كراسة رسم كبير </t>
  </si>
  <si>
    <t>دفاتر تعليم انجليزي قلم صبوره صغير</t>
  </si>
  <si>
    <t xml:space="preserve">ملفات ورق بدون سحاب </t>
  </si>
  <si>
    <t xml:space="preserve">غلافات كتب دفاتر صور لاعبين وحيوانات كبير </t>
  </si>
  <si>
    <t xml:space="preserve">غلافات طاولات ونوافذ ديكورات الازهر </t>
  </si>
  <si>
    <t xml:space="preserve">دفاتر تلوين اصغر مقاس </t>
  </si>
  <si>
    <t xml:space="preserve">دفاتر تلوين وسط </t>
  </si>
  <si>
    <t xml:space="preserve">دفاتر تلوين كبير </t>
  </si>
  <si>
    <t>دفاتر اقراء وكتب ومسح</t>
  </si>
  <si>
    <t>دفاتر لون وتعلم عربي ونجليزي كبير</t>
  </si>
  <si>
    <t xml:space="preserve">سيديهات برامج والعاب </t>
  </si>
  <si>
    <t>لواصق حمايه كيبرد</t>
  </si>
  <si>
    <t xml:space="preserve">ميداليات حروف لون خشبي </t>
  </si>
  <si>
    <t xml:space="preserve">ميداليات أبو ثلاثه قلوب </t>
  </si>
  <si>
    <t>ميداليات حروف ملون ثلاثه الوان</t>
  </si>
  <si>
    <t xml:space="preserve">ميداليات قلوب اصفر اشكال ابتسامات </t>
  </si>
  <si>
    <t xml:space="preserve">ميداليات قلوب ملون قلب واحد </t>
  </si>
  <si>
    <t>ميداليات قلوب مع كتابه  LOVE</t>
  </si>
  <si>
    <t>ميداليات قلب احمر</t>
  </si>
  <si>
    <t>ميداليات قلب احمر ثلاثه قلوب في واحد</t>
  </si>
  <si>
    <t xml:space="preserve">ميداليات خشبي عبارات </t>
  </si>
  <si>
    <t>ميداليات حروف انجليزي بلستيك</t>
  </si>
  <si>
    <t xml:space="preserve">ميداليات استيل ذهب لماع جوهره </t>
  </si>
  <si>
    <t>ميداليات اشكال اسماك وورود 1499</t>
  </si>
  <si>
    <t>ميداليات HOPPY</t>
  </si>
  <si>
    <t>ميداليات قلوب خشبي LOVE</t>
  </si>
  <si>
    <t xml:space="preserve">ميداليات زجاجي قلوب احمر </t>
  </si>
  <si>
    <t>ميداليات استيل 2*1 قلوب</t>
  </si>
  <si>
    <t>ميداليات استيل حرف مع LOVE</t>
  </si>
  <si>
    <t>ميداليات استيل مع كرستال LOVE</t>
  </si>
  <si>
    <t xml:space="preserve">ميداليات ورود </t>
  </si>
  <si>
    <t xml:space="preserve">ميداليات خشب لسياره الله ومحمد </t>
  </si>
  <si>
    <t xml:space="preserve">ميداليات قلب ذهبي مع كرستال </t>
  </si>
  <si>
    <t xml:space="preserve">ميداليات مفاتيح زجاجي صغير </t>
  </si>
  <si>
    <t xml:space="preserve">ميداليات مفاتيح زجاجي كبير </t>
  </si>
  <si>
    <t xml:space="preserve">ميداليات ليزر </t>
  </si>
  <si>
    <t>ميداليات جنبيه وسيف</t>
  </si>
  <si>
    <t>ميداليات بسكويت شكلاته</t>
  </si>
  <si>
    <t>ميداليات برشلونه</t>
  </si>
  <si>
    <t>ميداليات متنوعه</t>
  </si>
  <si>
    <t>ميداليات مكعب روبوك</t>
  </si>
  <si>
    <t xml:space="preserve">ميداليات خنجر </t>
  </si>
  <si>
    <t xml:space="preserve">ميداليات علامات تجاريه لسيارات </t>
  </si>
  <si>
    <t xml:space="preserve">ميداليات ميني ماوس أفلام كرتون </t>
  </si>
  <si>
    <t>ميداليات للتفوق والنجاح</t>
  </si>
  <si>
    <t xml:space="preserve">نظارات كبير أطفال ملون </t>
  </si>
  <si>
    <t xml:space="preserve">نظارات أطفال صغير </t>
  </si>
  <si>
    <t>نظارات مترات أبو ربطه</t>
  </si>
  <si>
    <t>نظارات زجاج مترات عاكس</t>
  </si>
  <si>
    <t>دفاتر تلوين ونقش حلزون جلاس Secret</t>
  </si>
  <si>
    <t>دفاتر اكتب ومسح كبير اكبر مقاس</t>
  </si>
  <si>
    <t xml:space="preserve">مجلة الزهراء </t>
  </si>
  <si>
    <t>سلسلة تعلم الصلاه والوضواء</t>
  </si>
  <si>
    <t xml:space="preserve">ميدالية هداياء مع قلم بواكت </t>
  </si>
  <si>
    <t xml:space="preserve">ميداليات بوصله باكت </t>
  </si>
  <si>
    <t xml:space="preserve">قلم مع حسابه هديه باكت </t>
  </si>
  <si>
    <t xml:space="preserve">دب أبو ميداليه للسيارات </t>
  </si>
  <si>
    <t xml:space="preserve">ميداليات اوالي </t>
  </si>
  <si>
    <t xml:space="preserve">اوسمه علم اليمن مع المولد </t>
  </si>
  <si>
    <t>ميداليات قلوب احمر حبيبي</t>
  </si>
  <si>
    <t xml:space="preserve">قلم مع ليزر </t>
  </si>
  <si>
    <t>ميداليات عرايس شناط نسائي</t>
  </si>
  <si>
    <t>لوح ملاون  Wn..ERCOLOUR</t>
  </si>
  <si>
    <t xml:space="preserve"> معاليق  جدران خشبي لاصق </t>
  </si>
  <si>
    <t xml:space="preserve"> معاليق  جدران بلستيك لاصق </t>
  </si>
  <si>
    <t>فوانيس رمضان ذهبي حديد+هلال بطاريات</t>
  </si>
  <si>
    <t>فوانيس رمضان أبو خيط بطاريات بلستيك ذهبي + هلال</t>
  </si>
  <si>
    <t>فوانيس بلستيك اصغر مقاس بدون خيط مفرد</t>
  </si>
  <si>
    <t xml:space="preserve">فوانيس بلستيك رمضان كبير +صوت </t>
  </si>
  <si>
    <t xml:space="preserve">فوانيس بلستيك وسط +صوت  </t>
  </si>
  <si>
    <t xml:space="preserve">فوانيس بلستيك وسط ذهبي مع اضائه نجوم وهلال </t>
  </si>
  <si>
    <t xml:space="preserve">أقلام سحريه </t>
  </si>
  <si>
    <t xml:space="preserve">مساكات ورق مشابك *100 حبه </t>
  </si>
  <si>
    <t>للمراجعة الكمية</t>
  </si>
  <si>
    <t>مسامير شمزان deli</t>
  </si>
  <si>
    <t>مسامير شمزان صيني باكت احمر</t>
  </si>
  <si>
    <t>مسامير ابو كوفيه xingli</t>
  </si>
  <si>
    <t>مشابك ورق 236</t>
  </si>
  <si>
    <t>مسامير شمزان نوع ثاني صيني</t>
  </si>
  <si>
    <t>نزاعة مسامير kanex</t>
  </si>
  <si>
    <t>نزاعة مسامير stapler</t>
  </si>
  <si>
    <t>مشابك ورق  mouse</t>
  </si>
  <si>
    <t>مشابك ورق super</t>
  </si>
  <si>
    <t>مشابك ورق ملون letrox</t>
  </si>
  <si>
    <t xml:space="preserve">مسامير دباسة باكت كبير 26/6-1 m </t>
  </si>
  <si>
    <t xml:space="preserve">مسامير دباسة 24/6  kanex </t>
  </si>
  <si>
    <t>مسامير دباسة 23/17</t>
  </si>
  <si>
    <t>مسامير دباسة 23/15</t>
  </si>
  <si>
    <t>مسامير دباسة 23/13</t>
  </si>
  <si>
    <t>مسامير دباسة 23/8</t>
  </si>
  <si>
    <t>مسامير دباسة ملون   no 56 rexel</t>
  </si>
  <si>
    <t>مسامير دباسة staples 24/6</t>
  </si>
  <si>
    <t>مسامير دباسة باكت اخضر  model 10</t>
  </si>
  <si>
    <t>مسامير دباسة staples 23/10</t>
  </si>
  <si>
    <t xml:space="preserve">مسامير دباسة 23/20  kanex </t>
  </si>
  <si>
    <t>شلك ورق 8  جرام</t>
  </si>
  <si>
    <t xml:space="preserve">دباسات صغير deli </t>
  </si>
  <si>
    <t xml:space="preserve">سيديهات dvd 5 gb </t>
  </si>
  <si>
    <t xml:space="preserve">سيديهات cd 700 mg </t>
  </si>
  <si>
    <t>سيديهات dvd 5 gb   dvd 3 max *10</t>
  </si>
  <si>
    <t xml:space="preserve">ورق تغليف حراري A4 </t>
  </si>
  <si>
    <t xml:space="preserve">ورق تغليف حراري A3 </t>
  </si>
  <si>
    <t>حبه</t>
  </si>
  <si>
    <t xml:space="preserve">غلافات بطايق أبو معلاق ملون قوي الأصلي </t>
  </si>
  <si>
    <t xml:space="preserve">غلافات بطايق مقوى </t>
  </si>
  <si>
    <t xml:space="preserve">ضروف  smart  صغير كبير </t>
  </si>
  <si>
    <t xml:space="preserve">ضروف كاكي  b4 </t>
  </si>
  <si>
    <t xml:space="preserve">ضروف كاكي  A5 </t>
  </si>
  <si>
    <t>محافظ  بطايق شخصية   cardbook</t>
  </si>
  <si>
    <t>محافظ  بطايق شخصية    قماش</t>
  </si>
  <si>
    <t>محافظ  بطايق شخصية   bharii</t>
  </si>
  <si>
    <t>محافظ  بطايق شخصية   yemen</t>
  </si>
  <si>
    <t>محافظ  بطايق شخصية   yilufa</t>
  </si>
  <si>
    <t xml:space="preserve">محافظ بطايق الطير الجمهوري  </t>
  </si>
  <si>
    <t xml:space="preserve">محافظ غلافات بطايق جوازات </t>
  </si>
  <si>
    <t xml:space="preserve">محافظ بطايق جلد </t>
  </si>
  <si>
    <t>محافظ جلد jwteli</t>
  </si>
  <si>
    <t>محافظ جلد jiajili</t>
  </si>
  <si>
    <t>محافظ جلد bajunpilu</t>
  </si>
  <si>
    <t>محافظ جلد bovi</t>
  </si>
  <si>
    <t>محافظ جلد leather</t>
  </si>
  <si>
    <t xml:space="preserve">محافظ جلد الورقي </t>
  </si>
  <si>
    <t>محافظ جلد kalusibolo</t>
  </si>
  <si>
    <t>محافظ جلد كبير للجوالات</t>
  </si>
  <si>
    <t>محافظ قماش كبير للجوالات</t>
  </si>
  <si>
    <t>محافظ قماش خصر  كبير للجوالات 31024</t>
  </si>
  <si>
    <t xml:space="preserve">محافظ قماش خصر   كبير للجوالات sports </t>
  </si>
  <si>
    <t xml:space="preserve">محافظ قماش خصر   صغير  للجوالات qnb 2 b sport   </t>
  </si>
  <si>
    <t xml:space="preserve">محافظ قماش خصر   زرقاء   سحاب واحد   </t>
  </si>
  <si>
    <t xml:space="preserve">دعايات max   كبير </t>
  </si>
  <si>
    <t xml:space="preserve">دعايات كمران </t>
  </si>
  <si>
    <t xml:space="preserve">دعايات جمبية جهاز كبير </t>
  </si>
  <si>
    <t xml:space="preserve">دعايات الشاعر </t>
  </si>
  <si>
    <t xml:space="preserve">دعايات جهاز جمبية صغير </t>
  </si>
  <si>
    <t xml:space="preserve">دعايات الاكوع </t>
  </si>
  <si>
    <t xml:space="preserve">دعايات الشارقة </t>
  </si>
  <si>
    <t xml:space="preserve">دعايات مقاس كبير الجزيرة الساعة </t>
  </si>
  <si>
    <t xml:space="preserve">دعايات قماش </t>
  </si>
  <si>
    <t xml:space="preserve">دعايات max صغير </t>
  </si>
  <si>
    <t>دعايات خفيف حجم صغير رقم 1</t>
  </si>
  <si>
    <t>دعايات خفيف حجم صغير رقم 3</t>
  </si>
  <si>
    <t xml:space="preserve">رولات خشبي </t>
  </si>
  <si>
    <t xml:space="preserve">كراسي مصاحف كبير </t>
  </si>
  <si>
    <t xml:space="preserve">كراسي مصاحف وسط </t>
  </si>
  <si>
    <t>مسابح خشبي كبير *100</t>
  </si>
  <si>
    <t>مسابح أسماء الله ومحمد *100</t>
  </si>
  <si>
    <t>مسابح كرستال علم اليمن *100</t>
  </si>
  <si>
    <t>مسابح كرستال زجاجي *100</t>
  </si>
  <si>
    <t>مسابح حلق خشي في كيس</t>
  </si>
  <si>
    <t>مسابح زئبق ملون *33</t>
  </si>
  <si>
    <t>مسابح زجاج كرستال *33</t>
  </si>
  <si>
    <t>مسابح زئبق *100</t>
  </si>
  <si>
    <t xml:space="preserve">أعلام المولد أكبر حجم </t>
  </si>
  <si>
    <t>اعلام المولد رقم 2</t>
  </si>
  <si>
    <t>أعلام المولد رقم 3</t>
  </si>
  <si>
    <t xml:space="preserve">أعلام المولد رقم 3 منقوش ملون </t>
  </si>
  <si>
    <t>علم صغير رقم 4</t>
  </si>
  <si>
    <t>اعلام المولد اصغر مقاس</t>
  </si>
  <si>
    <t xml:space="preserve">عصايب راس اصلي في الكرتون للمولد </t>
  </si>
  <si>
    <t xml:space="preserve">شيلان للمولد </t>
  </si>
  <si>
    <t xml:space="preserve">كوافي كرتوني للمولد </t>
  </si>
  <si>
    <t xml:space="preserve">كوافي قطن للمولد </t>
  </si>
  <si>
    <t xml:space="preserve">زينه كهرب للمولد </t>
  </si>
  <si>
    <t>المتميز في العلوم الصف السابع الجزئين</t>
  </si>
  <si>
    <t>المتميز في القرآن والإسلامية الصف السابع جزئين</t>
  </si>
  <si>
    <t>المتميز عربي الصف السابع جزئين</t>
  </si>
  <si>
    <t>المتميز إجتماعيات الصف السابع  جزئين</t>
  </si>
  <si>
    <t>معلم الفردوس إجتماعيات السابع  جزئين</t>
  </si>
  <si>
    <t>المعلم المثالي تربية إسلامية السابع  جزئين</t>
  </si>
  <si>
    <t>معلم الفردوس القرآن والإسلامية  السابع  جزئين</t>
  </si>
  <si>
    <t>المتميز إجتماعيات الصف الثامن  جزئين</t>
  </si>
  <si>
    <t>المتميز عربي الصف الثامن  جزئين</t>
  </si>
  <si>
    <t>المتميز قرآن  الصف الثامن  جزئين</t>
  </si>
  <si>
    <t>المتميز الإسلامية   الصف الثامن  جزئين</t>
  </si>
  <si>
    <t>الكامل  عربي  + اجتماعيات  الصف الثامن  جزئين</t>
  </si>
  <si>
    <t>المتميز قرآن  الصف التاسع  جزئين</t>
  </si>
  <si>
    <t>المتميز رياضيات  الصف التاسع  جزئين</t>
  </si>
  <si>
    <t>المتميز علوم  الصف التاسع  جزئين</t>
  </si>
  <si>
    <t xml:space="preserve">المعلم المفيد في القرآن الصف التاسع </t>
  </si>
  <si>
    <t>المجيب لغة عربية عربي   اول  ثانوي  حلزون</t>
  </si>
  <si>
    <t xml:space="preserve">المتميز فيزياء أول ثانوي </t>
  </si>
  <si>
    <t xml:space="preserve">المتميز أجتماعيات  أول ثانوي </t>
  </si>
  <si>
    <t xml:space="preserve">الناصر كيمياء  أول ثانوي </t>
  </si>
  <si>
    <t xml:space="preserve">المتميز رياضيات  أول ثانوي </t>
  </si>
  <si>
    <t xml:space="preserve">الكامل  فيزياء أول ثانوي </t>
  </si>
  <si>
    <t xml:space="preserve">الناصر كيمياء  ثاني  ثانوي </t>
  </si>
  <si>
    <t xml:space="preserve">الشائع احياء ثاني ثانوي </t>
  </si>
  <si>
    <t xml:space="preserve">المتميز رياضيات  ثاني ثانوي </t>
  </si>
  <si>
    <t xml:space="preserve"> المعلم المميز المتميز  انجليزي E  ثاني ثانوي </t>
  </si>
  <si>
    <t xml:space="preserve">المتميز قرآن   ثاني ثانوي </t>
  </si>
  <si>
    <t xml:space="preserve">المتميز كيمياء   ثاني ثانوي حلزون </t>
  </si>
  <si>
    <t>المجيب لغة عربية عربي   ثاني ثانوي  حلزون</t>
  </si>
  <si>
    <t xml:space="preserve"> المعلم المميز المتميز  انجليزي E  ثاني ثانوي  حلزون</t>
  </si>
  <si>
    <t>الشامل رياضيات   ثاني ثانوي حلزون</t>
  </si>
  <si>
    <t xml:space="preserve">المجيب عربي ثالث ثانوي </t>
  </si>
  <si>
    <t xml:space="preserve">المعلم المثالي القرآن الكريم ثالث ثانوي </t>
  </si>
  <si>
    <t>المتميز قرآن ثالث ثانوي</t>
  </si>
  <si>
    <t>البيان قرآن ثالث ثانوي</t>
  </si>
  <si>
    <t xml:space="preserve">المتفوق أحياء ثالث ثانوي </t>
  </si>
  <si>
    <t xml:space="preserve">المعلم المفيد أحياء ثاث ثانوي </t>
  </si>
  <si>
    <t xml:space="preserve">أضواء البيان إسلامية ثالث ثانوي </t>
  </si>
  <si>
    <t xml:space="preserve">المتوكل فيزياء ثالث ثانوي </t>
  </si>
  <si>
    <t xml:space="preserve">المختار كيمياء ثالث ثانوي </t>
  </si>
  <si>
    <t xml:space="preserve">معلم الفريد فيزياء ثالث ثانوي </t>
  </si>
  <si>
    <t xml:space="preserve">الأوائل لغة انجليزي E  ثالث ثانوي </t>
  </si>
  <si>
    <t xml:space="preserve">الكامل عربي ثالث ثانوي </t>
  </si>
  <si>
    <t xml:space="preserve">التكامل المعلم المثالي ثالث ثانوي </t>
  </si>
  <si>
    <t xml:space="preserve">المميز لغة انجليزي ثالث ثانوي </t>
  </si>
  <si>
    <t xml:space="preserve">معلم الفردوس كيمياء ثالث ثانوي </t>
  </si>
  <si>
    <t xml:space="preserve">المميز الذهبي انجليزي  نشوان الزلب ثالث ثانوي </t>
  </si>
  <si>
    <t xml:space="preserve">المعلم المثالي انجليزي ثالث ثانوي </t>
  </si>
  <si>
    <t>مذكرة فلاح ثالث ثانوي طويل  E</t>
  </si>
  <si>
    <t>مذكرة فلاح ثالث ثانوي كتاب قصير  E</t>
  </si>
  <si>
    <t xml:space="preserve">المتميز لغة عربي ثالث ثانوي حلزون </t>
  </si>
  <si>
    <t xml:space="preserve">التيسير في التكامل ثالث ثانوي </t>
  </si>
  <si>
    <t xml:space="preserve">التيسير في الجبر والاحتمالات  ثالث ثانوي </t>
  </si>
  <si>
    <t xml:space="preserve">التيسير في الهندسة ثالث ثانوي </t>
  </si>
  <si>
    <t xml:space="preserve">سلسلة الأوائل في الجبر والاحتمالات ثالث ثانوي </t>
  </si>
  <si>
    <t xml:space="preserve">سلسلة الأوائل في التكامل   ثالث ثانوي </t>
  </si>
  <si>
    <t>المعلم المثالي حلول نماذج اختبارات تاسع</t>
  </si>
  <si>
    <t xml:space="preserve">المعلم المثالي حلول نماذج اختبارات ثالث ثانوي </t>
  </si>
  <si>
    <t xml:space="preserve">الشامل  حلول نماذج اختبارات ثالث ثانوي </t>
  </si>
  <si>
    <t>الشامل  حلول نماذج اختبارات تاسع</t>
  </si>
  <si>
    <t xml:space="preserve">القاموس الطبي  </t>
  </si>
  <si>
    <t>قاموس اكسفورد</t>
  </si>
  <si>
    <t>قاموس أكسفورد الحديث</t>
  </si>
  <si>
    <t xml:space="preserve">قاموس المورد القريب </t>
  </si>
  <si>
    <t xml:space="preserve">قاموس المرشد السامي </t>
  </si>
  <si>
    <t xml:space="preserve">القاموس المدرسي </t>
  </si>
  <si>
    <t xml:space="preserve">كيف تتكلم اللغة الإنجليزية في 5 أيام </t>
  </si>
  <si>
    <t>خرائط اليمن اسفنج</t>
  </si>
  <si>
    <t xml:space="preserve">حلزون دائري اكبر مقاس احمر </t>
  </si>
  <si>
    <t>حلزون دائري وسط  17m</t>
  </si>
  <si>
    <t>حلزون دائري صغير  10m</t>
  </si>
  <si>
    <t>حلزون دائري أصغر حجم  6m</t>
  </si>
  <si>
    <t xml:space="preserve">ملصقات كتب ودفاتر للاسماء </t>
  </si>
  <si>
    <t xml:space="preserve">ملصقات صور أفلام الكرتون حجم كبير  </t>
  </si>
  <si>
    <t xml:space="preserve">ملصقات تيكرز وجوه كبيرة بارز  </t>
  </si>
  <si>
    <t xml:space="preserve">ملصقات ملصقات تيكرز وجوه وسط </t>
  </si>
  <si>
    <t xml:space="preserve">ملصقات ملصقات تيكرز وجوه صغير </t>
  </si>
  <si>
    <t xml:space="preserve">ملصقات كتب ودفاتر للاسماء صغير </t>
  </si>
  <si>
    <t xml:space="preserve">ملصقات رياضيات ارقام وعلامات </t>
  </si>
  <si>
    <t xml:space="preserve">ملصقات بارو ايسكريم وحيوانات  وقطارات </t>
  </si>
  <si>
    <t xml:space="preserve">ملصقات بارز فراشات </t>
  </si>
  <si>
    <t xml:space="preserve">ملصقات بارز حيوانات  </t>
  </si>
  <si>
    <t xml:space="preserve">ملصقات  بارز ارقام فلين </t>
  </si>
  <si>
    <t>ملصقات عادي نحيف</t>
  </si>
  <si>
    <t xml:space="preserve">ملصقات جدول الضرب مع أسم الطالب  والمادة </t>
  </si>
  <si>
    <t xml:space="preserve">شناط بناتي جنب صغير </t>
  </si>
  <si>
    <t>شناط محافظ نسائي محفظة فلوس   صغير</t>
  </si>
  <si>
    <t xml:space="preserve">مشاط أبو مرايه كبير </t>
  </si>
  <si>
    <t xml:space="preserve">مشاط أبو مرايه صغير  </t>
  </si>
  <si>
    <t xml:space="preserve">مشاط قشرة صغير </t>
  </si>
  <si>
    <t xml:space="preserve">امشاط قشرة طويل </t>
  </si>
  <si>
    <t>شمع كبير عرسان في باكت زجاج 2*1</t>
  </si>
  <si>
    <t xml:space="preserve">شمع زجاج  عرسان في باكت زجاج </t>
  </si>
  <si>
    <t xml:space="preserve">شمع زجاج عرسان قلص مع ورده </t>
  </si>
  <si>
    <t>شمع في بواكت قلوب 3*1</t>
  </si>
  <si>
    <t>شمع في بواكت قلوب كبير</t>
  </si>
  <si>
    <t xml:space="preserve">لوح سلوس كرستال ذهبي لوح ابيض </t>
  </si>
  <si>
    <t xml:space="preserve">لوح ابيض  سلوس كرستال عادي    كبير   </t>
  </si>
  <si>
    <t xml:space="preserve">لوح ابيض  سلوس كرستال عادي    صغير   </t>
  </si>
  <si>
    <t xml:space="preserve">لمعة شعر كوافير نجوم شعر لوح </t>
  </si>
  <si>
    <t xml:space="preserve">شبكات شعر كوافير لوح </t>
  </si>
  <si>
    <t>تاج أبو مشط شعر نسائي بلستيك</t>
  </si>
  <si>
    <t xml:space="preserve">تيجان بناتي حديد بدون ورده </t>
  </si>
  <si>
    <t>تيجان بناتي بلاستيك ملكي</t>
  </si>
  <si>
    <t xml:space="preserve">تيجان عرايسي كرستال اصلي </t>
  </si>
  <si>
    <t xml:space="preserve">قباظات فراتك كبير نسائي أبو ورده </t>
  </si>
  <si>
    <t xml:space="preserve">قباضات فراتط كبير نسائي ذهبي اصلي  </t>
  </si>
  <si>
    <t>ربطات يد اصلي حروف ذهبي نسائي</t>
  </si>
  <si>
    <t xml:space="preserve">ربطات يد عثمان رجالي اصلي </t>
  </si>
  <si>
    <t xml:space="preserve">ربطات يد نسائي كرستال </t>
  </si>
  <si>
    <t xml:space="preserve">أساور نسائي حديد </t>
  </si>
  <si>
    <t>اساور نسائي محلي حلق</t>
  </si>
  <si>
    <t xml:space="preserve">مسكات شعر اصلي كرستال كماشات  </t>
  </si>
  <si>
    <t>مساكات شعر بلاستيك كماشات</t>
  </si>
  <si>
    <t>كماشات شعر اكبر مقاس</t>
  </si>
  <si>
    <t>كماشات شعر اسود وسط</t>
  </si>
  <si>
    <t>كماشات بناتي صغار</t>
  </si>
  <si>
    <t>اخراص مطلي لوح  جديد</t>
  </si>
  <si>
    <t>اخراص لوح مطلي جديد قلوب اصلي</t>
  </si>
  <si>
    <t xml:space="preserve">أخراص نسائي منوع </t>
  </si>
  <si>
    <t>اخراص بناتي عادي في قفص زجاجي</t>
  </si>
  <si>
    <t xml:space="preserve">عصايب مع مفارق في لوح بناتي كبير </t>
  </si>
  <si>
    <t xml:space="preserve">عصايب بناتي كبير </t>
  </si>
  <si>
    <t xml:space="preserve">عصايب بناتي صغير </t>
  </si>
  <si>
    <t xml:space="preserve">قباضات شعر بلاستيك </t>
  </si>
  <si>
    <t xml:space="preserve">اساور ذهبي الأصلي قفص زجاج </t>
  </si>
  <si>
    <t xml:space="preserve">اساور ذهبي علبه زجاج كبير الأصلي  </t>
  </si>
  <si>
    <t xml:space="preserve">اساور هندي بليزق </t>
  </si>
  <si>
    <t xml:space="preserve">خواتم كرستال باكت احمر </t>
  </si>
  <si>
    <t xml:space="preserve">خواتم نسائي عرايسي باكت احمر </t>
  </si>
  <si>
    <t xml:space="preserve">خواتم كرستال أبو كرفته باكت ابيض </t>
  </si>
  <si>
    <t xml:space="preserve">خواتم كرستال  باكت ابيض  اصلي </t>
  </si>
  <si>
    <t xml:space="preserve">خياتم كرستال راماسات  صغار </t>
  </si>
  <si>
    <t>خواتم نسائي باكت احمر أبو فص</t>
  </si>
  <si>
    <t xml:space="preserve">خواتم فضي كرستال لوح ابيض صغير </t>
  </si>
  <si>
    <t>دبل نسائي ذهبي</t>
  </si>
  <si>
    <t xml:space="preserve">خواتم خياتم حروف رجالي شبابي + دبل </t>
  </si>
  <si>
    <t xml:space="preserve">خواتم حروف رجالي مربع </t>
  </si>
  <si>
    <t xml:space="preserve">خواتم رجالي شكل عقيق </t>
  </si>
  <si>
    <t>أرقام عيد ميلاد</t>
  </si>
  <si>
    <t xml:space="preserve">ربطات شعر نسائي كبير </t>
  </si>
  <si>
    <t xml:space="preserve">ربطات شعر نسائي عريض </t>
  </si>
  <si>
    <t xml:space="preserve">قباضات شعر كبير ربل مطاط </t>
  </si>
  <si>
    <t>قباضات شعر بناتي ملون بواكت زجاجي</t>
  </si>
  <si>
    <t xml:space="preserve">قباضات بناتي أبو ريش شعر  </t>
  </si>
  <si>
    <t xml:space="preserve">قباضات شعر ملون لوح قرطاسي </t>
  </si>
  <si>
    <t xml:space="preserve">أربال شعر ابيض واسود كبير قرطاس </t>
  </si>
  <si>
    <t xml:space="preserve">مرايه بناتي صغير </t>
  </si>
  <si>
    <t xml:space="preserve">قباضات منوع بلاستيك وفراشه </t>
  </si>
  <si>
    <t>شباريز</t>
  </si>
  <si>
    <t xml:space="preserve">ورد مجفف كيس </t>
  </si>
  <si>
    <t xml:space="preserve">أبر خياطه ابيام كبير ابر  بالشده عبوة عشرين ابره </t>
  </si>
  <si>
    <t xml:space="preserve">ابر خياطة ابيام وسط 24 حبه في الشده </t>
  </si>
  <si>
    <t xml:space="preserve">ابر خياطة وسط *20 حبه في الشده </t>
  </si>
  <si>
    <t xml:space="preserve">ابر خياطه فتله صغير * 12 عبوة  </t>
  </si>
  <si>
    <t xml:space="preserve">ابر مكاين رقم 16  ورقم 15 بكواكت عدد 5 في الباكت 10 شدات </t>
  </si>
  <si>
    <t xml:space="preserve">امشطه نسائي بلستيك طويل </t>
  </si>
  <si>
    <t>ياسرات رجالي كبير  new</t>
  </si>
  <si>
    <t xml:space="preserve">ياسرات شبابي </t>
  </si>
  <si>
    <t xml:space="preserve">محازم شبابي صغير </t>
  </si>
  <si>
    <t xml:space="preserve">محازم ولادي </t>
  </si>
  <si>
    <t>محازم مطاط كبير</t>
  </si>
  <si>
    <t xml:space="preserve">محازم مطاط صغير </t>
  </si>
  <si>
    <t xml:space="preserve">مطابع حناء مائي لوح كبير </t>
  </si>
  <si>
    <t xml:space="preserve">مطابع حناء مائي لوح وسط  </t>
  </si>
  <si>
    <t xml:space="preserve">مطابع حناء مائي لوح  صغير   </t>
  </si>
  <si>
    <t xml:space="preserve">سلاسل ميداليات كبير </t>
  </si>
  <si>
    <t xml:space="preserve">سلاسل ميدالة صغير </t>
  </si>
  <si>
    <t xml:space="preserve">فحم اكاكوا  باكت مربع *46 حبه </t>
  </si>
  <si>
    <t>بطاريات أبو قلم  1-5  v   14 شده 14</t>
  </si>
  <si>
    <t xml:space="preserve">بطاريات أبو قلم * 24  * 6 شده </t>
  </si>
  <si>
    <t>حناء تحفة العروس أكياس في باكت</t>
  </si>
  <si>
    <t xml:space="preserve">مطابع حناء كبير محاسن الورد نقش </t>
  </si>
  <si>
    <t xml:space="preserve">مطابع حناء كبير ملكة الاناقة  نقش </t>
  </si>
  <si>
    <t xml:space="preserve">مطابع حناء وسط شبابي    نقش </t>
  </si>
  <si>
    <t xml:space="preserve">مطابع حناء جلكسي بناتي صغير     نقش </t>
  </si>
  <si>
    <t xml:space="preserve">مطابع حناء العروسة  شبابي   صغير  نقش </t>
  </si>
  <si>
    <t xml:space="preserve">خيوط مكاين كبير  الأصلي اغلى نوع جوكي </t>
  </si>
  <si>
    <t xml:space="preserve">ند بخور طارد للبعوض النامس </t>
  </si>
  <si>
    <t>زينة ورد كبوت سيارات على شكل قلب</t>
  </si>
  <si>
    <t xml:space="preserve">ورد احمر 10 فروع أصلي </t>
  </si>
  <si>
    <t xml:space="preserve">ورد مفرد جوري احمر غامق اصلي </t>
  </si>
  <si>
    <t>باقة ورد معطر مع الشفاف في باكت ابيض</t>
  </si>
  <si>
    <t xml:space="preserve">باقة ورد 12 فرع ملون </t>
  </si>
  <si>
    <t xml:space="preserve">ورد احمر مفرد مغلف أبو دب </t>
  </si>
  <si>
    <t xml:space="preserve">ورد سبعة فروع ملون </t>
  </si>
  <si>
    <t xml:space="preserve">ورد عشرة فروع ملون </t>
  </si>
  <si>
    <t xml:space="preserve">ورد مفرد احمر </t>
  </si>
  <si>
    <t xml:space="preserve">فل صناعي صوف </t>
  </si>
  <si>
    <t xml:space="preserve">ورد طويل خيط لطبلون السيارة زينه اسمه ورد كبير </t>
  </si>
  <si>
    <t xml:space="preserve">زينة مترات قرطاسي نفس الفل </t>
  </si>
  <si>
    <t xml:space="preserve">خيوط صوف </t>
  </si>
  <si>
    <t>لواصق جدار فراشات وزهور وورد  كبير</t>
  </si>
  <si>
    <t>لواصق جدار فراشات وزهور وورد  وسط</t>
  </si>
  <si>
    <t>لواصق جدار فراشات وزهور وورد  صغير</t>
  </si>
  <si>
    <t xml:space="preserve">ورد مغلف كرتوني أنت عمري </t>
  </si>
  <si>
    <t xml:space="preserve">يدات بلاستيشن العاب </t>
  </si>
  <si>
    <t xml:space="preserve">دب أبو ميدالية صغير </t>
  </si>
  <si>
    <t>لواصق بالونات</t>
  </si>
  <si>
    <t xml:space="preserve">بالونات أبو صفارة </t>
  </si>
  <si>
    <t xml:space="preserve">صفارات بلستيك كرة </t>
  </si>
  <si>
    <t>عرايس في لوح  مطبخ</t>
  </si>
  <si>
    <t xml:space="preserve">لوح أدوات منزلية عروسة </t>
  </si>
  <si>
    <t>عروسة كبير</t>
  </si>
  <si>
    <t>عروسة وسط</t>
  </si>
  <si>
    <t xml:space="preserve">عروسة صغير </t>
  </si>
  <si>
    <t xml:space="preserve">دب وسط </t>
  </si>
  <si>
    <t>كلاب متحرك ريش</t>
  </si>
  <si>
    <t xml:space="preserve">كلاب متحرك بلاستيك أبو خيط  على بطاريات </t>
  </si>
  <si>
    <t>بلابل دائري لوح  1*3</t>
  </si>
  <si>
    <t xml:space="preserve">بلابل دائري  ضوء </t>
  </si>
  <si>
    <t xml:space="preserve">بلابل أبو خيط حديد الأصلي </t>
  </si>
  <si>
    <t xml:space="preserve">بلابل عادي أبو خيط </t>
  </si>
  <si>
    <t xml:space="preserve">بلابل اكبر مقاس ضؤء </t>
  </si>
  <si>
    <t xml:space="preserve">عسكري مع المضله </t>
  </si>
  <si>
    <t xml:space="preserve">جلاجل مواليد ربطة يد </t>
  </si>
  <si>
    <t xml:space="preserve"> ملون </t>
  </si>
  <si>
    <t xml:space="preserve">فأر أبو خيط </t>
  </si>
  <si>
    <t xml:space="preserve">طبول لعبة يد طبال </t>
  </si>
  <si>
    <t>عصفور متحرك</t>
  </si>
  <si>
    <t xml:space="preserve">بلبل بلستيك خفيف اصغر مقاس </t>
  </si>
  <si>
    <t>حيوانات كيس</t>
  </si>
  <si>
    <t>مسدس ماء فقاعات صابوني مع العلبه</t>
  </si>
  <si>
    <t xml:space="preserve">مكعبات صغير  </t>
  </si>
  <si>
    <t xml:space="preserve">سيارات ولادي في لوح كبير </t>
  </si>
  <si>
    <t xml:space="preserve">سيارات طائرات باصات لوح </t>
  </si>
  <si>
    <t xml:space="preserve">طائرات أبو ريمنت </t>
  </si>
  <si>
    <t xml:space="preserve">تلفونات ماء لعبه صغير </t>
  </si>
  <si>
    <t xml:space="preserve">تلفونات ماء لعبه كبير  </t>
  </si>
  <si>
    <t xml:space="preserve">تلفون صوت أبو بطاريات  N70 </t>
  </si>
  <si>
    <t xml:space="preserve">تلفون صوت لمس لعبه </t>
  </si>
  <si>
    <t xml:space="preserve">ميداليات قلم ساعة هدية في لوح وردي </t>
  </si>
  <si>
    <t>شلك لاصق أصفر YHY</t>
  </si>
  <si>
    <t xml:space="preserve">جنبية هدية استيل تراث </t>
  </si>
  <si>
    <t xml:space="preserve">البومات صور كبير دفتر </t>
  </si>
  <si>
    <t>حروف عربي كبير في باكت مغناطيس</t>
  </si>
  <si>
    <t>محفضة منطب مبرد مقص في محفظة كبير</t>
  </si>
  <si>
    <t xml:space="preserve">محفضة منطب مبرد مقص في محفظة صغير </t>
  </si>
  <si>
    <t xml:space="preserve">بواكت رسايل غرامية </t>
  </si>
  <si>
    <t xml:space="preserve">كشافة ليزر  كبير اخضر كهرب على بطاريات قاعدة  باكت احمر </t>
  </si>
  <si>
    <t xml:space="preserve">بابا مشمش صغير تعليم  كمبيوتر </t>
  </si>
  <si>
    <t xml:space="preserve">بابا مشمش كمبيوتر سحرية والنموا تعليمي </t>
  </si>
  <si>
    <t xml:space="preserve">بابا مشمش كبير  girl  كمبيوتر كبير </t>
  </si>
  <si>
    <t xml:space="preserve">ايباد تعليم بنتنت </t>
  </si>
  <si>
    <t xml:space="preserve">ايباد    الطريقة الحديثة للتعلم لكتروني صغير </t>
  </si>
  <si>
    <t xml:space="preserve">الطريقة الحديثة  للتعلم الكتروني ايباد  شاشه كبير لمس نحيف </t>
  </si>
  <si>
    <t>تلفون أطفال كبير مع البطارية لوح</t>
  </si>
  <si>
    <t>الوان توم وجيري ملاون لوح tom and jeary</t>
  </si>
  <si>
    <t xml:space="preserve">الوان بواكت كبار العاب كبير شعله </t>
  </si>
  <si>
    <t>ملمع ومنظف شاشات كمبيوتر بخاخ فرشة قطن</t>
  </si>
  <si>
    <t xml:space="preserve">سنن أقلام رصاص منوع </t>
  </si>
  <si>
    <t xml:space="preserve">اقام حبر  أبو وردة وريشة وقلب </t>
  </si>
  <si>
    <t xml:space="preserve">شلك دبه كبير </t>
  </si>
  <si>
    <t xml:space="preserve">أقلام هديه مع ورد في لوح احمر </t>
  </si>
  <si>
    <t xml:space="preserve">سلوس عرائس كرستال نسائي كبير سلس صدر  </t>
  </si>
  <si>
    <t xml:space="preserve">حزام نسائي عرايسي </t>
  </si>
  <si>
    <t xml:space="preserve">فازلين فوكي </t>
  </si>
  <si>
    <t xml:space="preserve">حلاوى الفيحاء مزيل  شعر </t>
  </si>
  <si>
    <t>دبابيس شعر كبير</t>
  </si>
  <si>
    <t>صبغات شعر هندي ايجل  ايجل</t>
  </si>
  <si>
    <t xml:space="preserve">صابون دوف الأصلي وسط </t>
  </si>
  <si>
    <t>روج شفايف MAT</t>
  </si>
  <si>
    <t>روج شفايف حامورة QEARLYA</t>
  </si>
  <si>
    <t xml:space="preserve">منظف اذن عود اذن </t>
  </si>
  <si>
    <t>صباغ اضافر الأصلي  NG</t>
  </si>
  <si>
    <t>صباغ اضافر العادي   NAIL</t>
  </si>
  <si>
    <t xml:space="preserve">مخمرية جانسي +لؤلؤة البحرين </t>
  </si>
  <si>
    <t>عطر نسائي صغير فاسيوا  fasio</t>
  </si>
  <si>
    <t xml:space="preserve">عطر سر الخلود باكت صغير </t>
  </si>
  <si>
    <t>عطر محاسن +رغبة +روحي روحك</t>
  </si>
  <si>
    <t xml:space="preserve">عطر صغير سمارت </t>
  </si>
  <si>
    <t xml:space="preserve">عطر صغير الرشيد بخاخ </t>
  </si>
  <si>
    <t xml:space="preserve">عطر عود خليفة كبير </t>
  </si>
  <si>
    <t xml:space="preserve">عطر عود الشمس </t>
  </si>
  <si>
    <t>عطر اكسلنت عادي EXCFLLENT</t>
  </si>
  <si>
    <t xml:space="preserve">عطر لورد الرحاب </t>
  </si>
  <si>
    <t>عطر بخاخ صغير SAIGA</t>
  </si>
  <si>
    <t xml:space="preserve">علب عطر بخاخ زجاجي كبير </t>
  </si>
  <si>
    <t xml:space="preserve">علب عطر بخاخ زجاجي صغير شكل قلم  </t>
  </si>
  <si>
    <t xml:space="preserve">علب عطر بخاخ بلاستيك على شكل قلم </t>
  </si>
  <si>
    <t xml:space="preserve">مثبت عطر </t>
  </si>
  <si>
    <t xml:space="preserve">اسبورت </t>
  </si>
  <si>
    <t>علب عطر بلاستيك بخاخ قصير</t>
  </si>
  <si>
    <t>مضارب عطر ذهبي فاضي *2*1</t>
  </si>
  <si>
    <t>ساعات حريمي سلس اصلي علب  MOMENT 1413</t>
  </si>
  <si>
    <t>ساعات حريمي سلس اصلي علب HAMAR 1271</t>
  </si>
  <si>
    <t>ساعات حريمي فضي سلس YAWEISI</t>
  </si>
  <si>
    <t>ساعات حريمي سلس ذهبي LONGO 180413</t>
  </si>
  <si>
    <t>ساعات حريمي سلس ذهبي مربع WASTR 1378</t>
  </si>
  <si>
    <t>ساعات حريمي سلس ذهبي  HAMAR 1116</t>
  </si>
  <si>
    <t>ساعات حريمي ذهبي ياباني Kahaalun 5222</t>
  </si>
  <si>
    <t>ساعات حريمي wonder 5254</t>
  </si>
  <si>
    <t>ساعات حريمي slimstar 1054</t>
  </si>
  <si>
    <t>ساعات حريمي swatch swiss 7271</t>
  </si>
  <si>
    <t>ساعات حريمي vertch vp 050</t>
  </si>
  <si>
    <t>ساعات حريمي فضي Hailo 5917</t>
  </si>
  <si>
    <t>ساعات حريمي فضي شجرة مغناطيس 6215</t>
  </si>
  <si>
    <t xml:space="preserve">ساعات حريمي سلس stainless 4919 </t>
  </si>
  <si>
    <t>ساعات حريمي سلس فضي + ذهبي vertical  vp 049</t>
  </si>
  <si>
    <t>ساعات حريمي سلس فضي SG  6271</t>
  </si>
  <si>
    <t>ساعات حريمي فضي Zena 9923</t>
  </si>
  <si>
    <t>ساعات حريمي ذهبي مغناطيس stainless 3719  +منوع مغناطيس مربع</t>
  </si>
  <si>
    <t>ساعات حريمي سلس ذهبي ASAD 5435</t>
  </si>
  <si>
    <t>ساعات حريمي جلد بنفسجي خريطة AOSUN 8717</t>
  </si>
  <si>
    <t>ساعات حريمي سلس بني ياباني aLdora 7858</t>
  </si>
  <si>
    <t>ساعات حريمي سلس ياباني kati NO D530</t>
  </si>
  <si>
    <t>ساعات حريمي سراميك BARASTI wq 0006</t>
  </si>
  <si>
    <t>ساعات حريمي  جلد aldora 3057</t>
  </si>
  <si>
    <t>ساعات حريمي جلد  aldora 3056</t>
  </si>
  <si>
    <t>ساعات حريمي جلد  Domino 21751</t>
  </si>
  <si>
    <t>ساعات حريمي جلد وردي MOMENT 4013L</t>
  </si>
  <si>
    <t>ساعات حريمي جلد اسود  GVSALAI  8101</t>
  </si>
  <si>
    <t>ساعات حريمي جلد رصاصي  BSJ 9915</t>
  </si>
  <si>
    <t>ساعات حريمي ربل اسود QSQ  10 BAR</t>
  </si>
  <si>
    <t xml:space="preserve">ساعات حريمي اومكس منوع ربل اسود </t>
  </si>
  <si>
    <t xml:space="preserve">ساعات حريمي شبابي لمس منوع </t>
  </si>
  <si>
    <t xml:space="preserve">ساعات حريمي ولادي ربل حسابة </t>
  </si>
  <si>
    <t>ساعات  رجالي سلس اصلي Eicher 7719</t>
  </si>
  <si>
    <t>ساعات  رجالي سلس اصلي BADACE 9492</t>
  </si>
  <si>
    <t>ساعات  رجالي سلس اصلي BADACE 9493</t>
  </si>
  <si>
    <t>ساعات  رجالي سلس اصلي BADACE 9494</t>
  </si>
  <si>
    <t>ساعات  رجالي سلس اصلي BADACE 9495</t>
  </si>
  <si>
    <t>ساعات  رجالي سلس اصلي ذهبي ياباني  adida 7838 m</t>
  </si>
  <si>
    <t>ساعات  رجالي سلس اصلي فضي مربع ياباني adida 7837 m</t>
  </si>
  <si>
    <t>ساعات  رجالي سلس فضي LONGINES 929</t>
  </si>
  <si>
    <t>ساعات  رجالي جلد تجاري WALAR 3121</t>
  </si>
  <si>
    <t xml:space="preserve">ساعات  رجالي جلد اصلي OMAX 7059 </t>
  </si>
  <si>
    <t>ساعات  رجالي شبابي خريطة ربل SPORT 4111</t>
  </si>
  <si>
    <t xml:space="preserve">ساعات  رجالي كاسيو حديد الصلاه </t>
  </si>
  <si>
    <t xml:space="preserve">ساعات  رجالي كاسيو الوكالة </t>
  </si>
  <si>
    <t>ساعات  أبو ثلالة سلولس دائري بناتي شبابي هندي حريمي</t>
  </si>
  <si>
    <t xml:space="preserve">ساعات  بناتي صغير منوع </t>
  </si>
  <si>
    <t xml:space="preserve">ساعات  ولادي ربل </t>
  </si>
  <si>
    <t>ساعات  باتمان ولادي</t>
  </si>
  <si>
    <t xml:space="preserve">ساعات  اطقم ساعات نسائي عرائسي KC </t>
  </si>
  <si>
    <t>ساعات  حريمي سلس WESTAR 1384</t>
  </si>
  <si>
    <t>ساعات  حريمي سلس BELISE 9921</t>
  </si>
  <si>
    <t>ساعات  حريمي سلس WESTAR 1394</t>
  </si>
  <si>
    <t>ساعات  حريمي سلس WESTAR 1396</t>
  </si>
  <si>
    <t>ساعات  حريمي سلس WESTAR 1398</t>
  </si>
  <si>
    <t>ساعات  حريمي ذهبي مربع CK 9313</t>
  </si>
  <si>
    <t>ساعات  حريمي سراميك BARASTI WQ 0006</t>
  </si>
  <si>
    <t>ساعات  جلد اسود اصلي  YIQIN 6227G</t>
  </si>
  <si>
    <t>ساعات  جلد اصلي MOMENT 1013G</t>
  </si>
  <si>
    <t>ساعات  جلد اصلي DOMINO 3815 M</t>
  </si>
  <si>
    <t>ساعات  جلد اصلي ياباني MOMENT 2182  M</t>
  </si>
  <si>
    <t>ساعات  جلد اصلي DOMINO 2815 M</t>
  </si>
  <si>
    <t>ساعات  جلد اصلي ADADIA 3915 M</t>
  </si>
  <si>
    <t>ساعات  جلد اصلي ياباني ALDORA 3928-2M</t>
  </si>
  <si>
    <t>ساعات  جلد اصلي ياباني ALDORA 1017G</t>
  </si>
  <si>
    <t>ساعات  جلد اصلي DOMINO 2204 M</t>
  </si>
  <si>
    <t>ساعات  جلد اصلي DOMINO 4015 M</t>
  </si>
  <si>
    <t>ساعات  جلد اصلي MOMENT 8038 G</t>
  </si>
  <si>
    <t xml:space="preserve">ساعات  جلد رادو اصلي RADO 6160 </t>
  </si>
  <si>
    <t>ساعات  جلد اصلي  YIQIN 6106</t>
  </si>
  <si>
    <t>ساعات جلد LOREDE 5333</t>
  </si>
  <si>
    <t>ساعات جلد ASAD 8173</t>
  </si>
  <si>
    <t>ساعات جلد PERVCCI 1813</t>
  </si>
  <si>
    <t>ساعات جلد تجاري BOSHLJIE 4333+4222+3313</t>
  </si>
  <si>
    <t>ساعات جلد تجاري BAILIN 4441</t>
  </si>
  <si>
    <t>ساعات جلد  تجاري ONCI 4254</t>
  </si>
  <si>
    <t>ساعات جلد تجاري BSJ 6266</t>
  </si>
  <si>
    <t>ساعات جلد تجاري QXYI 5159</t>
  </si>
  <si>
    <t>ساعات جلد تجاري CK 11169</t>
  </si>
  <si>
    <t>ساعات حريمي جلد اصلي MOMENT 4013</t>
  </si>
  <si>
    <t>ساعات حريمي جلد اصلي MOMENT 4200L</t>
  </si>
  <si>
    <t>ساعات حريمي جلد بنفسجي DOMINO 4014 L</t>
  </si>
  <si>
    <t>ساعات حريمي جلد اصلي MOMENT 8031L</t>
  </si>
  <si>
    <t xml:space="preserve">ساعات حريمي سلس فضي SONIC 1115 </t>
  </si>
  <si>
    <t>ساعات حريمي جلد  MHD 2559</t>
  </si>
  <si>
    <t>ساعات حريمي جلد أبو فراشة اسود NEWS TIME 5426 + 5425</t>
  </si>
  <si>
    <t>ساعات حريمي جلد ازرق برج ايفل 3103</t>
  </si>
  <si>
    <t>ساعات حريمي جلد CK Calvin Islein</t>
  </si>
  <si>
    <t>ساعات حريمي جلد ربل عادي اسودCK</t>
  </si>
  <si>
    <t xml:space="preserve">ساعات حريمي مغناطيس ذهبي اسود دائري </t>
  </si>
  <si>
    <t xml:space="preserve">ساعات حريمي مغناطيس ذهبي اسود مربع </t>
  </si>
  <si>
    <t>زينه لوح حجري أسماء الله الحسنى وآيات قرآن</t>
  </si>
  <si>
    <t xml:space="preserve">حبر طابعات ابسون كبير </t>
  </si>
  <si>
    <t xml:space="preserve">حبر طابعات ابسون صغير </t>
  </si>
  <si>
    <t xml:space="preserve">حبر طابعات ذرار </t>
  </si>
  <si>
    <t>جرام</t>
  </si>
  <si>
    <t>جرد مكتبة الحسينية حتى</t>
  </si>
  <si>
    <t>المجموعة</t>
  </si>
  <si>
    <t>م الجرد</t>
  </si>
  <si>
    <t>م السابق</t>
  </si>
  <si>
    <t>كتب دينية وعملية وثقافية</t>
  </si>
  <si>
    <t>مصاحف قران 19*23</t>
  </si>
  <si>
    <t>مصاحف قران 19*26</t>
  </si>
  <si>
    <t>القدس/الازهر الشريف</t>
  </si>
  <si>
    <t>مصاحف قران 12*16</t>
  </si>
  <si>
    <t>مصاحف قران شخريط 12*16</t>
  </si>
  <si>
    <t xml:space="preserve">مصاحف قران شخريط اندلسية 10*14 </t>
  </si>
  <si>
    <t>مصاحف قران مجلد البينة 11*15</t>
  </si>
  <si>
    <t>مصاحف قران شخريط 8*12</t>
  </si>
  <si>
    <t>مصاحف قران شخريط 8*11</t>
  </si>
  <si>
    <t>مصاحف قران 8*11</t>
  </si>
  <si>
    <t>مصاحف قران مقسم أجزاء طقم 6*1</t>
  </si>
  <si>
    <t>كتاب أسباب النزول للسيوطي</t>
  </si>
  <si>
    <t>كتب تفسير الجلالين</t>
  </si>
  <si>
    <t>كتب شرح العقيدة الوسطية</t>
  </si>
  <si>
    <t>كتب الفقه الميسر في العبادات</t>
  </si>
  <si>
    <t>كتب دراسية وملازم</t>
  </si>
  <si>
    <t>قاموس أكسفورد مع السيدي</t>
  </si>
  <si>
    <t xml:space="preserve">قاموس حتي الطبي </t>
  </si>
  <si>
    <t>المرشد السامي في قواعد اللغة الانجليزية</t>
  </si>
  <si>
    <t>جرد محمد</t>
  </si>
  <si>
    <t>جدول الحصص الضرب</t>
  </si>
  <si>
    <t>ملازم وملخصات مدرسية</t>
  </si>
  <si>
    <t>ملازم الحزمي اسلامية 3ث</t>
  </si>
  <si>
    <t/>
  </si>
  <si>
    <t>ملازم حلزوني منوع</t>
  </si>
  <si>
    <t>ملازم الكامل عربي 3ث</t>
  </si>
  <si>
    <t>ملازم المثالي انجليزي 3ث</t>
  </si>
  <si>
    <t>ملازم الحزمي الكنز المميز تكامل وتفاضل 3ث</t>
  </si>
  <si>
    <t>ملازم الحزمي الكنز المميز جبر وهندسة 3ث</t>
  </si>
  <si>
    <t>ملازم الحزمي الفريد فيزياء 3ث</t>
  </si>
  <si>
    <t>ملازم الحزمي الأوائل لغة انجليزي 3ث</t>
  </si>
  <si>
    <t>ملازم الحزمي المفيد أحياء 3ث</t>
  </si>
  <si>
    <t xml:space="preserve">الشامل حلول نماذج اختبارات 3ث </t>
  </si>
  <si>
    <t>ملازم المثالي قرآن وعلومه 3ث</t>
  </si>
  <si>
    <t xml:space="preserve">ملازم المثالي التكامل 3ث </t>
  </si>
  <si>
    <t xml:space="preserve">ملازم المميز لغة انجليزي 3ث </t>
  </si>
  <si>
    <t>ملازم الحزمي سلسلة الفلاح في الانجليزي 3ث طباعة</t>
  </si>
  <si>
    <t>طارق</t>
  </si>
  <si>
    <t>ملازم الحزمي سلسلة الفلاح في الانجليزي 3ث</t>
  </si>
  <si>
    <t>دفاتر حسابات</t>
  </si>
  <si>
    <t>دفاتر حسابات رادو RADO 3/100</t>
  </si>
  <si>
    <t>اوراق وشهائد وإطارات ودروع</t>
  </si>
  <si>
    <t>أوراق بحث منوع درز* 12شدة*20ورقة</t>
  </si>
  <si>
    <t>أوراق شهايد *100ورقة ذهبي</t>
  </si>
  <si>
    <t>أوراق واجهات بحث *100ورقة</t>
  </si>
  <si>
    <t xml:space="preserve">شهايد تقدير مدرسية *20 </t>
  </si>
  <si>
    <t xml:space="preserve">شهايد تقدير عامة *20 </t>
  </si>
  <si>
    <t xml:space="preserve">اطار شهائد تقدير *20 </t>
  </si>
  <si>
    <t xml:space="preserve">اطار شهائد تقدير مع درع كرتوني *20 </t>
  </si>
  <si>
    <t>أوراق نتائج مدرسية وواجهات بحث*100</t>
  </si>
  <si>
    <t>دفاتر</t>
  </si>
  <si>
    <t>دفاتر بحث جر *20ورقة</t>
  </si>
  <si>
    <t>اطار شهايد مدرسية *50</t>
  </si>
  <si>
    <t>أوراق رسائل حب *100</t>
  </si>
  <si>
    <t>أوراق شهايد تقدير *100</t>
  </si>
  <si>
    <t>دروع شهايد بلاستيك بيزرس</t>
  </si>
  <si>
    <t>دروع شهايد كرتوني قماش</t>
  </si>
  <si>
    <t>دروع شهايد كرتوني ذهبي</t>
  </si>
  <si>
    <t>شهايد تقدير مدرسية صغير أطفال</t>
  </si>
  <si>
    <t>بوكسات وملفات</t>
  </si>
  <si>
    <t>بوكسات كبير</t>
  </si>
  <si>
    <t>بوكسات صغير</t>
  </si>
  <si>
    <t xml:space="preserve">ملفات زجاجي زرار </t>
  </si>
  <si>
    <t>ملفات زجاجي منقوش *12</t>
  </si>
  <si>
    <t>دفاتر وكراسات</t>
  </si>
  <si>
    <t xml:space="preserve">دفاتر رسم ملون A4 *12 </t>
  </si>
  <si>
    <t>دفاتر رسم 20 ورقة A4 *12</t>
  </si>
  <si>
    <t>كراسات اكتب وامسح كبير</t>
  </si>
  <si>
    <t>دروع شهايد خشبي</t>
  </si>
  <si>
    <t>كراسة رسم كونسون هندي</t>
  </si>
  <si>
    <t>كراسة رسم ابيض قلاب A4 *50</t>
  </si>
  <si>
    <t>ملفات ارشفة أوراق جيوب قرطاسي</t>
  </si>
  <si>
    <t>ملفات جانبي وقائم ضغطة وتخريم *12</t>
  </si>
  <si>
    <t>ملفات تخريم بزنز فل *12</t>
  </si>
  <si>
    <t>ملفات سحاب شفاف *10</t>
  </si>
  <si>
    <t>ملفات سحاب ضغطة *10</t>
  </si>
  <si>
    <t xml:space="preserve">ورق جلوسي لاصق 180 جرام *50 </t>
  </si>
  <si>
    <t xml:space="preserve">ورق جلوسي لاصق 135 جرام *50 </t>
  </si>
  <si>
    <t xml:space="preserve">ورق جلوسي جهة 135 جرام *50 </t>
  </si>
  <si>
    <t>ورق جلوسي جهتين 160 جرام *50</t>
  </si>
  <si>
    <t>ورق جلوسي وجه 180 جرام *50</t>
  </si>
  <si>
    <t>ذواكر وفلاشات وسيديهات وملحقاتها</t>
  </si>
  <si>
    <t xml:space="preserve">دفاتر جر قلاب *40ورقة A4 </t>
  </si>
  <si>
    <t>دفتر رسم بياني A3</t>
  </si>
  <si>
    <t>هدايا وملحقاتها</t>
  </si>
  <si>
    <t>هدايا زجاجي 18*25</t>
  </si>
  <si>
    <t>هدايا كرتوني 25*40</t>
  </si>
  <si>
    <t>هدايا كرتوني 22*25</t>
  </si>
  <si>
    <t>هدايا كرتوني 17*20</t>
  </si>
  <si>
    <t>هدايا كرتوني 18*40</t>
  </si>
  <si>
    <t>هدايا كرتوني 18*25</t>
  </si>
  <si>
    <t>ديكور وزينة</t>
  </si>
  <si>
    <t>لوحة جبس اسماء الله الحسنى</t>
  </si>
  <si>
    <t>هدايا زجاجي ابومراية 17*20</t>
  </si>
  <si>
    <t>هدايا زجاجي 17*20</t>
  </si>
  <si>
    <t>هدايا كرتوني مع العطر 18*20</t>
  </si>
  <si>
    <t>هدايا زجاجي 10*17</t>
  </si>
  <si>
    <t>هدايا كرتوني 16*20</t>
  </si>
  <si>
    <t>هدايا زجاجي 16*20</t>
  </si>
  <si>
    <t>هدايا زجاجي 16*18</t>
  </si>
  <si>
    <t>هدايا زجاجي مغلف 18*20</t>
  </si>
  <si>
    <t xml:space="preserve">هدايا زجاجي كرتوني </t>
  </si>
  <si>
    <t>مستلزمات مدرسية</t>
  </si>
  <si>
    <t>سبورات اكتب وامسح بلاستيك 20*25</t>
  </si>
  <si>
    <t>كراسات رسم جرد 20*23</t>
  </si>
  <si>
    <t>سبورات اكتب وامسح بلاستيك 22*38</t>
  </si>
  <si>
    <t>دفاتر يومية رادو RADO 3/200</t>
  </si>
  <si>
    <t>دفاتر حسابات رويال 3/200</t>
  </si>
  <si>
    <t>دفاتر مذكرات يومية *200</t>
  </si>
  <si>
    <t>دفاتر حسابات سنارلاين كبير *100</t>
  </si>
  <si>
    <t xml:space="preserve">كتيبات المصحف الاندلسي </t>
  </si>
  <si>
    <t>كتيب حصن التوحيد</t>
  </si>
  <si>
    <t xml:space="preserve">كتيب المأثورات </t>
  </si>
  <si>
    <t>فلين 30*40</t>
  </si>
  <si>
    <t>فلين 18*25</t>
  </si>
  <si>
    <t>ملازم حلزون ملازم الحزمي المتميز كيمياء  ثاني ثانوي</t>
  </si>
  <si>
    <t>الشامل حلول نماذج اختبارات تاسع حلزون</t>
  </si>
  <si>
    <t>ملازم الفردوس اجتماعيات سابع جزئين</t>
  </si>
  <si>
    <t>ملازم الحزمي المتميز اجتماعيات سابع جزئين</t>
  </si>
  <si>
    <t>ملازم الحزمي المتميز اجتماعيات ثامن</t>
  </si>
  <si>
    <t>معلم الفردوس القرآن والإسلامية سابع جزئين</t>
  </si>
  <si>
    <t>المثالي حلول نماذج اختبارات تاسع</t>
  </si>
  <si>
    <t>ملازم الكامل عربي ثامن جزئين</t>
  </si>
  <si>
    <t>مضاف إلى 127</t>
  </si>
  <si>
    <t>ملازم الفردوس لغة عربية سابع</t>
  </si>
  <si>
    <t>ملازم الحزمي المتميز في القرآن والإسلامية سابع</t>
  </si>
  <si>
    <t>ملازم الكامل اجتماعيات ثامن</t>
  </si>
  <si>
    <t>ملازم طباعة معهد الاجيال المتقدمة - انجليزي</t>
  </si>
  <si>
    <t xml:space="preserve">المثالي حلول نماذج اختبارات 3ث </t>
  </si>
  <si>
    <t>تفسير العشر الأخير</t>
  </si>
  <si>
    <t xml:space="preserve">المميز الذهبي انجليزي نشوان الزلب 3ث </t>
  </si>
  <si>
    <t>ملازم الكامل عربي ثامن</t>
  </si>
  <si>
    <t xml:space="preserve">ملازم الحزمي المتميز اجتماعيات أول ثانوي </t>
  </si>
  <si>
    <t xml:space="preserve">ملازم الحزمي المتميز قرآن  ثاني ثانوي </t>
  </si>
  <si>
    <t xml:space="preserve">ملازم الحزمي الناصر كيمياء ثاني ثانوي </t>
  </si>
  <si>
    <t>ملازم الحزمي المتميز قرآن تاسع جزئين</t>
  </si>
  <si>
    <t>مضاف الى 128</t>
  </si>
  <si>
    <t xml:space="preserve">ملازم الحزمي المتميز رياضيات أول ثانوي </t>
  </si>
  <si>
    <t>ملازم الحزمي المتميز الإسلامية  ثامن جزئين</t>
  </si>
  <si>
    <t>مضاف إلى 115</t>
  </si>
  <si>
    <t>ملازم الحزمي المتميز قرآن ثامن جزئين</t>
  </si>
  <si>
    <t>مضاف الى 129</t>
  </si>
  <si>
    <t>دفاتر جامعي أبوجر بيزرس *200</t>
  </si>
  <si>
    <t>دفاتر جامعي أبوجر بيزرس *100</t>
  </si>
  <si>
    <t>دفاتر جامعي أبوجر عادي *100</t>
  </si>
  <si>
    <t>دفاتر جلد طقطق بيزرس</t>
  </si>
  <si>
    <t>دفاتر يومية جلد 200 ورقة طقطق (2020م)</t>
  </si>
  <si>
    <t>دفاتر مجلد نوت بوك</t>
  </si>
  <si>
    <t>دفاتر تحضير الدروس جلد</t>
  </si>
  <si>
    <t>دفاتر جامعي ابوجر راف لاين 6 اقسام 150ورقة</t>
  </si>
  <si>
    <t>دفاتر جامعي ابوجر راف لاين 3 اقسام</t>
  </si>
  <si>
    <t>دفاتر تحضير الدروس 80 ورقة</t>
  </si>
  <si>
    <t>دفاتر محاضرات جامعية طقطق *100</t>
  </si>
  <si>
    <t>دفاتر تحضير الدروس جلد طقطق</t>
  </si>
  <si>
    <t>نوت ودفاتر ذكريات ومذكرات</t>
  </si>
  <si>
    <t>دفاتر ذكريات ابوقفل 17*21</t>
  </si>
  <si>
    <t xml:space="preserve">دفاتر ذكريات ابوشفرة 18*23 </t>
  </si>
  <si>
    <t>دفاتر ذكريات ابوربطة 21*21</t>
  </si>
  <si>
    <t>دفاتر ذكريات ابوقفل نحيف باكت 21*21</t>
  </si>
  <si>
    <t xml:space="preserve">دفاتر ذكريات ابوشفرة 13*18 </t>
  </si>
  <si>
    <t xml:space="preserve">دفاتر ذكريات ابوشفرة 13*16 </t>
  </si>
  <si>
    <t>دفاتر ذكريات ابوقفل صغير 10*12</t>
  </si>
  <si>
    <t>دفاتر ذكريات عادي 12*15</t>
  </si>
  <si>
    <t>دفاتر ذكريات عادي باكت 12*20</t>
  </si>
  <si>
    <t>دفاتر ذكريات مع وردة لوف 20*20</t>
  </si>
  <si>
    <t>نوت صغير يامبب نسختين 12*14</t>
  </si>
  <si>
    <t>دفاتر نوت ابوجر *300ورقة 8*19</t>
  </si>
  <si>
    <t>نوت جر A6</t>
  </si>
  <si>
    <t>نوت جر A7</t>
  </si>
  <si>
    <t>نوت جر 5*8</t>
  </si>
  <si>
    <t>نوت ابوجر 7*9 40ورقة</t>
  </si>
  <si>
    <t>نوت جلد نحيف 11*14</t>
  </si>
  <si>
    <t>نوت جلد برادو عريض 10*13</t>
  </si>
  <si>
    <t xml:space="preserve">نوت جلد شارب *100 </t>
  </si>
  <si>
    <t>نوت جلد بيزرس 9*12</t>
  </si>
  <si>
    <t xml:space="preserve">نوت جلد شارب *40 </t>
  </si>
  <si>
    <t>نوت جلد JM 35100</t>
  </si>
  <si>
    <t>نوت جلد اليمن الحديث</t>
  </si>
  <si>
    <t>نوت ارقام تلفون صغير</t>
  </si>
  <si>
    <t>نوت ارقام تلفون وسط 9*11</t>
  </si>
  <si>
    <t>نوت جلد مخرم 9*12</t>
  </si>
  <si>
    <t>نوت نسختين دوبلكت *100 13*16</t>
  </si>
  <si>
    <t>دفاتر سند قبض *12</t>
  </si>
  <si>
    <t>نوت جر خشبي 5 اقسام</t>
  </si>
  <si>
    <t>نوت جلد سما بكين 12*16</t>
  </si>
  <si>
    <t>نوت جلد 11*16</t>
  </si>
  <si>
    <t>نوت ارقام تلفون جلد وجلد 12*17</t>
  </si>
  <si>
    <t>العشر الأخير</t>
  </si>
  <si>
    <t>مضاف 124</t>
  </si>
  <si>
    <t xml:space="preserve">مجلة العربي </t>
  </si>
  <si>
    <t>مجلة الزهراء</t>
  </si>
  <si>
    <t>كتاب علم نفسك الخط</t>
  </si>
  <si>
    <t>دليل المتدرب لتعليم الصفوف الأولية</t>
  </si>
  <si>
    <t>تقويم الجيل الجديد</t>
  </si>
  <si>
    <t>لواصق اومجي 12*28 F007</t>
  </si>
  <si>
    <t>لواصق اومجي 21*31 A04</t>
  </si>
  <si>
    <t>لواصق اومجي 16*28 DK-019</t>
  </si>
  <si>
    <t>لواصق اومجي 18*33 MK-Y09</t>
  </si>
  <si>
    <t>لواصق اومجي 15*25 LFY-006</t>
  </si>
  <si>
    <t>لواصق استيكر منوع 12*34 A-037</t>
  </si>
  <si>
    <t>لواصق ارقام ورموز رياضية</t>
  </si>
  <si>
    <t>لواصق صور استيكر YMA-035</t>
  </si>
  <si>
    <t>لواصق صور OK-H838</t>
  </si>
  <si>
    <t>لواصق 23*38</t>
  </si>
  <si>
    <t>لواصق استيكر منوع 8*24</t>
  </si>
  <si>
    <t>لوصق 6*29</t>
  </si>
  <si>
    <t>هيا نتعلم الارقام جر 12*15</t>
  </si>
  <si>
    <t>استاند تعريف مكتبي مع ورق ملاحظات</t>
  </si>
  <si>
    <t>ملف ورق جلد A5</t>
  </si>
  <si>
    <t>قصاصات ملونة أورق ملاحظات *100</t>
  </si>
  <si>
    <t>مكرر207</t>
  </si>
  <si>
    <t>دفتر ملاحظات ومذكرات - دعاية</t>
  </si>
  <si>
    <t>ورق ملاحظات سينارلاين *1000</t>
  </si>
  <si>
    <t>ورق ملاحظات كامباب campap*480</t>
  </si>
  <si>
    <t>ورق ملاحظات لاصق *100 76*76</t>
  </si>
  <si>
    <t>ورق ملاحظات لاصق *100 76*101</t>
  </si>
  <si>
    <t>ورق ملاحظات لاصق قلب</t>
  </si>
  <si>
    <t>ورق ملاحظات لاصق فراشة</t>
  </si>
  <si>
    <t>ورق ملاحظات لاصق تفاح</t>
  </si>
  <si>
    <t>كراسة اكتب وامسح - ارقامي الجميلة</t>
  </si>
  <si>
    <t>كراسة اكتب وامسح - احرف انجليزي</t>
  </si>
  <si>
    <t>كتيب حصن المسلم</t>
  </si>
  <si>
    <t>الحزمي داعاية</t>
  </si>
  <si>
    <t>كتاب القاعدة البغدادية -الفاتحة وجز عم</t>
  </si>
  <si>
    <t>لواصق دفاتر 14*21</t>
  </si>
  <si>
    <t>و7تالف</t>
  </si>
  <si>
    <t>ادعية واذكار</t>
  </si>
  <si>
    <t>مذكرة الواجبات اليومية</t>
  </si>
  <si>
    <t>كنشات ملفات بلاستيكية</t>
  </si>
  <si>
    <t>لواصق باتمان 23*38</t>
  </si>
  <si>
    <t xml:space="preserve">لواصق الاسم والصف </t>
  </si>
  <si>
    <t>لواصق سيارات وحروف 8*29</t>
  </si>
  <si>
    <t>لواصق منوع صغير</t>
  </si>
  <si>
    <t>ربطات كتب ملون كبير 5سم</t>
  </si>
  <si>
    <t>ربطات كتب ملون صغير 3.5سم</t>
  </si>
  <si>
    <t>لواصق بالونات جهتين</t>
  </si>
  <si>
    <t xml:space="preserve">اوسمة تكريم التفوق </t>
  </si>
  <si>
    <t>ميداليات اوسمة</t>
  </si>
  <si>
    <t xml:space="preserve">منهج كتب مدرسية وزارية </t>
  </si>
  <si>
    <t xml:space="preserve">منهج كتب مدرسية طباعة </t>
  </si>
  <si>
    <t>بالونات كبير الواح</t>
  </si>
  <si>
    <t xml:space="preserve">بالونات ابوصفارة </t>
  </si>
  <si>
    <t>دفاتر هندسة ابو100</t>
  </si>
  <si>
    <t>دفاتر مدرسي انجليزي ابو60</t>
  </si>
  <si>
    <t>دفاتر مدرسي  انجليزي ابو80</t>
  </si>
  <si>
    <t>دفاتر مدرسي  ابو80</t>
  </si>
  <si>
    <t>دفاتر مدرسي  ابو60</t>
  </si>
  <si>
    <t>دفاتر مدرسي  ابو40</t>
  </si>
  <si>
    <t>دفاتر مدرسي  انجليزي ابو40</t>
  </si>
  <si>
    <t>حبر طابعات ذرار *120</t>
  </si>
  <si>
    <t>كيس</t>
  </si>
  <si>
    <t xml:space="preserve">حبر طابعات ابسون *100مل </t>
  </si>
  <si>
    <t>حبر طابعات ابسون *250مل</t>
  </si>
  <si>
    <t>حبر طابعات ابسون *500مل</t>
  </si>
  <si>
    <t>حبر طابعات HP ابر</t>
  </si>
  <si>
    <t>رنج بخاخ</t>
  </si>
  <si>
    <t>حبر طابعة شارب كيس 500جرام</t>
  </si>
  <si>
    <t>شرايح طابعة شارب</t>
  </si>
  <si>
    <t>حلزون كبس ملازم 12.5م *100</t>
  </si>
  <si>
    <t>حلزون كبس ملازم 3م *100</t>
  </si>
  <si>
    <t>حلزون كبس m7.5 *100</t>
  </si>
  <si>
    <t>حلزون كبس m10 *100</t>
  </si>
  <si>
    <t>حلزون دائري m10 *100</t>
  </si>
  <si>
    <t>حلزون دائري m13 *100</t>
  </si>
  <si>
    <t>حلزون دائري m6 *100</t>
  </si>
  <si>
    <t>حلزون اسطواني كبير</t>
  </si>
  <si>
    <t>حبر بركل</t>
  </si>
  <si>
    <t>أقلام سائل اكسترا *12 EXTRA K6</t>
  </si>
  <si>
    <t>أقلام سائل صيني GP-558  1,0</t>
  </si>
  <si>
    <t>أقلام صيني GP-558  1,0</t>
  </si>
  <si>
    <t>أقلام سائل صيني باكت اسود اصفر YJ-8878</t>
  </si>
  <si>
    <t xml:space="preserve"> ROLLER BL-2006 اقلام سائل رورل</t>
  </si>
  <si>
    <t>أقلام سائل يونيبل اصلي UB-157</t>
  </si>
  <si>
    <t>أقلام سائل شيزر SHYZR</t>
  </si>
  <si>
    <t>أقلام سائل شانجنج Sf-2101</t>
  </si>
  <si>
    <t xml:space="preserve">أقلام سائل بل بلونج ROLLER BALL BEILONG </t>
  </si>
  <si>
    <t>أقلام سائل كامكس COMIX 0,5 RP-601</t>
  </si>
  <si>
    <t xml:space="preserve">أقلام سائل كامكس COMIX 0,5 </t>
  </si>
  <si>
    <t>أقلام سائل رولر  LZG2518</t>
  </si>
  <si>
    <t xml:space="preserve"> FIAMINGO اقلام سائل فيمنج</t>
  </si>
  <si>
    <t>أقلام سائل ويزر *12</t>
  </si>
  <si>
    <t>أقلام سائل جولدكس GOLDEX *12</t>
  </si>
  <si>
    <t>أقلام سائل بايبل جريب  GP-308</t>
  </si>
  <si>
    <t>أقلام سائل شارب شبيه البايلوت SHARP *12</t>
  </si>
  <si>
    <t>أقلام سائل يونيبل شارب SHARP *12</t>
  </si>
  <si>
    <t xml:space="preserve">أقلام سائل شارب الأصلي SHARP </t>
  </si>
  <si>
    <t>أقلام سائل صيني منوع</t>
  </si>
  <si>
    <t>أقلام حبر منوع ابو100 بيع</t>
  </si>
  <si>
    <t>أقلام حبر ابوهسة بروميت *24  YJ-2011</t>
  </si>
  <si>
    <t>أقلام اكتب وامسح *24</t>
  </si>
  <si>
    <t>أقلام سائل منوع</t>
  </si>
  <si>
    <t>أقلام حبر قلمي *10 الواح</t>
  </si>
  <si>
    <t>أقلام قلمي *10 الواح</t>
  </si>
  <si>
    <t>أقلام حبر اوميجا الواح OMEGA *10</t>
  </si>
  <si>
    <t>أقلام حبر هسة الذهبي الواح *10</t>
  </si>
  <si>
    <t>مضاف إلى 534</t>
  </si>
  <si>
    <t>أقلام حبر اوميجا لماع OMEGA *6 الواح</t>
  </si>
  <si>
    <t>أقلام حبر ماتركس  MATREX *10 الواح</t>
  </si>
  <si>
    <t xml:space="preserve">أقلام SEMI BELLIX PEN ×8 الواح </t>
  </si>
  <si>
    <t>أقلام حبر لماع *12 الواح</t>
  </si>
  <si>
    <t>أقلام حبر الواح منوع *10</t>
  </si>
  <si>
    <t>أقلام حبر لماع الواح *6 RS-016</t>
  </si>
  <si>
    <t>أقلام حبر الامير ×50</t>
  </si>
  <si>
    <t>أقلام سائل نتراج مقرطس GPN201 *10</t>
  </si>
  <si>
    <t>من جرد محمد</t>
  </si>
  <si>
    <t xml:space="preserve">أقلام حبر كيلو مقرطس *12 </t>
  </si>
  <si>
    <t xml:space="preserve">أقلام ثنائي حبر ورصاص مقرطس *12 </t>
  </si>
  <si>
    <t>مضيئات *6</t>
  </si>
  <si>
    <t>أقلام حبر لماع تازو TUZOO *12 الواح</t>
  </si>
  <si>
    <t>طمش اطفال رجمة POPPOP</t>
  </si>
  <si>
    <t>سحابات شخاريط طويل</t>
  </si>
  <si>
    <t>سحابات شخاريط صغير</t>
  </si>
  <si>
    <t xml:space="preserve"> ام بي ثري علبة اصغر مقاس MP3</t>
  </si>
  <si>
    <t>عدسة تكبير</t>
  </si>
  <si>
    <t>أقلام حبر ايروس 2*1</t>
  </si>
  <si>
    <t>شناط سفر بناتي فلة عجلة</t>
  </si>
  <si>
    <t>زينة تعلوق ورد طويل</t>
  </si>
  <si>
    <t>مشمعات تغليف حراري 75*105 بيزرس bizrs</t>
  </si>
  <si>
    <t>أقلام بركل عادي</t>
  </si>
  <si>
    <t xml:space="preserve">كوافي قماش للمولد </t>
  </si>
  <si>
    <t>زينة كهربائية غمازات مولد</t>
  </si>
  <si>
    <t xml:space="preserve">زينة المولد ورقي تعلوق للمولد </t>
  </si>
  <si>
    <t>اعلام المولد رقم 1 أصغر مقاس</t>
  </si>
  <si>
    <t xml:space="preserve">أعلام المولد رقم 4 </t>
  </si>
  <si>
    <t>توالات المولد عادي</t>
  </si>
  <si>
    <t>زهافر لميع قراطيس خفيف اكياس صغير</t>
  </si>
  <si>
    <t>هدايا زجاجي 24*28</t>
  </si>
  <si>
    <t>هدايا زجاجي 15*20</t>
  </si>
  <si>
    <t>هدايا مغلف مع الاضاءة</t>
  </si>
  <si>
    <t>هدايا كرتوني 15*22</t>
  </si>
  <si>
    <t>هدايا كرتوني 25*36</t>
  </si>
  <si>
    <t>هدايا كرتوني 20*36</t>
  </si>
  <si>
    <t>حسابات تجاري CITHZEN CT-512</t>
  </si>
  <si>
    <t>تواصيل جلاكسي صغير عادي</t>
  </si>
  <si>
    <t>شواحن زينة</t>
  </si>
  <si>
    <t>شواحن اسود عادي جلاكسي</t>
  </si>
  <si>
    <t>راس شاحن كهرباء عادي</t>
  </si>
  <si>
    <t>تواصيل مسمار</t>
  </si>
  <si>
    <t>مضافة الى 337</t>
  </si>
  <si>
    <t>قاعدة شحن سحبة</t>
  </si>
  <si>
    <t>تواصيل ايفون</t>
  </si>
  <si>
    <t>تواصيل ايباد عريض</t>
  </si>
  <si>
    <t xml:space="preserve">قواعد لصة فلوس 815A DELI </t>
  </si>
  <si>
    <t>سبورات اكتب وامسح بلاستيك 14*21</t>
  </si>
  <si>
    <t xml:space="preserve">خرامة هندي PUNCH  NO.0102 </t>
  </si>
  <si>
    <t>سبورات اكتب وامسح 13*20</t>
  </si>
  <si>
    <t>خرامة هندي PUNCH 20007</t>
  </si>
  <si>
    <r>
      <rPr>
        <sz val="20"/>
        <color rgb="FFFF0000"/>
        <rFont val="Calibri"/>
        <family val="2"/>
        <scheme val="minor"/>
      </rPr>
      <t>خرامة</t>
    </r>
    <r>
      <rPr>
        <sz val="20"/>
        <color theme="1"/>
        <rFont val="Calibri"/>
        <family val="2"/>
        <charset val="178"/>
        <scheme val="minor"/>
      </rPr>
      <t xml:space="preserve"> هندي صغير PUNCH 20002</t>
    </r>
  </si>
  <si>
    <t>خرامة PUNCH SX 8352</t>
  </si>
  <si>
    <t xml:space="preserve">دباسة DELI  0423 </t>
  </si>
  <si>
    <t>خرامة جنرال NO 330</t>
  </si>
  <si>
    <t>دباسة خشب باورتكر 8512</t>
  </si>
  <si>
    <t>صلصال صغير علب *12  NO-1109</t>
  </si>
  <si>
    <t xml:space="preserve">ميداليات بوصلة باكت </t>
  </si>
  <si>
    <t xml:space="preserve">تلفون صوت ابوبطاريات N70 </t>
  </si>
  <si>
    <t xml:space="preserve">مبادئ القراءة المصورة ملون </t>
  </si>
  <si>
    <t xml:space="preserve">مبادئ القراءة المصورة عادي </t>
  </si>
  <si>
    <t xml:space="preserve">مبادئ القراءة المصورة كبير </t>
  </si>
  <si>
    <t>دفاتر رسم بياني A4</t>
  </si>
  <si>
    <t>كتاب تعلم معنا انجليزي</t>
  </si>
  <si>
    <t>كتاب تعلم معنا ارقامي الجميلة</t>
  </si>
  <si>
    <t>كوبي 100 حبة LOOU KORES 300 KOROS</t>
  </si>
  <si>
    <t xml:space="preserve"> جليدات غلافات تجليد كتب *100</t>
  </si>
  <si>
    <t>ورق شهايد اخضر خفيف A4 *100 ورقة</t>
  </si>
  <si>
    <t xml:space="preserve">ملصقات سيديهات </t>
  </si>
  <si>
    <t xml:space="preserve">ملاون لوح شمعي وخشبي ابوطير 42 قطعة </t>
  </si>
  <si>
    <t xml:space="preserve">أقلام ملاون في صفيحة باكت casber </t>
  </si>
  <si>
    <t xml:space="preserve">أقلام ملاون جهتين </t>
  </si>
  <si>
    <t>أقلام ملاون شمعي نتراج nataraj</t>
  </si>
  <si>
    <t xml:space="preserve">محافظ بطايق الطير الجمهوري </t>
  </si>
  <si>
    <t>مقالم كونان + دببه Gaadstart</t>
  </si>
  <si>
    <t xml:space="preserve">شناط خصر للجوالات qnb 2 b sport  </t>
  </si>
  <si>
    <t xml:space="preserve">أقلام علامة راس مشطوف *10 AS-218 </t>
  </si>
  <si>
    <t>أقلام شارب علامة *10</t>
  </si>
  <si>
    <t xml:space="preserve">أقلام علامة الجيل *12  ALJEEL </t>
  </si>
  <si>
    <t>أقلام علامة ماركر*10 MARKER</t>
  </si>
  <si>
    <t>أقلام كركت صغير دلفين</t>
  </si>
  <si>
    <t>شلك ورق 15 جرام</t>
  </si>
  <si>
    <t>شلك ورق 8 جرام</t>
  </si>
  <si>
    <t>شريط</t>
  </si>
  <si>
    <t xml:space="preserve">حسابات تجاري DJ-240D CASIO </t>
  </si>
  <si>
    <t xml:space="preserve">حسابات تجاري DJ-120D PLUS CASIO </t>
  </si>
  <si>
    <t>حسابات على شكل لابتوب CITITON CT-222C</t>
  </si>
  <si>
    <t>حسابات علمي كاسيو حديد FX-82 MS</t>
  </si>
  <si>
    <t>لمراجعة الكمية</t>
  </si>
  <si>
    <t>حسابات علمي كاسيو FX-991 ES</t>
  </si>
  <si>
    <t>حسابات JOINUS JS-82TL</t>
  </si>
  <si>
    <t>حسابات علمي كاسيو اصلي FX-82 MS</t>
  </si>
  <si>
    <t>حسابات علمي كاسيو عادي FX-82 MS</t>
  </si>
  <si>
    <t>حسابات علمي DELI L1710</t>
  </si>
  <si>
    <t xml:space="preserve">ملاون زجاجي لوح ابوريشة 12 لون </t>
  </si>
  <si>
    <t xml:space="preserve">ملاون لوح شمعي وخشبي ابوطير 24 قطعة </t>
  </si>
  <si>
    <t>اقلام ملاون مع المسطرة</t>
  </si>
  <si>
    <t xml:space="preserve">سنن أقلام رصاص *48 </t>
  </si>
  <si>
    <t>سنن أقلام رصاص اصلي HB  rotring</t>
  </si>
  <si>
    <t>سنن أقلام رصاص اصلي بايلوت 0.7 0.3 pilot</t>
  </si>
  <si>
    <t xml:space="preserve">سنن أقلام رصاص على شكل أقلام واصابع </t>
  </si>
  <si>
    <t xml:space="preserve">سنن أقلام رصاص عريض زجاجي </t>
  </si>
  <si>
    <t xml:space="preserve">سنن أقلام رصاص دل </t>
  </si>
  <si>
    <t>أقلام رصاص HB</t>
  </si>
  <si>
    <t>أقلام رصاص *12 2.4MM  FLAIR</t>
  </si>
  <si>
    <t>أقلام رصاص FIAMING *12</t>
  </si>
  <si>
    <t>أقلام رصاص ليرا</t>
  </si>
  <si>
    <t xml:space="preserve">أقلام رصاص بينسلس PENCIL </t>
  </si>
  <si>
    <t xml:space="preserve">أقلام رصاص بيس HB </t>
  </si>
  <si>
    <t>أقلام رصاص ماركو *12  MARCO</t>
  </si>
  <si>
    <t>أقلام رصاص بنسلس REY</t>
  </si>
  <si>
    <t>أقلام رصاص تعبئة عادي*48</t>
  </si>
  <si>
    <t>مسامير دباسة كبير 23/15</t>
  </si>
  <si>
    <t xml:space="preserve">مسامير دباسة 23/20 kanex </t>
  </si>
  <si>
    <t>أقلام الخط العربي *12</t>
  </si>
  <si>
    <t>مسامير دباسة صغير *10</t>
  </si>
  <si>
    <t>أقلام رصاص تعبئة مع المساحة*12 SUPER MAAS</t>
  </si>
  <si>
    <t>أقلام رصاص تعبئة *12 PILOT H-165</t>
  </si>
  <si>
    <t>أقلام رصاص تعبئة *12 PILOT H-185</t>
  </si>
  <si>
    <t>أقلام رصاص تعبئة ابوهسة ادد ADD GEL</t>
  </si>
  <si>
    <t xml:space="preserve">أقلام رصاص تعبئة ابوهسة ماتش لينك S16 </t>
  </si>
  <si>
    <t>أقلام رصاص تعبئة *10  FABER-CASTELL</t>
  </si>
  <si>
    <t>أقلام رصاص تعبئة منوع</t>
  </si>
  <si>
    <t>أقلام رصاص تعبئة Owner</t>
  </si>
  <si>
    <t>أقلام رصاص تعبئة *12 CHWEN S-102A</t>
  </si>
  <si>
    <t>أقلام رصاص تعبئة *12 MAIizi C&amp;T</t>
  </si>
  <si>
    <t>أقلام رصاص تعبئة *12 SMART</t>
  </si>
  <si>
    <t>دفاتر يومية جيب طقطق مع القلم 8*10  2025</t>
  </si>
  <si>
    <t>أقلام رصاص وحبر  MING Hao</t>
  </si>
  <si>
    <t>أقلام يومية صيني *12</t>
  </si>
  <si>
    <t>أقلام حبر لينك ديلوكس *12</t>
  </si>
  <si>
    <t>أقلام حبر لينك الانيق *12</t>
  </si>
  <si>
    <t>أقلام حبر نتراج جريبو *12</t>
  </si>
  <si>
    <t>؟؟؟</t>
  </si>
  <si>
    <t>للمراجعة</t>
  </si>
  <si>
    <t>أقلام حبر لينك النجم *12</t>
  </si>
  <si>
    <t>أقلام حبر زرار حديد ابوهسة JP</t>
  </si>
  <si>
    <t>أقلام حبر جولدكس GOLDEX *12</t>
  </si>
  <si>
    <t>أقلام حبر ابوهسة الذهبي *12</t>
  </si>
  <si>
    <t>أقلام حبر ابوهسة لينك السريع *12</t>
  </si>
  <si>
    <t xml:space="preserve">أقلام حبر الجوهر DIMOND *12 </t>
  </si>
  <si>
    <t xml:space="preserve">أقلام حبر BLACK PEARI NO-1507 </t>
  </si>
  <si>
    <t>أقلام حبر لينك السريع *10</t>
  </si>
  <si>
    <t>أقلام حبر G-588 *12 GELWK PEN</t>
  </si>
  <si>
    <t>أقلام حبر لينك شاروخان *12</t>
  </si>
  <si>
    <t>أقلام حبر الذكي *12</t>
  </si>
  <si>
    <t>أقلام حبر لينك تي 20 *12</t>
  </si>
  <si>
    <t>؟؟</t>
  </si>
  <si>
    <t>أقلام حبر ويس جينس *12</t>
  </si>
  <si>
    <t>أقلام حبر ابوهسة *12 COM IX - K36</t>
  </si>
  <si>
    <t>أقلام حبر لازور LAZORTUCOOIY *10</t>
  </si>
  <si>
    <t>أقلام حبر وبزر *12</t>
  </si>
  <si>
    <t>أقلام حبر شينيو *12  GP-2079</t>
  </si>
  <si>
    <t>أقلام حبر ماتركس MATREX *12</t>
  </si>
  <si>
    <t>أقلام حبر فلاير *12 ACE</t>
  </si>
  <si>
    <t>أقلام بينتونك *10</t>
  </si>
  <si>
    <t>أقلام لينك التوأم ابورأسين حبر + رصاص *12</t>
  </si>
  <si>
    <t xml:space="preserve">أقلام ملون ابوهسة *12 لوح </t>
  </si>
  <si>
    <t>أقلام حبر ابوهسة السريع *12 FAST</t>
  </si>
  <si>
    <t>أقلام حبر G-1181B *12</t>
  </si>
  <si>
    <t>أقلام حبر لينك الناعم *12 0,7</t>
  </si>
  <si>
    <t>أقلام حبر ابوهسة فلاير المتفوق *12</t>
  </si>
  <si>
    <t>أقلام حبر فاستر *12</t>
  </si>
  <si>
    <t>أقلام حبر ابوهسة الذكي *12</t>
  </si>
  <si>
    <t>أقلام حبر ستار ممتاز *12</t>
  </si>
  <si>
    <t>أقلام حبر ريبولت *12</t>
  </si>
  <si>
    <t>أقلام حبر العربي *10</t>
  </si>
  <si>
    <t>أقلام حبر ارنب G-11690 *12</t>
  </si>
  <si>
    <t>أقلام شارب ابوهسة *40</t>
  </si>
  <si>
    <t>سيديهات</t>
  </si>
  <si>
    <t xml:space="preserve">dvd 4.7 GB </t>
  </si>
  <si>
    <t xml:space="preserve">قراطيس سيديهات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</si>
</sst>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010000]yyyy/mm/dd;@"/>
    <numFmt numFmtId="166" formatCode="B1yyyy/mm/dd;@"/>
    <numFmt numFmtId="167" formatCode="0.0"/>
  </numFmts>
  <fonts count="27">
    <font>
      <sz val="11"/>
      <color theme="1"/>
      <name val="Calibri"/>
      <family val="2"/>
      <charset val="178"/>
      <scheme val="minor"/>
    </font>
    <font>
      <sz val="20"/>
      <color theme="0"/>
      <name val="Calibri"/>
      <family val="2"/>
      <charset val="178"/>
      <scheme val="minor"/>
    </font>
    <font>
      <sz val="28"/>
      <color theme="1"/>
      <name val="PT Bold Heading"/>
      <charset val="178"/>
    </font>
    <font>
      <sz val="36"/>
      <color theme="1"/>
      <name val="PT Bold Heading"/>
      <charset val="178"/>
    </font>
    <font>
      <sz val="20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 val="double"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20"/>
      <color rgb="FFFF0000"/>
      <name val="Calibri"/>
      <family val="2"/>
      <scheme val="minor"/>
    </font>
    <font>
      <sz val="8"/>
      <name val="Calibri"/>
      <family val="2"/>
      <charset val="178"/>
      <scheme val="minor"/>
    </font>
    <font>
      <b/>
      <i/>
      <u val="double"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FF0000"/>
      <name val="Calibri"/>
      <family val="2"/>
      <charset val="178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hair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</borders>
  <cellStyleXfs count="7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6" fillId="0" borderId="0"/>
    <xf numFmtId="164" fontId="6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 applyAlignment="1">
      <alignment horizontal="center" shrinkToFit="1"/>
    </xf>
    <xf numFmtId="0" fontId="3" fillId="0" borderId="1" xfId="0" applyFont="1" applyBorder="1" applyAlignment="1">
      <alignment shrinkToFit="1"/>
    </xf>
    <xf numFmtId="0" fontId="4" fillId="0" borderId="0" xfId="0" applyFont="1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 shrinkToFit="1"/>
    </xf>
    <xf numFmtId="0" fontId="8" fillId="2" borderId="17" xfId="1" applyFont="1" applyFill="1" applyBorder="1" applyAlignment="1">
      <alignment horizontal="center" vertical="center" shrinkToFit="1"/>
    </xf>
    <xf numFmtId="0" fontId="5" fillId="2" borderId="17" xfId="1" applyFont="1" applyFill="1" applyBorder="1" applyAlignment="1">
      <alignment horizontal="center" vertical="center" shrinkToFit="1"/>
    </xf>
    <xf numFmtId="0" fontId="11" fillId="2" borderId="17" xfId="1" applyFont="1" applyFill="1" applyBorder="1" applyAlignment="1">
      <alignment horizontal="center" vertical="center" shrinkToFit="1"/>
    </xf>
    <xf numFmtId="0" fontId="12" fillId="2" borderId="17" xfId="1" applyFont="1" applyFill="1" applyBorder="1" applyAlignment="1">
      <alignment horizontal="center" vertical="center" shrinkToFit="1"/>
    </xf>
    <xf numFmtId="0" fontId="13" fillId="2" borderId="17" xfId="1" applyFont="1" applyFill="1" applyBorder="1" applyAlignment="1">
      <alignment horizontal="center" vertical="center" wrapText="1" shrinkToFit="1"/>
    </xf>
    <xf numFmtId="3" fontId="1" fillId="0" borderId="0" xfId="0" applyNumberFormat="1" applyFont="1" applyAlignment="1">
      <alignment horizontal="center" vertical="center" shrinkToFit="1"/>
    </xf>
    <xf numFmtId="1" fontId="1" fillId="0" borderId="0" xfId="0" applyNumberFormat="1" applyFont="1" applyAlignment="1">
      <alignment shrinkToFit="1"/>
    </xf>
    <xf numFmtId="166" fontId="14" fillId="3" borderId="19" xfId="1" applyNumberFormat="1" applyFont="1" applyFill="1" applyBorder="1" applyAlignment="1" applyProtection="1">
      <alignment horizontal="center" vertical="center" shrinkToFit="1" readingOrder="1"/>
      <protection locked="0"/>
    </xf>
    <xf numFmtId="1" fontId="4" fillId="0" borderId="20" xfId="0" applyNumberFormat="1" applyFont="1" applyBorder="1" applyAlignment="1" applyProtection="1">
      <alignment horizontal="center" shrinkToFit="1"/>
      <protection locked="0"/>
    </xf>
    <xf numFmtId="1" fontId="4" fillId="0" borderId="21" xfId="0" applyNumberFormat="1" applyFont="1" applyBorder="1" applyAlignment="1" applyProtection="1">
      <alignment horizontal="center" shrinkToFit="1"/>
      <protection locked="0"/>
    </xf>
    <xf numFmtId="3" fontId="14" fillId="0" borderId="22" xfId="0" applyNumberFormat="1" applyFont="1" applyBorder="1" applyAlignment="1">
      <alignment horizontal="center" shrinkToFit="1"/>
    </xf>
    <xf numFmtId="3" fontId="14" fillId="0" borderId="22" xfId="0" applyNumberFormat="1" applyFont="1" applyBorder="1" applyAlignment="1" applyProtection="1">
      <alignment horizontal="center" shrinkToFit="1"/>
      <protection locked="0"/>
    </xf>
    <xf numFmtId="0" fontId="15" fillId="0" borderId="23" xfId="1" applyFont="1" applyBorder="1" applyAlignment="1">
      <alignment horizontal="center"/>
    </xf>
    <xf numFmtId="167" fontId="15" fillId="0" borderId="23" xfId="1" applyNumberFormat="1" applyFont="1" applyBorder="1" applyAlignment="1">
      <alignment horizontal="center"/>
    </xf>
    <xf numFmtId="0" fontId="5" fillId="4" borderId="23" xfId="1" applyFont="1" applyFill="1" applyBorder="1" applyAlignment="1">
      <alignment horizontal="center"/>
    </xf>
    <xf numFmtId="3" fontId="15" fillId="0" borderId="23" xfId="1" applyNumberFormat="1" applyFont="1" applyBorder="1" applyAlignment="1">
      <alignment horizontal="center"/>
    </xf>
    <xf numFmtId="3" fontId="4" fillId="0" borderId="24" xfId="0" applyNumberFormat="1" applyFont="1" applyBorder="1" applyAlignment="1" applyProtection="1">
      <alignment horizontal="center" shrinkToFit="1"/>
      <protection locked="0"/>
    </xf>
    <xf numFmtId="3" fontId="1" fillId="0" borderId="0" xfId="0" applyNumberFormat="1" applyFont="1" applyAlignment="1">
      <alignment horizontal="center" shrinkToFit="1"/>
    </xf>
    <xf numFmtId="0" fontId="1" fillId="0" borderId="0" xfId="0" applyFont="1" applyAlignment="1">
      <alignment shrinkToFit="1"/>
    </xf>
    <xf numFmtId="3" fontId="4" fillId="0" borderId="0" xfId="0" applyNumberFormat="1" applyFont="1" applyAlignment="1">
      <alignment horizontal="center" shrinkToFit="1"/>
    </xf>
    <xf numFmtId="166" fontId="14" fillId="3" borderId="19" xfId="1" applyNumberFormat="1" applyFont="1" applyFill="1" applyBorder="1" applyAlignment="1">
      <alignment horizontal="center" vertical="center" shrinkToFit="1" readingOrder="1"/>
    </xf>
    <xf numFmtId="1" fontId="4" fillId="0" borderId="25" xfId="0" applyNumberFormat="1" applyFont="1" applyBorder="1" applyAlignment="1">
      <alignment horizontal="center" vertical="center" shrinkToFit="1"/>
    </xf>
    <xf numFmtId="1" fontId="4" fillId="0" borderId="26" xfId="0" applyNumberFormat="1" applyFont="1" applyBorder="1" applyAlignment="1">
      <alignment horizontal="center" vertical="center" shrinkToFit="1"/>
    </xf>
    <xf numFmtId="4" fontId="16" fillId="0" borderId="26" xfId="0" applyNumberFormat="1" applyFont="1" applyBorder="1" applyAlignment="1">
      <alignment horizontal="center" vertical="center" shrinkToFit="1"/>
    </xf>
    <xf numFmtId="3" fontId="16" fillId="0" borderId="26" xfId="0" applyNumberFormat="1" applyFont="1" applyBorder="1" applyAlignment="1">
      <alignment horizontal="center" vertical="center" shrinkToFit="1"/>
    </xf>
    <xf numFmtId="4" fontId="16" fillId="0" borderId="28" xfId="0" applyNumberFormat="1" applyFont="1" applyBorder="1" applyAlignment="1">
      <alignment horizontal="center" vertical="center" shrinkToFit="1"/>
    </xf>
    <xf numFmtId="3" fontId="17" fillId="0" borderId="27" xfId="0" applyNumberFormat="1" applyFont="1" applyBorder="1" applyAlignment="1">
      <alignment horizontal="center" vertical="center" shrinkToFit="1"/>
    </xf>
    <xf numFmtId="3" fontId="17" fillId="0" borderId="26" xfId="0" applyNumberFormat="1" applyFont="1" applyBorder="1" applyAlignment="1">
      <alignment horizontal="center" vertical="center" shrinkToFit="1"/>
    </xf>
    <xf numFmtId="0" fontId="15" fillId="0" borderId="29" xfId="1" applyFont="1" applyBorder="1" applyAlignment="1">
      <alignment horizontal="center" vertical="center"/>
    </xf>
    <xf numFmtId="3" fontId="17" fillId="0" borderId="32" xfId="0" applyNumberFormat="1" applyFont="1" applyBorder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center" vertical="top" shrinkToFit="1"/>
    </xf>
    <xf numFmtId="1" fontId="4" fillId="0" borderId="20" xfId="0" applyNumberFormat="1" applyFont="1" applyBorder="1" applyAlignment="1">
      <alignment horizontal="center" shrinkToFit="1"/>
    </xf>
    <xf numFmtId="0" fontId="8" fillId="0" borderId="0" xfId="1" applyFont="1"/>
    <xf numFmtId="3" fontId="8" fillId="0" borderId="0" xfId="1" applyNumberFormat="1" applyFont="1"/>
    <xf numFmtId="0" fontId="9" fillId="0" borderId="0" xfId="1" applyFont="1"/>
    <xf numFmtId="1" fontId="4" fillId="5" borderId="20" xfId="0" applyNumberFormat="1" applyFont="1" applyFill="1" applyBorder="1" applyAlignment="1" applyProtection="1">
      <alignment horizontal="center" shrinkToFit="1"/>
      <protection locked="0"/>
    </xf>
    <xf numFmtId="1" fontId="20" fillId="0" borderId="20" xfId="0" applyNumberFormat="1" applyFont="1" applyBorder="1" applyAlignment="1" applyProtection="1">
      <alignment horizontal="center" shrinkToFit="1"/>
      <protection locked="0"/>
    </xf>
    <xf numFmtId="1" fontId="4" fillId="0" borderId="20" xfId="0" quotePrefix="1" applyNumberFormat="1" applyFont="1" applyBorder="1" applyAlignment="1" applyProtection="1">
      <alignment horizontal="center" shrinkToFit="1"/>
      <protection locked="0"/>
    </xf>
    <xf numFmtId="1" fontId="4" fillId="6" borderId="20" xfId="0" applyNumberFormat="1" applyFont="1" applyFill="1" applyBorder="1" applyAlignment="1" applyProtection="1">
      <alignment horizontal="center" shrinkToFit="1"/>
      <protection locked="0"/>
    </xf>
    <xf numFmtId="1" fontId="4" fillId="5" borderId="21" xfId="0" applyNumberFormat="1" applyFont="1" applyFill="1" applyBorder="1" applyAlignment="1" applyProtection="1">
      <alignment horizontal="center" shrinkToFit="1"/>
      <protection locked="0"/>
    </xf>
    <xf numFmtId="3" fontId="14" fillId="5" borderId="22" xfId="0" applyNumberFormat="1" applyFont="1" applyFill="1" applyBorder="1" applyAlignment="1">
      <alignment horizontal="center" shrinkToFit="1"/>
    </xf>
    <xf numFmtId="3" fontId="14" fillId="5" borderId="22" xfId="0" applyNumberFormat="1" applyFont="1" applyFill="1" applyBorder="1" applyAlignment="1" applyProtection="1">
      <alignment horizontal="center" shrinkToFit="1"/>
      <protection locked="0"/>
    </xf>
    <xf numFmtId="1" fontId="4" fillId="3" borderId="20" xfId="0" applyNumberFormat="1" applyFont="1" applyFill="1" applyBorder="1" applyAlignment="1" applyProtection="1">
      <alignment horizontal="center" shrinkToFit="1"/>
      <protection locked="0"/>
    </xf>
    <xf numFmtId="1" fontId="4" fillId="3" borderId="21" xfId="0" applyNumberFormat="1" applyFont="1" applyFill="1" applyBorder="1" applyAlignment="1" applyProtection="1">
      <alignment horizontal="center" shrinkToFit="1"/>
      <protection locked="0"/>
    </xf>
    <xf numFmtId="3" fontId="14" fillId="3" borderId="22" xfId="0" applyNumberFormat="1" applyFont="1" applyFill="1" applyBorder="1" applyAlignment="1">
      <alignment horizontal="center" shrinkToFit="1"/>
    </xf>
    <xf numFmtId="3" fontId="14" fillId="3" borderId="22" xfId="0" applyNumberFormat="1" applyFont="1" applyFill="1" applyBorder="1" applyAlignment="1" applyProtection="1">
      <alignment horizontal="center" shrinkToFit="1"/>
      <protection locked="0"/>
    </xf>
    <xf numFmtId="0" fontId="22" fillId="2" borderId="17" xfId="1" applyFont="1" applyFill="1" applyBorder="1" applyAlignment="1">
      <alignment horizontal="center" vertical="center" shrinkToFit="1"/>
    </xf>
    <xf numFmtId="0" fontId="11" fillId="0" borderId="0" xfId="5" applyFont="1" applyAlignment="1">
      <alignment horizontal="center" vertical="center" wrapText="1"/>
    </xf>
    <xf numFmtId="0" fontId="6" fillId="0" borderId="0" xfId="5"/>
    <xf numFmtId="0" fontId="6" fillId="0" borderId="0" xfId="5" applyAlignment="1">
      <alignment horizontal="center" vertical="center"/>
    </xf>
    <xf numFmtId="0" fontId="23" fillId="0" borderId="0" xfId="5" applyFont="1"/>
    <xf numFmtId="0" fontId="6" fillId="0" borderId="0" xfId="5" applyAlignment="1">
      <alignment vertical="center" wrapText="1"/>
    </xf>
    <xf numFmtId="0" fontId="6" fillId="7" borderId="0" xfId="5" applyFill="1"/>
    <xf numFmtId="0" fontId="23" fillId="7" borderId="0" xfId="5" applyFont="1" applyFill="1"/>
    <xf numFmtId="4" fontId="6" fillId="0" borderId="0" xfId="5" applyNumberFormat="1" applyAlignment="1">
      <alignment vertical="center" wrapText="1"/>
    </xf>
    <xf numFmtId="164" fontId="0" fillId="0" borderId="0" xfId="2" applyFont="1"/>
    <xf numFmtId="164" fontId="0" fillId="0" borderId="0" xfId="2" applyFont="1" applyAlignment="1">
      <alignment vertical="center" wrapText="1"/>
    </xf>
    <xf numFmtId="0" fontId="24" fillId="0" borderId="0" xfId="0" applyFont="1" applyAlignment="1">
      <alignment horizontal="center" vertical="center" shrinkToFit="1"/>
    </xf>
    <xf numFmtId="0" fontId="24" fillId="0" borderId="0" xfId="0" applyFont="1" applyAlignment="1">
      <alignment shrinkToFit="1"/>
    </xf>
    <xf numFmtId="1" fontId="24" fillId="0" borderId="0" xfId="0" applyNumberFormat="1" applyFont="1" applyAlignment="1">
      <alignment shrinkToFit="1"/>
    </xf>
    <xf numFmtId="1" fontId="4" fillId="7" borderId="20" xfId="0" applyNumberFormat="1" applyFont="1" applyFill="1" applyBorder="1" applyAlignment="1" applyProtection="1">
      <alignment horizontal="center" shrinkToFit="1"/>
      <protection locked="0"/>
    </xf>
    <xf numFmtId="1" fontId="25" fillId="0" borderId="20" xfId="0" applyNumberFormat="1" applyFont="1" applyBorder="1" applyAlignment="1" applyProtection="1">
      <alignment horizontal="center" shrinkToFit="1"/>
      <protection locked="0"/>
    </xf>
    <xf numFmtId="1" fontId="24" fillId="0" borderId="20" xfId="0" applyNumberFormat="1" applyFont="1" applyBorder="1" applyAlignment="1" applyProtection="1">
      <alignment horizontal="center" shrinkToFit="1"/>
      <protection locked="0"/>
    </xf>
    <xf numFmtId="3" fontId="26" fillId="0" borderId="22" xfId="0" applyNumberFormat="1" applyFont="1" applyBorder="1" applyAlignment="1" applyProtection="1">
      <alignment horizontal="center" shrinkToFit="1"/>
      <protection locked="0"/>
    </xf>
    <xf numFmtId="3" fontId="14" fillId="7" borderId="22" xfId="0" applyNumberFormat="1" applyFont="1" applyFill="1" applyBorder="1" applyAlignment="1" applyProtection="1">
      <alignment horizontal="center" shrinkToFit="1"/>
      <protection locked="0"/>
    </xf>
    <xf numFmtId="1" fontId="4" fillId="7" borderId="21" xfId="0" applyNumberFormat="1" applyFont="1" applyFill="1" applyBorder="1" applyAlignment="1" applyProtection="1">
      <alignment horizontal="center" shrinkToFit="1"/>
      <protection locked="0"/>
    </xf>
    <xf numFmtId="3" fontId="14" fillId="7" borderId="22" xfId="0" applyNumberFormat="1" applyFont="1" applyFill="1" applyBorder="1" applyAlignment="1">
      <alignment horizontal="center" shrinkToFit="1"/>
    </xf>
    <xf numFmtId="167" fontId="15" fillId="0" borderId="29" xfId="1" applyNumberFormat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shrinkToFit="1"/>
    </xf>
    <xf numFmtId="0" fontId="10" fillId="2" borderId="18" xfId="1" applyFont="1" applyFill="1" applyBorder="1" applyAlignment="1">
      <alignment horizontal="center" vertical="center" shrinkToFit="1"/>
    </xf>
    <xf numFmtId="4" fontId="16" fillId="0" borderId="27" xfId="0" applyNumberFormat="1" applyFont="1" applyBorder="1" applyAlignment="1">
      <alignment horizontal="center" vertical="center" shrinkToFit="1"/>
    </xf>
    <xf numFmtId="4" fontId="16" fillId="0" borderId="26" xfId="0" applyNumberFormat="1" applyFont="1" applyBorder="1" applyAlignment="1">
      <alignment horizontal="center" vertical="center" shrinkToFit="1"/>
    </xf>
    <xf numFmtId="3" fontId="17" fillId="0" borderId="30" xfId="0" applyNumberFormat="1" applyFont="1" applyBorder="1" applyAlignment="1">
      <alignment horizontal="center" vertical="center" shrinkToFit="1"/>
    </xf>
    <xf numFmtId="3" fontId="17" fillId="0" borderId="3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shrinkToFit="1"/>
    </xf>
    <xf numFmtId="165" fontId="3" fillId="0" borderId="1" xfId="0" applyNumberFormat="1" applyFont="1" applyBorder="1" applyAlignment="1">
      <alignment horizontal="right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14" xfId="0" applyFont="1" applyFill="1" applyBorder="1" applyAlignment="1">
      <alignment horizontal="center" vertical="center" shrinkToFit="1"/>
    </xf>
    <xf numFmtId="0" fontId="7" fillId="2" borderId="5" xfId="1" applyFont="1" applyFill="1" applyBorder="1" applyAlignment="1">
      <alignment horizontal="center" vertical="center" shrinkToFit="1"/>
    </xf>
    <xf numFmtId="0" fontId="7" fillId="2" borderId="15" xfId="1" applyFont="1" applyFill="1" applyBorder="1" applyAlignment="1">
      <alignment horizontal="center" vertical="center" shrinkToFit="1"/>
    </xf>
    <xf numFmtId="0" fontId="7" fillId="2" borderId="6" xfId="1" applyFont="1" applyFill="1" applyBorder="1" applyAlignment="1">
      <alignment horizontal="center" vertical="center" shrinkToFit="1"/>
    </xf>
    <xf numFmtId="0" fontId="7" fillId="2" borderId="16" xfId="1" applyFont="1" applyFill="1" applyBorder="1" applyAlignment="1">
      <alignment horizontal="center" vertical="center" shrinkToFi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shrinkToFit="1"/>
    </xf>
    <xf numFmtId="0" fontId="8" fillId="2" borderId="9" xfId="1" applyFont="1" applyFill="1" applyBorder="1" applyAlignment="1">
      <alignment horizontal="center" vertical="center" shrinkToFit="1"/>
    </xf>
    <xf numFmtId="0" fontId="8" fillId="2" borderId="10" xfId="1" applyFont="1" applyFill="1" applyBorder="1" applyAlignment="1">
      <alignment horizontal="center" vertical="center" shrinkToFit="1"/>
    </xf>
    <xf numFmtId="0" fontId="9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 wrapText="1" shrinkToFit="1"/>
    </xf>
    <xf numFmtId="0" fontId="10" fillId="2" borderId="16" xfId="1" applyFont="1" applyFill="1" applyBorder="1" applyAlignment="1">
      <alignment horizontal="center" vertical="center" wrapText="1" shrinkToFit="1"/>
    </xf>
  </cellXfs>
  <cellStyles count="7">
    <cellStyle name="Comma 2" xfId="2" xr:uid="{00000000-0005-0000-0000-000000000000}"/>
    <cellStyle name="Comma 2 2" xfId="6" xr:uid="{6EA50EBC-8D3D-41ED-9436-E1123C462502}"/>
    <cellStyle name="Hyperlink 2" xfId="3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عادي 2" xfId="5" xr:uid="{4399244A-94A3-455F-A173-22DAC03D35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666750</xdr:colOff>
      <xdr:row>0</xdr:row>
      <xdr:rowOff>504825</xdr:rowOff>
    </xdr:from>
    <xdr:to>
      <xdr:col>20</xdr:col>
      <xdr:colOff>1019175</xdr:colOff>
      <xdr:row>0</xdr:row>
      <xdr:rowOff>895350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8C716CE8-6011-45A4-ACCC-DFB185333BD6}"/>
            </a:ext>
          </a:extLst>
        </xdr:cNvPr>
        <xdr:cNvSpPr/>
      </xdr:nvSpPr>
      <xdr:spPr>
        <a:xfrm>
          <a:off x="11219935650" y="504825"/>
          <a:ext cx="838200" cy="390525"/>
        </a:xfrm>
        <a:prstGeom prst="roundRect">
          <a:avLst>
            <a:gd name="adj" fmla="val 15190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b"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contourClr>
              <a:schemeClr val="accent2">
                <a:tint val="20000"/>
              </a:schemeClr>
            </a:contourClr>
          </a:sp3d>
        </a:bodyPr>
        <a:lstStyle/>
        <a:p>
          <a:pPr algn="ctr" rtl="1"/>
          <a:r>
            <a:rPr lang="ar-SA" sz="1600" b="0" cap="none" spc="50">
              <a:ln w="11430"/>
              <a:solidFill>
                <a:schemeClr val="tx2">
                  <a:lumMod val="50000"/>
                </a:schemeClr>
              </a:solidFill>
              <a:effectLst/>
              <a:latin typeface="Monotype Koufi" pitchFamily="2" charset="-78"/>
              <a:ea typeface="Monotype Koufi" pitchFamily="2" charset="-78"/>
              <a:cs typeface="PT Bold Heading" pitchFamily="2" charset="-78"/>
            </a:rPr>
            <a:t>الرئيسية</a:t>
          </a:r>
          <a:endParaRPr lang="ar-SA" sz="1600" b="0" cap="none" spc="50">
            <a:ln w="11430"/>
            <a:solidFill>
              <a:schemeClr val="tx2">
                <a:lumMod val="50000"/>
              </a:schemeClr>
            </a:soli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Monotype Koufi" pitchFamily="2" charset="-78"/>
            <a:ea typeface="Monotype Koufi" pitchFamily="2" charset="-78"/>
            <a:cs typeface="PT Bold Heading" pitchFamily="2" charset="-7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580;&#1605;&#1575;&#1604;%20&#1575;&#1604;&#1583;&#1605;&#1575;&#1605;\&#1575;&#1593;&#1605;&#1575;&#1604;%20&#1608;&#1605;&#1585;&#1575;&#1580;&#1593;&#1577;%20&#1581;&#1587;&#1575;&#1576;&#1575;&#1578;\&#8235;&#8235;&#1606;&#1592;&#1575;&#1605;%20&#1605;&#1581;&#1575;&#1587;&#1576;&#1610;%20&#1575;&#1604;&#1585;&#1575;&#1574;&#1583;%20&#1604;&#1604;&#1578;&#1580;&#1575;&#1585;&#1577;\&#8235;&#8235;&#8235;&#8235;&#1606;&#1592;&#1575;&#1605;%20&#1605;&#1581;&#1575;&#1587;&#1576;&#1610;%20&#1605;&#1576;&#1587;&#1591;%20%20-%20&#1581;&#1587;&#1575;&#1576;&#1575;&#1578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قائمة الرئيسية (2)"/>
      <sheetName val="صفحة القيود"/>
      <sheetName val="صفحة القيود (2)"/>
      <sheetName val="القائمة الرئيسية "/>
      <sheetName val="الميزانية"/>
      <sheetName val="حساب رأس المال"/>
      <sheetName val="قائمة الدخل"/>
      <sheetName val="سجل العملاء ديون الزباين"/>
      <sheetName val="المصروفات"/>
      <sheetName val="الصندوق"/>
      <sheetName val="ارصدة بنكية ومصرفية "/>
      <sheetName val="عميل"/>
      <sheetName val="عميل (2)"/>
      <sheetName val="عميل (3)"/>
      <sheetName val="عميل (4)"/>
      <sheetName val="عميل (5)"/>
      <sheetName val="عميل (6)"/>
      <sheetName val="عميل (7)"/>
      <sheetName val="عميل (8)"/>
      <sheetName val="عميل (9)"/>
      <sheetName val="عميل (10)"/>
      <sheetName val="عميل (11)"/>
      <sheetName val="عميل (12)"/>
      <sheetName val="عميل (13)"/>
      <sheetName val="عميل (14)"/>
      <sheetName val="عميل (15)"/>
      <sheetName val="عميل (16)"/>
      <sheetName val="عميل (17)"/>
      <sheetName val="عميل (18)"/>
      <sheetName val="عميل (19)"/>
      <sheetName val="عميل (20)"/>
      <sheetName val="عميل (21)"/>
      <sheetName val="عميل (22)"/>
      <sheetName val="عميل (23)"/>
      <sheetName val="عميل (24)"/>
      <sheetName val="عميل (25)"/>
      <sheetName val="عميل (26)"/>
      <sheetName val="عميل (27)"/>
      <sheetName val="عميل (28)"/>
      <sheetName val="عميل (29)"/>
      <sheetName val="عميل (30)"/>
      <sheetName val="عميل (31)"/>
      <sheetName val="سجل الموردين ديون التجار"/>
      <sheetName val="حساب (11)"/>
      <sheetName val="حساب (12)"/>
      <sheetName val="حساب (13)"/>
      <sheetName val="حساب (14)"/>
      <sheetName val="حساب (15)"/>
      <sheetName val="حساب (16)"/>
      <sheetName val="حساب (17)"/>
      <sheetName val="حساب (18)"/>
      <sheetName val="حساب (19)"/>
      <sheetName val="حساب (20)"/>
    </sheetNames>
    <sheetDataSet>
      <sheetData sheetId="0"/>
      <sheetData sheetId="1"/>
      <sheetData sheetId="2"/>
      <sheetData sheetId="3"/>
      <sheetData sheetId="4">
        <row r="1">
          <cell r="F1">
            <v>45638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AD08-F844-42C1-94B2-CB05E00E80B1}">
  <dimension ref="A1:O2296"/>
  <sheetViews>
    <sheetView tabSelected="1" topLeftCell="D1" workbookViewId="0">
      <pane ySplit="1" topLeftCell="A2117" activePane="bottomLeft" state="frozen"/>
      <selection activeCell="D1" sqref="D1"/>
      <selection pane="bottomLeft" activeCell="L2285" sqref="L2285"/>
    </sheetView>
  </sheetViews>
  <sheetFormatPr defaultColWidth="9" defaultRowHeight="15"/>
  <cols>
    <col min="1" max="1" width="0" style="56" hidden="1" customWidth="1"/>
    <col min="2" max="2" width="9" style="56" hidden="1" customWidth="1"/>
    <col min="3" max="3" width="38.28515625" style="56" hidden="1" customWidth="1"/>
    <col min="4" max="4" width="34.7109375" style="56" customWidth="1"/>
    <col min="5" max="5" width="11" style="56" hidden="1" customWidth="1"/>
    <col min="6" max="6" width="14.85546875" style="56" customWidth="1"/>
    <col min="7" max="7" width="7.42578125" style="56" customWidth="1"/>
    <col min="8" max="8" width="7.140625" style="56" customWidth="1"/>
    <col min="9" max="9" width="12" style="56" customWidth="1"/>
    <col min="10" max="11" width="6.42578125" style="56" customWidth="1"/>
    <col min="12" max="12" width="14" style="56" customWidth="1"/>
    <col min="13" max="13" width="13.28515625" style="56" customWidth="1"/>
    <col min="14" max="14" width="10.5703125" style="56" customWidth="1"/>
    <col min="15" max="15" width="10.28515625" style="56" customWidth="1"/>
    <col min="16" max="16" width="11.42578125" style="56" customWidth="1"/>
    <col min="17" max="17" width="9" style="56" customWidth="1"/>
    <col min="18" max="16384" width="9" style="56"/>
  </cols>
  <sheetData>
    <row r="1" spans="1:15" ht="30">
      <c r="A1" s="55" t="s">
        <v>2</v>
      </c>
      <c r="B1" s="56" t="s">
        <v>1170</v>
      </c>
      <c r="C1" s="56" t="s">
        <v>1171</v>
      </c>
      <c r="D1" s="55" t="s">
        <v>1172</v>
      </c>
      <c r="E1" s="55" t="s">
        <v>1173</v>
      </c>
      <c r="F1" s="57" t="s">
        <v>4</v>
      </c>
      <c r="G1" s="57" t="s">
        <v>5</v>
      </c>
      <c r="H1" s="57" t="s">
        <v>23</v>
      </c>
      <c r="I1" s="55" t="s">
        <v>7</v>
      </c>
      <c r="J1" s="55" t="s">
        <v>1174</v>
      </c>
      <c r="K1" s="55" t="s">
        <v>1175</v>
      </c>
      <c r="L1" s="55" t="s">
        <v>1176</v>
      </c>
      <c r="M1" s="55" t="s">
        <v>1177</v>
      </c>
      <c r="N1" s="55" t="s">
        <v>12</v>
      </c>
      <c r="O1" s="55" t="s">
        <v>1178</v>
      </c>
    </row>
    <row r="2" spans="1:15" ht="30">
      <c r="A2" s="56">
        <v>1474</v>
      </c>
      <c r="B2" s="56">
        <v>1474</v>
      </c>
      <c r="C2" s="56">
        <v>1474</v>
      </c>
      <c r="D2" s="56" t="s">
        <v>1215</v>
      </c>
      <c r="F2" s="56" t="s">
        <v>1198</v>
      </c>
      <c r="G2" s="56">
        <v>100</v>
      </c>
      <c r="H2" s="56">
        <v>0</v>
      </c>
      <c r="J2" s="59" t="s">
        <v>1181</v>
      </c>
      <c r="K2" s="59">
        <v>1</v>
      </c>
      <c r="L2" s="59">
        <f t="shared" ref="L2:L65" si="0">H2*I2</f>
        <v>0</v>
      </c>
      <c r="M2" s="59"/>
    </row>
    <row r="3" spans="1:15" ht="30">
      <c r="A3" s="56">
        <v>320</v>
      </c>
      <c r="B3" s="56">
        <v>320</v>
      </c>
      <c r="C3" s="56">
        <v>320</v>
      </c>
      <c r="D3" s="56" t="s">
        <v>1255</v>
      </c>
      <c r="F3" s="58" t="s">
        <v>1247</v>
      </c>
      <c r="G3" s="56">
        <v>20</v>
      </c>
      <c r="H3" s="56">
        <v>0</v>
      </c>
      <c r="I3" s="56">
        <v>350</v>
      </c>
      <c r="J3" s="59" t="s">
        <v>1181</v>
      </c>
      <c r="K3" s="59">
        <v>1</v>
      </c>
      <c r="L3" s="59">
        <f t="shared" si="0"/>
        <v>0</v>
      </c>
      <c r="M3" s="59"/>
    </row>
    <row r="4" spans="1:15" ht="30">
      <c r="A4" s="56">
        <v>778</v>
      </c>
      <c r="B4" s="56">
        <v>778</v>
      </c>
      <c r="C4" s="56">
        <v>778</v>
      </c>
      <c r="D4" s="56" t="s">
        <v>1284</v>
      </c>
      <c r="F4" s="56" t="s">
        <v>1183</v>
      </c>
      <c r="G4" s="56">
        <v>12</v>
      </c>
      <c r="H4" s="56">
        <v>0</v>
      </c>
      <c r="I4" s="56">
        <v>200</v>
      </c>
      <c r="J4" s="59" t="s">
        <v>1181</v>
      </c>
      <c r="K4" s="59">
        <v>1</v>
      </c>
      <c r="L4" s="59">
        <f t="shared" si="0"/>
        <v>0</v>
      </c>
      <c r="M4" s="59"/>
    </row>
    <row r="5" spans="1:15" ht="30">
      <c r="A5" s="56">
        <v>942</v>
      </c>
      <c r="B5" s="56">
        <v>942</v>
      </c>
      <c r="C5" s="56">
        <v>942</v>
      </c>
      <c r="D5" s="56" t="s">
        <v>1378</v>
      </c>
      <c r="F5" s="56" t="s">
        <v>1185</v>
      </c>
      <c r="G5" s="56">
        <v>12</v>
      </c>
      <c r="H5" s="56">
        <v>0</v>
      </c>
      <c r="I5" s="56">
        <v>70</v>
      </c>
      <c r="J5" s="59" t="s">
        <v>1181</v>
      </c>
      <c r="K5" s="59">
        <v>1</v>
      </c>
      <c r="L5" s="59">
        <f t="shared" si="0"/>
        <v>0</v>
      </c>
      <c r="M5" s="59"/>
    </row>
    <row r="6" spans="1:15" ht="30">
      <c r="A6" s="56">
        <v>992</v>
      </c>
      <c r="B6" s="56">
        <v>992</v>
      </c>
      <c r="C6" s="56">
        <v>992</v>
      </c>
      <c r="D6" s="56" t="s">
        <v>1397</v>
      </c>
      <c r="F6" s="56" t="s">
        <v>1183</v>
      </c>
      <c r="G6" s="56">
        <v>12</v>
      </c>
      <c r="H6" s="56">
        <v>0</v>
      </c>
      <c r="I6" s="56">
        <v>650</v>
      </c>
      <c r="J6" s="59" t="s">
        <v>1181</v>
      </c>
      <c r="K6" s="59">
        <v>1</v>
      </c>
      <c r="L6" s="59">
        <f t="shared" si="0"/>
        <v>0</v>
      </c>
      <c r="M6" s="59"/>
    </row>
    <row r="7" spans="1:15" ht="30">
      <c r="A7" s="56">
        <v>993</v>
      </c>
      <c r="B7" s="56">
        <v>993</v>
      </c>
      <c r="C7" s="56">
        <v>993</v>
      </c>
      <c r="D7" s="56" t="s">
        <v>1398</v>
      </c>
      <c r="F7" s="56" t="s">
        <v>1183</v>
      </c>
      <c r="G7" s="56">
        <v>12</v>
      </c>
      <c r="H7" s="56">
        <v>0</v>
      </c>
      <c r="I7" s="56">
        <v>1000</v>
      </c>
      <c r="J7" s="59" t="s">
        <v>1181</v>
      </c>
      <c r="K7" s="59">
        <v>1</v>
      </c>
      <c r="L7" s="59">
        <f t="shared" si="0"/>
        <v>0</v>
      </c>
      <c r="M7" s="59"/>
    </row>
    <row r="8" spans="1:15" ht="30">
      <c r="A8" s="56">
        <v>995</v>
      </c>
      <c r="B8" s="56">
        <v>995</v>
      </c>
      <c r="C8" s="56">
        <v>995</v>
      </c>
      <c r="D8" s="56" t="s">
        <v>1399</v>
      </c>
      <c r="F8" s="56" t="s">
        <v>1183</v>
      </c>
      <c r="G8" s="56">
        <v>12</v>
      </c>
      <c r="H8" s="56">
        <v>0</v>
      </c>
      <c r="I8" s="56">
        <v>550</v>
      </c>
      <c r="J8" s="59" t="s">
        <v>1181</v>
      </c>
      <c r="K8" s="59">
        <v>1</v>
      </c>
      <c r="L8" s="59">
        <f t="shared" si="0"/>
        <v>0</v>
      </c>
      <c r="M8" s="59"/>
    </row>
    <row r="9" spans="1:15" ht="30">
      <c r="A9" s="56">
        <v>1581</v>
      </c>
      <c r="B9" s="56">
        <v>1581</v>
      </c>
      <c r="C9" s="56">
        <v>1581</v>
      </c>
      <c r="D9" s="56" t="s">
        <v>1442</v>
      </c>
      <c r="F9" s="56" t="s">
        <v>1198</v>
      </c>
      <c r="G9" s="56">
        <v>12</v>
      </c>
      <c r="H9" s="56">
        <v>0</v>
      </c>
      <c r="I9" s="56">
        <v>50</v>
      </c>
      <c r="J9" s="59" t="s">
        <v>1181</v>
      </c>
      <c r="K9" s="59">
        <v>1</v>
      </c>
      <c r="L9" s="59">
        <f t="shared" si="0"/>
        <v>0</v>
      </c>
      <c r="M9" s="59"/>
      <c r="N9" s="56" t="s">
        <v>1258</v>
      </c>
    </row>
    <row r="10" spans="1:15" ht="30">
      <c r="A10" s="56">
        <v>1752</v>
      </c>
      <c r="B10" s="56">
        <v>1752</v>
      </c>
      <c r="C10" s="56">
        <v>1752</v>
      </c>
      <c r="D10" s="56" t="s">
        <v>1474</v>
      </c>
      <c r="F10" s="56" t="s">
        <v>1183</v>
      </c>
      <c r="G10" s="56">
        <v>12</v>
      </c>
      <c r="H10" s="56">
        <v>0</v>
      </c>
      <c r="I10" s="56">
        <v>600</v>
      </c>
      <c r="J10" s="59" t="s">
        <v>1181</v>
      </c>
      <c r="K10" s="59">
        <v>1</v>
      </c>
      <c r="L10" s="59">
        <f t="shared" si="0"/>
        <v>0</v>
      </c>
      <c r="M10" s="59"/>
    </row>
    <row r="11" spans="1:15" ht="30">
      <c r="A11" s="56">
        <v>303</v>
      </c>
      <c r="B11" s="56">
        <v>303</v>
      </c>
      <c r="C11" s="56">
        <v>303</v>
      </c>
      <c r="D11" s="56" t="s">
        <v>1269</v>
      </c>
      <c r="F11" s="58" t="s">
        <v>1198</v>
      </c>
      <c r="G11" s="58">
        <v>4</v>
      </c>
      <c r="H11" s="58">
        <v>0</v>
      </c>
      <c r="I11" s="56">
        <v>130</v>
      </c>
      <c r="J11" s="59" t="s">
        <v>1181</v>
      </c>
      <c r="K11" s="59">
        <v>1</v>
      </c>
      <c r="L11" s="59">
        <f t="shared" si="0"/>
        <v>0</v>
      </c>
      <c r="M11" s="59"/>
      <c r="N11" s="58"/>
    </row>
    <row r="12" spans="1:15" ht="30">
      <c r="A12" s="56">
        <v>313</v>
      </c>
      <c r="B12" s="56">
        <v>313</v>
      </c>
      <c r="C12" s="56">
        <v>313</v>
      </c>
      <c r="D12" s="56" t="s">
        <v>56</v>
      </c>
      <c r="F12" s="58" t="s">
        <v>1198</v>
      </c>
      <c r="G12" s="58">
        <v>4</v>
      </c>
      <c r="H12" s="58">
        <v>0</v>
      </c>
      <c r="I12" s="56">
        <v>185</v>
      </c>
      <c r="J12" s="59" t="s">
        <v>1181</v>
      </c>
      <c r="K12" s="59">
        <v>1</v>
      </c>
      <c r="L12" s="59">
        <f t="shared" si="0"/>
        <v>0</v>
      </c>
      <c r="M12" s="59"/>
      <c r="N12" s="58"/>
    </row>
    <row r="13" spans="1:15" ht="30">
      <c r="A13" s="56">
        <v>261</v>
      </c>
      <c r="B13" s="56">
        <v>261</v>
      </c>
      <c r="C13" s="56">
        <v>261</v>
      </c>
      <c r="D13" s="56" t="s">
        <v>1262</v>
      </c>
      <c r="F13" s="58" t="s">
        <v>24</v>
      </c>
      <c r="G13" s="58">
        <v>1</v>
      </c>
      <c r="H13" s="58">
        <v>0</v>
      </c>
      <c r="I13" s="56">
        <v>150</v>
      </c>
      <c r="J13" s="59" t="s">
        <v>1181</v>
      </c>
      <c r="K13" s="59">
        <v>1</v>
      </c>
      <c r="L13" s="59">
        <f t="shared" si="0"/>
        <v>0</v>
      </c>
      <c r="M13" s="59"/>
      <c r="N13" s="58"/>
    </row>
    <row r="14" spans="1:15" ht="30">
      <c r="A14" s="56">
        <v>266</v>
      </c>
      <c r="B14" s="56">
        <v>266</v>
      </c>
      <c r="C14" s="56">
        <v>266</v>
      </c>
      <c r="D14" s="56" t="s">
        <v>1263</v>
      </c>
      <c r="F14" s="58" t="s">
        <v>24</v>
      </c>
      <c r="G14" s="58">
        <v>1</v>
      </c>
      <c r="H14" s="58">
        <v>0</v>
      </c>
      <c r="I14" s="56">
        <v>407</v>
      </c>
      <c r="J14" s="59" t="s">
        <v>1181</v>
      </c>
      <c r="K14" s="59">
        <v>1</v>
      </c>
      <c r="L14" s="59">
        <f t="shared" si="0"/>
        <v>0</v>
      </c>
      <c r="M14" s="59"/>
      <c r="N14" s="58"/>
    </row>
    <row r="15" spans="1:15" ht="30">
      <c r="A15" s="56">
        <v>273</v>
      </c>
      <c r="B15" s="56">
        <v>273</v>
      </c>
      <c r="C15" s="56">
        <v>273</v>
      </c>
      <c r="D15" s="56" t="s">
        <v>1264</v>
      </c>
      <c r="F15" s="58" t="s">
        <v>1272</v>
      </c>
      <c r="G15" s="58">
        <v>1</v>
      </c>
      <c r="H15" s="58">
        <v>0</v>
      </c>
      <c r="I15" s="56">
        <v>80</v>
      </c>
      <c r="J15" s="59" t="s">
        <v>1181</v>
      </c>
      <c r="K15" s="59">
        <v>1</v>
      </c>
      <c r="L15" s="59">
        <f t="shared" si="0"/>
        <v>0</v>
      </c>
      <c r="M15" s="59"/>
      <c r="N15" s="58"/>
    </row>
    <row r="16" spans="1:15" ht="30">
      <c r="A16" s="56">
        <v>280</v>
      </c>
      <c r="B16" s="56">
        <v>280</v>
      </c>
      <c r="C16" s="56">
        <v>280</v>
      </c>
      <c r="D16" s="56" t="s">
        <v>54</v>
      </c>
      <c r="F16" s="58" t="s">
        <v>24</v>
      </c>
      <c r="G16" s="58">
        <v>1</v>
      </c>
      <c r="H16" s="58">
        <v>0</v>
      </c>
      <c r="I16" s="56">
        <v>200</v>
      </c>
      <c r="J16" s="59" t="s">
        <v>1181</v>
      </c>
      <c r="K16" s="59">
        <v>1</v>
      </c>
      <c r="L16" s="59">
        <f t="shared" si="0"/>
        <v>0</v>
      </c>
      <c r="M16" s="59"/>
      <c r="N16" s="58"/>
    </row>
    <row r="17" spans="1:14" ht="30">
      <c r="A17" s="56">
        <v>282</v>
      </c>
      <c r="B17" s="56">
        <v>282</v>
      </c>
      <c r="C17" s="56">
        <v>282</v>
      </c>
      <c r="D17" s="56" t="s">
        <v>1265</v>
      </c>
      <c r="F17" s="58" t="s">
        <v>24</v>
      </c>
      <c r="G17" s="58">
        <v>1</v>
      </c>
      <c r="H17" s="58">
        <v>0</v>
      </c>
      <c r="I17" s="56">
        <v>200</v>
      </c>
      <c r="J17" s="59" t="s">
        <v>1181</v>
      </c>
      <c r="K17" s="59">
        <v>1</v>
      </c>
      <c r="L17" s="59">
        <f t="shared" si="0"/>
        <v>0</v>
      </c>
      <c r="M17" s="59"/>
      <c r="N17" s="58"/>
    </row>
    <row r="18" spans="1:14" ht="30">
      <c r="A18" s="56">
        <v>283</v>
      </c>
      <c r="B18" s="56">
        <v>283</v>
      </c>
      <c r="C18" s="56">
        <v>283</v>
      </c>
      <c r="D18" s="56" t="s">
        <v>1266</v>
      </c>
      <c r="F18" s="58" t="s">
        <v>24</v>
      </c>
      <c r="G18" s="58">
        <v>1</v>
      </c>
      <c r="H18" s="58">
        <v>0</v>
      </c>
      <c r="I18" s="56">
        <v>110</v>
      </c>
      <c r="J18" s="59" t="s">
        <v>1181</v>
      </c>
      <c r="K18" s="59">
        <v>1</v>
      </c>
      <c r="L18" s="59">
        <f t="shared" si="0"/>
        <v>0</v>
      </c>
      <c r="M18" s="59"/>
      <c r="N18" s="58"/>
    </row>
    <row r="19" spans="1:14" ht="30">
      <c r="A19" s="56">
        <v>303</v>
      </c>
      <c r="B19" s="56">
        <v>303</v>
      </c>
      <c r="C19" s="56">
        <v>303</v>
      </c>
      <c r="D19" s="56" t="s">
        <v>1269</v>
      </c>
      <c r="F19" s="58" t="s">
        <v>24</v>
      </c>
      <c r="G19" s="58">
        <v>1</v>
      </c>
      <c r="H19" s="58">
        <v>0</v>
      </c>
      <c r="I19" s="56">
        <v>32.5</v>
      </c>
      <c r="J19" s="59" t="s">
        <v>1181</v>
      </c>
      <c r="K19" s="59">
        <v>1</v>
      </c>
      <c r="L19" s="59">
        <f t="shared" si="0"/>
        <v>0</v>
      </c>
      <c r="M19" s="59"/>
      <c r="N19" s="58"/>
    </row>
    <row r="20" spans="1:14" ht="30">
      <c r="A20" s="56">
        <v>311</v>
      </c>
      <c r="B20" s="56">
        <v>311</v>
      </c>
      <c r="C20" s="56">
        <v>311</v>
      </c>
      <c r="D20" s="56" t="s">
        <v>1488</v>
      </c>
      <c r="F20" s="58" t="s">
        <v>24</v>
      </c>
      <c r="G20" s="58">
        <v>1</v>
      </c>
      <c r="H20" s="58">
        <v>0</v>
      </c>
      <c r="I20" s="56">
        <v>450</v>
      </c>
      <c r="J20" s="59" t="s">
        <v>1181</v>
      </c>
      <c r="K20" s="59">
        <v>1</v>
      </c>
      <c r="L20" s="59">
        <f t="shared" si="0"/>
        <v>0</v>
      </c>
      <c r="M20" s="59"/>
      <c r="N20" s="58"/>
    </row>
    <row r="21" spans="1:14" ht="30">
      <c r="A21" s="56">
        <v>313</v>
      </c>
      <c r="B21" s="56">
        <v>313</v>
      </c>
      <c r="C21" s="56">
        <v>313</v>
      </c>
      <c r="D21" s="56" t="s">
        <v>56</v>
      </c>
      <c r="F21" s="58" t="s">
        <v>24</v>
      </c>
      <c r="G21" s="56">
        <v>1</v>
      </c>
      <c r="H21" s="58">
        <v>0</v>
      </c>
      <c r="I21" s="56">
        <v>185</v>
      </c>
      <c r="J21" s="59" t="s">
        <v>1181</v>
      </c>
      <c r="K21" s="59">
        <v>1</v>
      </c>
      <c r="L21" s="59">
        <f t="shared" si="0"/>
        <v>0</v>
      </c>
      <c r="M21" s="59"/>
    </row>
    <row r="22" spans="1:14" ht="30">
      <c r="A22" s="56">
        <v>323</v>
      </c>
      <c r="B22" s="56">
        <v>323</v>
      </c>
      <c r="C22" s="56">
        <v>323</v>
      </c>
      <c r="D22" s="56" t="s">
        <v>1270</v>
      </c>
      <c r="F22" s="58" t="s">
        <v>24</v>
      </c>
      <c r="G22" s="58">
        <v>1</v>
      </c>
      <c r="H22" s="58">
        <v>0</v>
      </c>
      <c r="I22" s="56">
        <v>0</v>
      </c>
      <c r="J22" s="59" t="s">
        <v>1181</v>
      </c>
      <c r="K22" s="59">
        <v>1</v>
      </c>
      <c r="L22" s="59">
        <f t="shared" si="0"/>
        <v>0</v>
      </c>
      <c r="M22" s="59"/>
      <c r="N22" s="58"/>
    </row>
    <row r="23" spans="1:14" ht="30">
      <c r="A23" s="56">
        <v>333</v>
      </c>
      <c r="B23" s="56">
        <v>333</v>
      </c>
      <c r="C23" s="56">
        <v>333</v>
      </c>
      <c r="D23" s="56" t="s">
        <v>1806</v>
      </c>
      <c r="F23" s="56" t="s">
        <v>24</v>
      </c>
      <c r="G23" s="56">
        <v>1</v>
      </c>
      <c r="H23" s="56">
        <v>0</v>
      </c>
      <c r="I23" s="56">
        <v>0</v>
      </c>
      <c r="J23" s="59" t="s">
        <v>1181</v>
      </c>
      <c r="K23" s="59">
        <v>1</v>
      </c>
      <c r="L23" s="59">
        <f t="shared" si="0"/>
        <v>0</v>
      </c>
      <c r="M23" s="59"/>
    </row>
    <row r="24" spans="1:14" ht="30">
      <c r="A24" s="56">
        <v>422</v>
      </c>
      <c r="B24" s="56">
        <v>422</v>
      </c>
      <c r="C24" s="56">
        <v>422</v>
      </c>
      <c r="D24" s="56" t="s">
        <v>1274</v>
      </c>
      <c r="F24" s="58" t="s">
        <v>24</v>
      </c>
      <c r="G24" s="58">
        <v>1</v>
      </c>
      <c r="H24" s="58">
        <v>0</v>
      </c>
      <c r="I24" s="56">
        <v>220</v>
      </c>
      <c r="J24" s="59" t="s">
        <v>1181</v>
      </c>
      <c r="K24" s="59">
        <v>1</v>
      </c>
      <c r="L24" s="59">
        <f t="shared" si="0"/>
        <v>0</v>
      </c>
      <c r="M24" s="59"/>
      <c r="N24" s="58"/>
    </row>
    <row r="25" spans="1:14" ht="30">
      <c r="A25" s="56">
        <v>493</v>
      </c>
      <c r="B25" s="56">
        <v>493</v>
      </c>
      <c r="C25" s="56">
        <v>493</v>
      </c>
      <c r="D25" s="56" t="s">
        <v>60</v>
      </c>
      <c r="F25" s="58" t="s">
        <v>24</v>
      </c>
      <c r="G25" s="58">
        <v>1</v>
      </c>
      <c r="H25" s="58">
        <v>0</v>
      </c>
      <c r="I25" s="56">
        <v>92</v>
      </c>
      <c r="J25" s="59" t="s">
        <v>1181</v>
      </c>
      <c r="K25" s="59">
        <v>1</v>
      </c>
      <c r="L25" s="59">
        <f t="shared" si="0"/>
        <v>0</v>
      </c>
      <c r="M25" s="59"/>
      <c r="N25" s="58"/>
    </row>
    <row r="26" spans="1:14" ht="30">
      <c r="A26" s="56">
        <v>561</v>
      </c>
      <c r="B26" s="56">
        <v>561</v>
      </c>
      <c r="C26" s="56">
        <v>561</v>
      </c>
      <c r="D26" s="56" t="s">
        <v>2022</v>
      </c>
      <c r="F26" s="56" t="s">
        <v>24</v>
      </c>
      <c r="G26" s="56">
        <v>1</v>
      </c>
      <c r="H26" s="56">
        <v>0</v>
      </c>
      <c r="J26" s="59" t="s">
        <v>1181</v>
      </c>
      <c r="K26" s="59">
        <v>1</v>
      </c>
      <c r="L26" s="59">
        <f t="shared" si="0"/>
        <v>0</v>
      </c>
      <c r="M26" s="59"/>
    </row>
    <row r="27" spans="1:14" ht="30">
      <c r="A27" s="56">
        <v>594</v>
      </c>
      <c r="B27" s="56">
        <v>594</v>
      </c>
      <c r="C27" s="56">
        <v>594</v>
      </c>
      <c r="D27" s="56" t="s">
        <v>1256</v>
      </c>
      <c r="F27" s="58" t="s">
        <v>24</v>
      </c>
      <c r="G27" s="58">
        <v>1</v>
      </c>
      <c r="H27" s="58">
        <v>0</v>
      </c>
      <c r="I27" s="56">
        <v>73</v>
      </c>
      <c r="J27" s="59" t="s">
        <v>1181</v>
      </c>
      <c r="K27" s="59">
        <v>1</v>
      </c>
      <c r="L27" s="59">
        <f t="shared" si="0"/>
        <v>0</v>
      </c>
      <c r="M27" s="59"/>
      <c r="N27" s="58"/>
    </row>
    <row r="28" spans="1:14" ht="30">
      <c r="A28" s="56">
        <v>624</v>
      </c>
      <c r="B28" s="56">
        <v>624</v>
      </c>
      <c r="C28" s="56">
        <v>624</v>
      </c>
      <c r="D28" s="56" t="s">
        <v>1280</v>
      </c>
      <c r="F28" s="58" t="s">
        <v>1272</v>
      </c>
      <c r="G28" s="58">
        <v>1</v>
      </c>
      <c r="H28" s="58">
        <v>0</v>
      </c>
      <c r="I28" s="56">
        <v>500</v>
      </c>
      <c r="J28" s="59" t="s">
        <v>1181</v>
      </c>
      <c r="K28" s="59">
        <v>1</v>
      </c>
      <c r="L28" s="59">
        <f t="shared" si="0"/>
        <v>0</v>
      </c>
      <c r="M28" s="59"/>
      <c r="N28" s="58"/>
    </row>
    <row r="29" spans="1:14" ht="30">
      <c r="A29" s="56">
        <v>625</v>
      </c>
      <c r="B29" s="56">
        <v>625</v>
      </c>
      <c r="C29" s="56">
        <v>625</v>
      </c>
      <c r="D29" s="56" t="s">
        <v>1281</v>
      </c>
      <c r="F29" s="58" t="s">
        <v>24</v>
      </c>
      <c r="G29" s="58">
        <v>1</v>
      </c>
      <c r="H29" s="58">
        <v>0</v>
      </c>
      <c r="I29" s="56">
        <v>650</v>
      </c>
      <c r="J29" s="59" t="s">
        <v>1181</v>
      </c>
      <c r="K29" s="59">
        <v>1</v>
      </c>
      <c r="L29" s="59">
        <f t="shared" si="0"/>
        <v>0</v>
      </c>
      <c r="M29" s="59"/>
      <c r="N29" s="58"/>
    </row>
    <row r="30" spans="1:14" ht="30">
      <c r="A30" s="56">
        <v>779</v>
      </c>
      <c r="B30" s="56">
        <v>779</v>
      </c>
      <c r="C30" s="56">
        <v>779</v>
      </c>
      <c r="D30" s="56" t="s">
        <v>1224</v>
      </c>
      <c r="F30" s="58" t="s">
        <v>24</v>
      </c>
      <c r="G30" s="58">
        <v>1</v>
      </c>
      <c r="H30" s="58">
        <v>0</v>
      </c>
      <c r="I30" s="56">
        <v>600</v>
      </c>
      <c r="J30" s="59" t="s">
        <v>1181</v>
      </c>
      <c r="K30" s="59">
        <v>1</v>
      </c>
      <c r="L30" s="59">
        <f t="shared" si="0"/>
        <v>0</v>
      </c>
      <c r="M30" s="59"/>
      <c r="N30" s="58"/>
    </row>
    <row r="31" spans="1:14" ht="30">
      <c r="A31" s="56">
        <v>780</v>
      </c>
      <c r="B31" s="56">
        <v>780</v>
      </c>
      <c r="C31" s="56">
        <v>780</v>
      </c>
      <c r="D31" s="56" t="s">
        <v>1489</v>
      </c>
      <c r="F31" s="58" t="s">
        <v>24</v>
      </c>
      <c r="G31" s="58">
        <v>1</v>
      </c>
      <c r="H31" s="58">
        <v>0</v>
      </c>
      <c r="I31" s="56">
        <v>600</v>
      </c>
      <c r="J31" s="59" t="s">
        <v>1181</v>
      </c>
      <c r="K31" s="59">
        <v>1</v>
      </c>
      <c r="L31" s="59">
        <f t="shared" si="0"/>
        <v>0</v>
      </c>
      <c r="M31" s="59"/>
      <c r="N31" s="58"/>
    </row>
    <row r="32" spans="1:14" ht="30">
      <c r="A32" s="56">
        <v>781</v>
      </c>
      <c r="B32" s="56">
        <v>781</v>
      </c>
      <c r="C32" s="56">
        <v>781</v>
      </c>
      <c r="D32" s="56" t="s">
        <v>1490</v>
      </c>
      <c r="F32" s="58" t="s">
        <v>24</v>
      </c>
      <c r="G32" s="58">
        <v>1</v>
      </c>
      <c r="H32" s="58">
        <v>0</v>
      </c>
      <c r="I32" s="56">
        <v>600</v>
      </c>
      <c r="J32" s="59" t="s">
        <v>1181</v>
      </c>
      <c r="K32" s="59">
        <v>1</v>
      </c>
      <c r="L32" s="59">
        <f t="shared" si="0"/>
        <v>0</v>
      </c>
      <c r="M32" s="59"/>
      <c r="N32" s="58"/>
    </row>
    <row r="33" spans="1:14" ht="30">
      <c r="A33" s="56">
        <v>782</v>
      </c>
      <c r="B33" s="56">
        <v>782</v>
      </c>
      <c r="C33" s="56">
        <v>782</v>
      </c>
      <c r="D33" s="56" t="s">
        <v>1491</v>
      </c>
      <c r="F33" s="58" t="s">
        <v>24</v>
      </c>
      <c r="G33" s="58">
        <v>1</v>
      </c>
      <c r="H33" s="58">
        <v>0</v>
      </c>
      <c r="I33" s="56">
        <v>600</v>
      </c>
      <c r="J33" s="59" t="s">
        <v>1181</v>
      </c>
      <c r="K33" s="59">
        <v>1</v>
      </c>
      <c r="L33" s="59">
        <f t="shared" si="0"/>
        <v>0</v>
      </c>
      <c r="M33" s="59"/>
      <c r="N33" s="58"/>
    </row>
    <row r="34" spans="1:14" ht="30">
      <c r="A34" s="56">
        <v>783</v>
      </c>
      <c r="B34" s="56">
        <v>783</v>
      </c>
      <c r="C34" s="56">
        <v>783</v>
      </c>
      <c r="D34" s="56" t="s">
        <v>1492</v>
      </c>
      <c r="F34" s="58" t="s">
        <v>24</v>
      </c>
      <c r="G34" s="58">
        <v>1</v>
      </c>
      <c r="H34" s="58">
        <v>0</v>
      </c>
      <c r="I34" s="56">
        <v>677</v>
      </c>
      <c r="J34" s="59" t="s">
        <v>1181</v>
      </c>
      <c r="K34" s="59">
        <v>1</v>
      </c>
      <c r="L34" s="59">
        <f t="shared" si="0"/>
        <v>0</v>
      </c>
      <c r="M34" s="59"/>
      <c r="N34" s="58"/>
    </row>
    <row r="35" spans="1:14" ht="30">
      <c r="A35" s="56">
        <v>784</v>
      </c>
      <c r="B35" s="56">
        <v>784</v>
      </c>
      <c r="C35" s="56">
        <v>784</v>
      </c>
      <c r="D35" s="56" t="s">
        <v>1285</v>
      </c>
      <c r="F35" s="58" t="s">
        <v>24</v>
      </c>
      <c r="G35" s="58">
        <v>1</v>
      </c>
      <c r="H35" s="58">
        <v>0</v>
      </c>
      <c r="J35" s="59" t="s">
        <v>1181</v>
      </c>
      <c r="K35" s="59">
        <v>1</v>
      </c>
      <c r="L35" s="59">
        <f t="shared" si="0"/>
        <v>0</v>
      </c>
      <c r="M35" s="59"/>
      <c r="N35" s="58"/>
    </row>
    <row r="36" spans="1:14" ht="30">
      <c r="A36" s="56">
        <v>785</v>
      </c>
      <c r="B36" s="56">
        <v>785</v>
      </c>
      <c r="C36" s="56">
        <v>785</v>
      </c>
      <c r="D36" s="56" t="s">
        <v>1516</v>
      </c>
      <c r="F36" s="58" t="s">
        <v>24</v>
      </c>
      <c r="G36" s="58">
        <v>1</v>
      </c>
      <c r="H36" s="58">
        <v>0</v>
      </c>
      <c r="J36" s="59" t="s">
        <v>1181</v>
      </c>
      <c r="K36" s="59">
        <v>1</v>
      </c>
      <c r="L36" s="59">
        <f t="shared" si="0"/>
        <v>0</v>
      </c>
      <c r="M36" s="59"/>
      <c r="N36" s="58"/>
    </row>
    <row r="37" spans="1:14" ht="30">
      <c r="A37" s="56">
        <v>786</v>
      </c>
      <c r="B37" s="56">
        <v>786</v>
      </c>
      <c r="C37" s="56">
        <v>786</v>
      </c>
      <c r="D37" s="56" t="s">
        <v>1493</v>
      </c>
      <c r="F37" s="58" t="s">
        <v>24</v>
      </c>
      <c r="G37" s="58">
        <v>1</v>
      </c>
      <c r="H37" s="58">
        <v>0</v>
      </c>
      <c r="J37" s="59" t="s">
        <v>1181</v>
      </c>
      <c r="K37" s="59">
        <v>1</v>
      </c>
      <c r="L37" s="59">
        <f t="shared" si="0"/>
        <v>0</v>
      </c>
      <c r="M37" s="59"/>
      <c r="N37" s="58"/>
    </row>
    <row r="38" spans="1:14" ht="30">
      <c r="A38" s="56">
        <v>787</v>
      </c>
      <c r="B38" s="56">
        <v>787</v>
      </c>
      <c r="C38" s="56">
        <v>787</v>
      </c>
      <c r="D38" s="56" t="s">
        <v>1494</v>
      </c>
      <c r="F38" s="58" t="s">
        <v>24</v>
      </c>
      <c r="G38" s="58">
        <v>1</v>
      </c>
      <c r="H38" s="58">
        <v>0</v>
      </c>
      <c r="I38" s="56">
        <v>80</v>
      </c>
      <c r="J38" s="59" t="s">
        <v>1181</v>
      </c>
      <c r="K38" s="59">
        <v>1</v>
      </c>
      <c r="L38" s="59">
        <f t="shared" si="0"/>
        <v>0</v>
      </c>
      <c r="M38" s="59"/>
      <c r="N38" s="58"/>
    </row>
    <row r="39" spans="1:14" ht="30">
      <c r="A39" s="56">
        <v>788</v>
      </c>
      <c r="B39" s="56">
        <v>788</v>
      </c>
      <c r="C39" s="56">
        <v>788</v>
      </c>
      <c r="D39" s="56" t="s">
        <v>1517</v>
      </c>
      <c r="F39" s="58" t="s">
        <v>24</v>
      </c>
      <c r="G39" s="58">
        <v>1</v>
      </c>
      <c r="H39" s="58">
        <v>0</v>
      </c>
      <c r="J39" s="59" t="s">
        <v>1181</v>
      </c>
      <c r="K39" s="59">
        <v>1</v>
      </c>
      <c r="L39" s="59">
        <f t="shared" si="0"/>
        <v>0</v>
      </c>
      <c r="M39" s="59"/>
      <c r="N39" s="58"/>
    </row>
    <row r="40" spans="1:14" ht="30">
      <c r="A40" s="56">
        <v>789</v>
      </c>
      <c r="B40" s="56">
        <v>789</v>
      </c>
      <c r="C40" s="56">
        <v>789</v>
      </c>
      <c r="D40" s="56" t="s">
        <v>1286</v>
      </c>
      <c r="F40" s="58" t="s">
        <v>24</v>
      </c>
      <c r="G40" s="58">
        <v>1</v>
      </c>
      <c r="H40" s="58">
        <v>0</v>
      </c>
      <c r="J40" s="59" t="s">
        <v>1181</v>
      </c>
      <c r="K40" s="59">
        <v>1</v>
      </c>
      <c r="L40" s="59">
        <f t="shared" si="0"/>
        <v>0</v>
      </c>
      <c r="M40" s="59"/>
      <c r="N40" s="58"/>
    </row>
    <row r="41" spans="1:14" ht="30">
      <c r="A41" s="56">
        <v>790</v>
      </c>
      <c r="B41" s="56">
        <v>790</v>
      </c>
      <c r="C41" s="56">
        <v>790</v>
      </c>
      <c r="D41" s="56" t="s">
        <v>1287</v>
      </c>
      <c r="F41" s="58" t="s">
        <v>24</v>
      </c>
      <c r="G41" s="58">
        <v>1</v>
      </c>
      <c r="H41" s="58">
        <v>0</v>
      </c>
      <c r="J41" s="59" t="s">
        <v>1181</v>
      </c>
      <c r="K41" s="59">
        <v>1</v>
      </c>
      <c r="L41" s="59">
        <f t="shared" si="0"/>
        <v>0</v>
      </c>
      <c r="M41" s="59"/>
      <c r="N41" s="58"/>
    </row>
    <row r="42" spans="1:14" ht="30">
      <c r="A42" s="56">
        <v>791</v>
      </c>
      <c r="B42" s="56">
        <v>791</v>
      </c>
      <c r="C42" s="56">
        <v>791</v>
      </c>
      <c r="D42" s="56" t="s">
        <v>1495</v>
      </c>
      <c r="F42" s="58" t="s">
        <v>24</v>
      </c>
      <c r="G42" s="58">
        <v>1</v>
      </c>
      <c r="H42" s="58">
        <v>0</v>
      </c>
      <c r="J42" s="59" t="s">
        <v>1181</v>
      </c>
      <c r="K42" s="59">
        <v>1</v>
      </c>
      <c r="L42" s="59">
        <f t="shared" si="0"/>
        <v>0</v>
      </c>
      <c r="M42" s="59"/>
      <c r="N42" s="58"/>
    </row>
    <row r="43" spans="1:14" ht="30">
      <c r="A43" s="56">
        <v>792</v>
      </c>
      <c r="B43" s="56">
        <v>792</v>
      </c>
      <c r="C43" s="56">
        <v>792</v>
      </c>
      <c r="D43" s="56" t="s">
        <v>1513</v>
      </c>
      <c r="F43" s="58" t="s">
        <v>24</v>
      </c>
      <c r="G43" s="58">
        <v>1</v>
      </c>
      <c r="H43" s="58">
        <v>0</v>
      </c>
      <c r="J43" s="59" t="s">
        <v>1181</v>
      </c>
      <c r="K43" s="59">
        <v>1</v>
      </c>
      <c r="L43" s="59">
        <f t="shared" si="0"/>
        <v>0</v>
      </c>
      <c r="M43" s="59"/>
      <c r="N43" s="58"/>
    </row>
    <row r="44" spans="1:14" ht="30">
      <c r="A44" s="56">
        <v>793</v>
      </c>
      <c r="B44" s="56">
        <v>793</v>
      </c>
      <c r="C44" s="56">
        <v>793</v>
      </c>
      <c r="D44" s="56" t="s">
        <v>1514</v>
      </c>
      <c r="F44" s="58" t="s">
        <v>24</v>
      </c>
      <c r="G44" s="58">
        <v>1</v>
      </c>
      <c r="H44" s="58">
        <v>0</v>
      </c>
      <c r="J44" s="59" t="s">
        <v>1181</v>
      </c>
      <c r="K44" s="59">
        <v>1</v>
      </c>
      <c r="L44" s="59">
        <f t="shared" si="0"/>
        <v>0</v>
      </c>
      <c r="M44" s="59"/>
      <c r="N44" s="58"/>
    </row>
    <row r="45" spans="1:14" ht="30">
      <c r="A45" s="56">
        <v>795</v>
      </c>
      <c r="B45" s="56">
        <v>795</v>
      </c>
      <c r="C45" s="56">
        <v>795</v>
      </c>
      <c r="D45" s="56" t="s">
        <v>1519</v>
      </c>
      <c r="F45" s="58" t="s">
        <v>24</v>
      </c>
      <c r="G45" s="58">
        <v>1</v>
      </c>
      <c r="H45" s="58">
        <v>0</v>
      </c>
      <c r="J45" s="59" t="s">
        <v>1181</v>
      </c>
      <c r="K45" s="59">
        <v>1</v>
      </c>
      <c r="L45" s="59">
        <f t="shared" si="0"/>
        <v>0</v>
      </c>
      <c r="M45" s="59"/>
      <c r="N45" s="58"/>
    </row>
    <row r="46" spans="1:14" ht="30">
      <c r="A46" s="56">
        <v>801</v>
      </c>
      <c r="B46" s="56">
        <v>801</v>
      </c>
      <c r="C46" s="56">
        <v>801</v>
      </c>
      <c r="D46" s="56" t="s">
        <v>1291</v>
      </c>
      <c r="F46" s="58" t="s">
        <v>24</v>
      </c>
      <c r="G46" s="58">
        <v>1</v>
      </c>
      <c r="H46" s="58">
        <v>0</v>
      </c>
      <c r="J46" s="59" t="s">
        <v>1181</v>
      </c>
      <c r="K46" s="59">
        <v>1</v>
      </c>
      <c r="L46" s="59">
        <f t="shared" si="0"/>
        <v>0</v>
      </c>
      <c r="M46" s="59"/>
      <c r="N46" s="58"/>
    </row>
    <row r="47" spans="1:14" ht="30">
      <c r="A47" s="56">
        <v>804</v>
      </c>
      <c r="B47" s="56">
        <v>804</v>
      </c>
      <c r="C47" s="56">
        <v>804</v>
      </c>
      <c r="D47" s="56" t="s">
        <v>1293</v>
      </c>
      <c r="F47" s="58" t="s">
        <v>24</v>
      </c>
      <c r="G47" s="58">
        <v>1</v>
      </c>
      <c r="H47" s="58">
        <v>0</v>
      </c>
      <c r="I47" s="56">
        <v>100</v>
      </c>
      <c r="J47" s="59" t="s">
        <v>1181</v>
      </c>
      <c r="K47" s="59">
        <v>1</v>
      </c>
      <c r="L47" s="59">
        <f t="shared" si="0"/>
        <v>0</v>
      </c>
      <c r="M47" s="59"/>
      <c r="N47" s="58"/>
    </row>
    <row r="48" spans="1:14" ht="30">
      <c r="A48" s="56">
        <v>805</v>
      </c>
      <c r="B48" s="56">
        <v>805</v>
      </c>
      <c r="C48" s="56">
        <v>805</v>
      </c>
      <c r="D48" s="56" t="s">
        <v>1294</v>
      </c>
      <c r="F48" s="58" t="s">
        <v>24</v>
      </c>
      <c r="G48" s="58">
        <v>1</v>
      </c>
      <c r="H48" s="58">
        <v>0</v>
      </c>
      <c r="I48" s="56">
        <v>50</v>
      </c>
      <c r="J48" s="59" t="s">
        <v>1181</v>
      </c>
      <c r="K48" s="59">
        <v>1</v>
      </c>
      <c r="L48" s="59">
        <f t="shared" si="0"/>
        <v>0</v>
      </c>
      <c r="M48" s="59"/>
      <c r="N48" s="58"/>
    </row>
    <row r="49" spans="1:14" ht="30">
      <c r="A49" s="56">
        <v>806</v>
      </c>
      <c r="B49" s="56">
        <v>806</v>
      </c>
      <c r="C49" s="56">
        <v>806</v>
      </c>
      <c r="D49" s="56" t="s">
        <v>1295</v>
      </c>
      <c r="F49" s="58" t="s">
        <v>24</v>
      </c>
      <c r="G49" s="58">
        <v>1</v>
      </c>
      <c r="H49" s="58">
        <v>0</v>
      </c>
      <c r="I49" s="56">
        <v>67.75</v>
      </c>
      <c r="J49" s="59" t="s">
        <v>1181</v>
      </c>
      <c r="K49" s="59">
        <v>1</v>
      </c>
      <c r="L49" s="59">
        <f t="shared" si="0"/>
        <v>0</v>
      </c>
      <c r="M49" s="59"/>
      <c r="N49" s="58"/>
    </row>
    <row r="50" spans="1:14" ht="30">
      <c r="A50" s="56">
        <v>808</v>
      </c>
      <c r="B50" s="56">
        <v>808</v>
      </c>
      <c r="C50" s="56">
        <v>808</v>
      </c>
      <c r="D50" s="56" t="s">
        <v>1297</v>
      </c>
      <c r="F50" s="58" t="s">
        <v>24</v>
      </c>
      <c r="G50" s="58">
        <v>1</v>
      </c>
      <c r="H50" s="58">
        <v>0</v>
      </c>
      <c r="I50" s="56">
        <v>62.5</v>
      </c>
      <c r="J50" s="59" t="s">
        <v>1181</v>
      </c>
      <c r="K50" s="59">
        <v>1</v>
      </c>
      <c r="L50" s="59">
        <f t="shared" si="0"/>
        <v>0</v>
      </c>
      <c r="M50" s="59"/>
      <c r="N50" s="58"/>
    </row>
    <row r="51" spans="1:14" ht="30">
      <c r="A51" s="56">
        <v>810</v>
      </c>
      <c r="B51" s="56">
        <v>810</v>
      </c>
      <c r="C51" s="56">
        <v>810</v>
      </c>
      <c r="D51" s="56" t="s">
        <v>1299</v>
      </c>
      <c r="F51" s="58" t="s">
        <v>24</v>
      </c>
      <c r="G51" s="58">
        <v>1</v>
      </c>
      <c r="H51" s="58">
        <v>0</v>
      </c>
      <c r="I51" s="56">
        <v>50</v>
      </c>
      <c r="J51" s="59" t="s">
        <v>1181</v>
      </c>
      <c r="K51" s="59">
        <v>1</v>
      </c>
      <c r="L51" s="59">
        <f t="shared" si="0"/>
        <v>0</v>
      </c>
      <c r="M51" s="59"/>
      <c r="N51" s="58"/>
    </row>
    <row r="52" spans="1:14" ht="30">
      <c r="A52" s="56">
        <v>811</v>
      </c>
      <c r="B52" s="56">
        <v>811</v>
      </c>
      <c r="C52" s="56">
        <v>811</v>
      </c>
      <c r="D52" s="56" t="s">
        <v>1300</v>
      </c>
      <c r="F52" s="58" t="s">
        <v>24</v>
      </c>
      <c r="G52" s="58">
        <v>1</v>
      </c>
      <c r="H52" s="58">
        <v>0</v>
      </c>
      <c r="I52" s="56">
        <v>66.66</v>
      </c>
      <c r="J52" s="59" t="s">
        <v>1181</v>
      </c>
      <c r="K52" s="59">
        <v>1</v>
      </c>
      <c r="L52" s="59">
        <f t="shared" si="0"/>
        <v>0</v>
      </c>
      <c r="M52" s="59"/>
      <c r="N52" s="58"/>
    </row>
    <row r="53" spans="1:14" ht="30">
      <c r="A53" s="56">
        <v>812</v>
      </c>
      <c r="B53" s="56">
        <v>812</v>
      </c>
      <c r="C53" s="56">
        <v>812</v>
      </c>
      <c r="D53" s="56" t="s">
        <v>1301</v>
      </c>
      <c r="F53" s="58" t="s">
        <v>24</v>
      </c>
      <c r="G53" s="58">
        <v>1</v>
      </c>
      <c r="H53" s="58">
        <v>0</v>
      </c>
      <c r="I53" s="56">
        <v>52.91</v>
      </c>
      <c r="J53" s="59" t="s">
        <v>1181</v>
      </c>
      <c r="K53" s="59">
        <v>1</v>
      </c>
      <c r="L53" s="59">
        <f t="shared" si="0"/>
        <v>0</v>
      </c>
      <c r="M53" s="59"/>
      <c r="N53" s="58"/>
    </row>
    <row r="54" spans="1:14" ht="30">
      <c r="A54" s="56">
        <v>813</v>
      </c>
      <c r="B54" s="56">
        <v>813</v>
      </c>
      <c r="C54" s="56">
        <v>813</v>
      </c>
      <c r="D54" s="56" t="s">
        <v>1302</v>
      </c>
      <c r="F54" s="58" t="s">
        <v>24</v>
      </c>
      <c r="G54" s="58">
        <v>1</v>
      </c>
      <c r="H54" s="58">
        <v>0</v>
      </c>
      <c r="I54" s="56">
        <v>50</v>
      </c>
      <c r="J54" s="59" t="s">
        <v>1181</v>
      </c>
      <c r="K54" s="59">
        <v>1</v>
      </c>
      <c r="L54" s="59">
        <f t="shared" si="0"/>
        <v>0</v>
      </c>
      <c r="M54" s="59"/>
      <c r="N54" s="58"/>
    </row>
    <row r="55" spans="1:14" ht="30">
      <c r="A55" s="56">
        <v>814</v>
      </c>
      <c r="B55" s="56">
        <v>814</v>
      </c>
      <c r="C55" s="56">
        <v>814</v>
      </c>
      <c r="D55" s="56" t="s">
        <v>1303</v>
      </c>
      <c r="F55" s="58" t="s">
        <v>24</v>
      </c>
      <c r="G55" s="58">
        <v>1</v>
      </c>
      <c r="H55" s="58">
        <v>0</v>
      </c>
      <c r="I55" s="56">
        <v>50</v>
      </c>
      <c r="J55" s="59" t="s">
        <v>1181</v>
      </c>
      <c r="K55" s="59">
        <v>1</v>
      </c>
      <c r="L55" s="59">
        <f t="shared" si="0"/>
        <v>0</v>
      </c>
      <c r="M55" s="59"/>
      <c r="N55" s="58"/>
    </row>
    <row r="56" spans="1:14" ht="30">
      <c r="A56" s="56">
        <v>816</v>
      </c>
      <c r="B56" s="56">
        <v>816</v>
      </c>
      <c r="C56" s="56">
        <v>816</v>
      </c>
      <c r="D56" s="56" t="s">
        <v>1304</v>
      </c>
      <c r="F56" s="58" t="s">
        <v>24</v>
      </c>
      <c r="G56" s="58">
        <v>1</v>
      </c>
      <c r="H56" s="58">
        <v>0</v>
      </c>
      <c r="I56" s="56">
        <v>54.165999999999997</v>
      </c>
      <c r="J56" s="59" t="s">
        <v>1181</v>
      </c>
      <c r="K56" s="59">
        <v>1</v>
      </c>
      <c r="L56" s="59">
        <f t="shared" si="0"/>
        <v>0</v>
      </c>
      <c r="M56" s="59"/>
      <c r="N56" s="58"/>
    </row>
    <row r="57" spans="1:14" ht="30">
      <c r="A57" s="56">
        <v>817</v>
      </c>
      <c r="B57" s="56">
        <v>817</v>
      </c>
      <c r="C57" s="56">
        <v>817</v>
      </c>
      <c r="D57" s="56" t="s">
        <v>1305</v>
      </c>
      <c r="F57" s="58" t="s">
        <v>24</v>
      </c>
      <c r="G57" s="58">
        <v>1</v>
      </c>
      <c r="H57" s="58">
        <v>0</v>
      </c>
      <c r="I57" s="56">
        <v>60</v>
      </c>
      <c r="J57" s="59" t="s">
        <v>1181</v>
      </c>
      <c r="K57" s="59">
        <v>1</v>
      </c>
      <c r="L57" s="59">
        <f t="shared" si="0"/>
        <v>0</v>
      </c>
      <c r="M57" s="59"/>
      <c r="N57" s="58"/>
    </row>
    <row r="58" spans="1:14" ht="30">
      <c r="A58" s="56">
        <v>818</v>
      </c>
      <c r="B58" s="56">
        <v>818</v>
      </c>
      <c r="C58" s="56">
        <v>818</v>
      </c>
      <c r="D58" s="56" t="s">
        <v>1306</v>
      </c>
      <c r="F58" s="58" t="s">
        <v>24</v>
      </c>
      <c r="G58" s="58">
        <v>1</v>
      </c>
      <c r="H58" s="58">
        <v>0</v>
      </c>
      <c r="J58" s="59" t="s">
        <v>1181</v>
      </c>
      <c r="K58" s="59">
        <v>1</v>
      </c>
      <c r="L58" s="59">
        <f t="shared" si="0"/>
        <v>0</v>
      </c>
      <c r="M58" s="59"/>
      <c r="N58" s="58"/>
    </row>
    <row r="59" spans="1:14" ht="30">
      <c r="A59" s="56">
        <v>819</v>
      </c>
      <c r="B59" s="56">
        <v>819</v>
      </c>
      <c r="C59" s="56">
        <v>819</v>
      </c>
      <c r="D59" s="56" t="s">
        <v>1307</v>
      </c>
      <c r="F59" s="58" t="s">
        <v>24</v>
      </c>
      <c r="G59" s="58">
        <v>1</v>
      </c>
      <c r="H59" s="58">
        <v>0</v>
      </c>
      <c r="J59" s="59" t="s">
        <v>1181</v>
      </c>
      <c r="K59" s="59">
        <v>1</v>
      </c>
      <c r="L59" s="59">
        <f t="shared" si="0"/>
        <v>0</v>
      </c>
      <c r="M59" s="59"/>
      <c r="N59" s="58"/>
    </row>
    <row r="60" spans="1:14" ht="30">
      <c r="A60" s="56">
        <v>820</v>
      </c>
      <c r="B60" s="56">
        <v>820</v>
      </c>
      <c r="C60" s="56">
        <v>820</v>
      </c>
      <c r="D60" s="56" t="s">
        <v>1308</v>
      </c>
      <c r="F60" s="58" t="s">
        <v>24</v>
      </c>
      <c r="G60" s="58">
        <v>1</v>
      </c>
      <c r="H60" s="58">
        <v>0</v>
      </c>
      <c r="I60" s="56">
        <v>66.7</v>
      </c>
      <c r="J60" s="59" t="s">
        <v>1181</v>
      </c>
      <c r="K60" s="59">
        <v>1</v>
      </c>
      <c r="L60" s="59">
        <f t="shared" si="0"/>
        <v>0</v>
      </c>
      <c r="M60" s="59"/>
      <c r="N60" s="58"/>
    </row>
    <row r="61" spans="1:14" ht="30">
      <c r="A61" s="56">
        <v>825</v>
      </c>
      <c r="B61" s="56">
        <v>825</v>
      </c>
      <c r="C61" s="56">
        <v>825</v>
      </c>
      <c r="D61" s="56" t="s">
        <v>1313</v>
      </c>
      <c r="F61" s="58" t="s">
        <v>24</v>
      </c>
      <c r="G61" s="58">
        <v>1</v>
      </c>
      <c r="H61" s="58">
        <v>0</v>
      </c>
      <c r="I61" s="56">
        <v>54</v>
      </c>
      <c r="J61" s="59" t="s">
        <v>1181</v>
      </c>
      <c r="K61" s="59">
        <v>1</v>
      </c>
      <c r="L61" s="59">
        <f t="shared" si="0"/>
        <v>0</v>
      </c>
      <c r="M61" s="59"/>
      <c r="N61" s="58"/>
    </row>
    <row r="62" spans="1:14" ht="30">
      <c r="A62" s="56">
        <v>826</v>
      </c>
      <c r="B62" s="56">
        <v>826</v>
      </c>
      <c r="C62" s="56">
        <v>826</v>
      </c>
      <c r="D62" s="56" t="s">
        <v>1314</v>
      </c>
      <c r="F62" s="58" t="s">
        <v>24</v>
      </c>
      <c r="G62" s="58">
        <v>1</v>
      </c>
      <c r="H62" s="58">
        <v>0</v>
      </c>
      <c r="I62" s="56">
        <v>50</v>
      </c>
      <c r="J62" s="59" t="s">
        <v>1181</v>
      </c>
      <c r="K62" s="59">
        <v>1</v>
      </c>
      <c r="L62" s="59">
        <f t="shared" si="0"/>
        <v>0</v>
      </c>
      <c r="M62" s="59"/>
      <c r="N62" s="58"/>
    </row>
    <row r="63" spans="1:14" ht="30">
      <c r="A63" s="56">
        <v>827</v>
      </c>
      <c r="B63" s="56">
        <v>827</v>
      </c>
      <c r="C63" s="56">
        <v>827</v>
      </c>
      <c r="D63" s="56" t="s">
        <v>1315</v>
      </c>
      <c r="F63" s="58" t="s">
        <v>24</v>
      </c>
      <c r="G63" s="58">
        <v>1</v>
      </c>
      <c r="H63" s="58">
        <v>0</v>
      </c>
      <c r="I63" s="56">
        <v>66.66</v>
      </c>
      <c r="J63" s="59" t="s">
        <v>1181</v>
      </c>
      <c r="K63" s="59">
        <v>1</v>
      </c>
      <c r="L63" s="59">
        <f t="shared" si="0"/>
        <v>0</v>
      </c>
      <c r="M63" s="59"/>
      <c r="N63" s="58"/>
    </row>
    <row r="64" spans="1:14" ht="30">
      <c r="A64" s="56">
        <v>831</v>
      </c>
      <c r="B64" s="56">
        <v>831</v>
      </c>
      <c r="C64" s="56">
        <v>831</v>
      </c>
      <c r="D64" s="56" t="s">
        <v>1498</v>
      </c>
      <c r="F64" s="58" t="s">
        <v>24</v>
      </c>
      <c r="G64" s="58">
        <v>1</v>
      </c>
      <c r="H64" s="58">
        <v>0</v>
      </c>
      <c r="I64" s="56">
        <v>85.7</v>
      </c>
      <c r="J64" s="59" t="s">
        <v>1181</v>
      </c>
      <c r="K64" s="59">
        <v>1</v>
      </c>
      <c r="L64" s="59">
        <f t="shared" si="0"/>
        <v>0</v>
      </c>
      <c r="M64" s="59"/>
      <c r="N64" s="58"/>
    </row>
    <row r="65" spans="1:14" ht="30">
      <c r="A65" s="56">
        <v>839</v>
      </c>
      <c r="B65" s="56">
        <v>839</v>
      </c>
      <c r="C65" s="56">
        <v>839</v>
      </c>
      <c r="D65" s="56" t="s">
        <v>1322</v>
      </c>
      <c r="F65" s="58" t="s">
        <v>24</v>
      </c>
      <c r="G65" s="58">
        <v>1</v>
      </c>
      <c r="H65" s="58">
        <v>0</v>
      </c>
      <c r="I65" s="56">
        <v>150</v>
      </c>
      <c r="J65" s="59" t="s">
        <v>1181</v>
      </c>
      <c r="K65" s="59">
        <v>1</v>
      </c>
      <c r="L65" s="59">
        <f t="shared" si="0"/>
        <v>0</v>
      </c>
      <c r="M65" s="59"/>
      <c r="N65" s="58"/>
    </row>
    <row r="66" spans="1:14" ht="30">
      <c r="A66" s="56">
        <v>840</v>
      </c>
      <c r="B66" s="56">
        <v>840</v>
      </c>
      <c r="C66" s="56">
        <v>840</v>
      </c>
      <c r="D66" s="56" t="s">
        <v>1323</v>
      </c>
      <c r="F66" s="58" t="s">
        <v>24</v>
      </c>
      <c r="G66" s="58">
        <v>1</v>
      </c>
      <c r="H66" s="58">
        <v>0</v>
      </c>
      <c r="I66" s="56">
        <v>150</v>
      </c>
      <c r="J66" s="59" t="s">
        <v>1181</v>
      </c>
      <c r="K66" s="59">
        <v>1</v>
      </c>
      <c r="L66" s="59">
        <f t="shared" ref="L66:L129" si="1">H66*I66</f>
        <v>0</v>
      </c>
      <c r="M66" s="59"/>
      <c r="N66" s="58"/>
    </row>
    <row r="67" spans="1:14" ht="30">
      <c r="A67" s="56">
        <v>841</v>
      </c>
      <c r="B67" s="56">
        <v>841</v>
      </c>
      <c r="C67" s="56">
        <v>841</v>
      </c>
      <c r="D67" s="56" t="s">
        <v>1324</v>
      </c>
      <c r="F67" s="58" t="s">
        <v>24</v>
      </c>
      <c r="G67" s="58">
        <v>1</v>
      </c>
      <c r="H67" s="58">
        <v>0</v>
      </c>
      <c r="I67" s="56">
        <v>150</v>
      </c>
      <c r="J67" s="59" t="s">
        <v>1181</v>
      </c>
      <c r="K67" s="59">
        <v>1</v>
      </c>
      <c r="L67" s="59">
        <f t="shared" si="1"/>
        <v>0</v>
      </c>
      <c r="M67" s="59"/>
      <c r="N67" s="58"/>
    </row>
    <row r="68" spans="1:14" ht="30">
      <c r="A68" s="56">
        <v>842</v>
      </c>
      <c r="B68" s="56">
        <v>842</v>
      </c>
      <c r="C68" s="56">
        <v>842</v>
      </c>
      <c r="D68" s="56" t="s">
        <v>1501</v>
      </c>
      <c r="F68" s="58" t="s">
        <v>24</v>
      </c>
      <c r="G68" s="58">
        <v>1</v>
      </c>
      <c r="H68" s="58">
        <v>0</v>
      </c>
      <c r="I68" s="56">
        <v>117</v>
      </c>
      <c r="J68" s="59" t="s">
        <v>1181</v>
      </c>
      <c r="K68" s="59">
        <v>1</v>
      </c>
      <c r="L68" s="59">
        <f t="shared" si="1"/>
        <v>0</v>
      </c>
      <c r="M68" s="59"/>
      <c r="N68" s="58"/>
    </row>
    <row r="69" spans="1:14" ht="30">
      <c r="A69" s="56">
        <v>845</v>
      </c>
      <c r="B69" s="56">
        <v>845</v>
      </c>
      <c r="C69" s="56">
        <v>845</v>
      </c>
      <c r="D69" s="56" t="s">
        <v>1327</v>
      </c>
      <c r="F69" s="58" t="s">
        <v>24</v>
      </c>
      <c r="G69" s="58">
        <v>1</v>
      </c>
      <c r="H69" s="58">
        <v>0</v>
      </c>
      <c r="I69" s="56">
        <v>120</v>
      </c>
      <c r="J69" s="59" t="s">
        <v>1181</v>
      </c>
      <c r="K69" s="59">
        <v>1</v>
      </c>
      <c r="L69" s="59">
        <f t="shared" si="1"/>
        <v>0</v>
      </c>
      <c r="M69" s="59"/>
      <c r="N69" s="58"/>
    </row>
    <row r="70" spans="1:14" ht="30">
      <c r="A70" s="56">
        <v>846</v>
      </c>
      <c r="B70" s="56">
        <v>846</v>
      </c>
      <c r="C70" s="56">
        <v>846</v>
      </c>
      <c r="D70" s="56" t="s">
        <v>1328</v>
      </c>
      <c r="F70" s="58" t="s">
        <v>24</v>
      </c>
      <c r="G70" s="58">
        <v>1</v>
      </c>
      <c r="H70" s="58">
        <v>0</v>
      </c>
      <c r="I70" s="56">
        <v>77</v>
      </c>
      <c r="J70" s="59" t="s">
        <v>1181</v>
      </c>
      <c r="K70" s="59">
        <v>1</v>
      </c>
      <c r="L70" s="59">
        <f t="shared" si="1"/>
        <v>0</v>
      </c>
      <c r="M70" s="59"/>
      <c r="N70" s="58"/>
    </row>
    <row r="71" spans="1:14" ht="30">
      <c r="A71" s="56">
        <v>847</v>
      </c>
      <c r="B71" s="56">
        <v>847</v>
      </c>
      <c r="C71" s="56">
        <v>847</v>
      </c>
      <c r="D71" s="56" t="s">
        <v>1329</v>
      </c>
      <c r="F71" s="58" t="s">
        <v>24</v>
      </c>
      <c r="G71" s="58">
        <v>1</v>
      </c>
      <c r="H71" s="58">
        <v>0</v>
      </c>
      <c r="I71" s="56">
        <v>120</v>
      </c>
      <c r="J71" s="59" t="s">
        <v>1181</v>
      </c>
      <c r="K71" s="59">
        <v>1</v>
      </c>
      <c r="L71" s="59">
        <f t="shared" si="1"/>
        <v>0</v>
      </c>
      <c r="M71" s="59"/>
      <c r="N71" s="58"/>
    </row>
    <row r="72" spans="1:14" ht="30">
      <c r="A72" s="56">
        <v>851</v>
      </c>
      <c r="B72" s="56">
        <v>851</v>
      </c>
      <c r="C72" s="56">
        <v>851</v>
      </c>
      <c r="D72" s="56" t="s">
        <v>1502</v>
      </c>
      <c r="F72" s="58" t="s">
        <v>24</v>
      </c>
      <c r="G72" s="58">
        <v>1</v>
      </c>
      <c r="H72" s="58">
        <v>0</v>
      </c>
      <c r="I72" s="56">
        <v>120</v>
      </c>
      <c r="J72" s="59" t="s">
        <v>1181</v>
      </c>
      <c r="K72" s="59">
        <v>1</v>
      </c>
      <c r="L72" s="59">
        <f t="shared" si="1"/>
        <v>0</v>
      </c>
      <c r="M72" s="59"/>
      <c r="N72" s="58"/>
    </row>
    <row r="73" spans="1:14" ht="30">
      <c r="A73" s="56">
        <v>853</v>
      </c>
      <c r="B73" s="56">
        <v>853</v>
      </c>
      <c r="C73" s="56">
        <v>853</v>
      </c>
      <c r="D73" s="56" t="s">
        <v>1334</v>
      </c>
      <c r="F73" s="58" t="s">
        <v>24</v>
      </c>
      <c r="G73" s="58">
        <v>1</v>
      </c>
      <c r="H73" s="58">
        <v>0</v>
      </c>
      <c r="I73" s="56">
        <v>100</v>
      </c>
      <c r="J73" s="59" t="s">
        <v>1181</v>
      </c>
      <c r="K73" s="59">
        <v>1</v>
      </c>
      <c r="L73" s="59">
        <f t="shared" si="1"/>
        <v>0</v>
      </c>
      <c r="M73" s="59"/>
      <c r="N73" s="58"/>
    </row>
    <row r="74" spans="1:14" ht="30">
      <c r="A74" s="56">
        <v>854</v>
      </c>
      <c r="B74" s="56">
        <v>854</v>
      </c>
      <c r="C74" s="56">
        <v>854</v>
      </c>
      <c r="D74" s="56" t="s">
        <v>1335</v>
      </c>
      <c r="F74" s="58" t="s">
        <v>24</v>
      </c>
      <c r="G74" s="58">
        <v>1</v>
      </c>
      <c r="H74" s="58">
        <v>0</v>
      </c>
      <c r="I74" s="56">
        <v>35</v>
      </c>
      <c r="J74" s="59" t="s">
        <v>1181</v>
      </c>
      <c r="K74" s="59">
        <v>1</v>
      </c>
      <c r="L74" s="59">
        <f t="shared" si="1"/>
        <v>0</v>
      </c>
      <c r="M74" s="59"/>
      <c r="N74" s="58"/>
    </row>
    <row r="75" spans="1:14" ht="30">
      <c r="A75" s="56">
        <v>855</v>
      </c>
      <c r="B75" s="56">
        <v>855</v>
      </c>
      <c r="C75" s="56">
        <v>855</v>
      </c>
      <c r="D75" s="56" t="s">
        <v>1336</v>
      </c>
      <c r="F75" s="58" t="s">
        <v>24</v>
      </c>
      <c r="G75" s="58">
        <v>1</v>
      </c>
      <c r="H75" s="58">
        <v>0</v>
      </c>
      <c r="I75" s="56">
        <v>220</v>
      </c>
      <c r="J75" s="59" t="s">
        <v>1181</v>
      </c>
      <c r="K75" s="59">
        <v>1</v>
      </c>
      <c r="L75" s="59">
        <f t="shared" si="1"/>
        <v>0</v>
      </c>
      <c r="M75" s="59"/>
      <c r="N75" s="58"/>
    </row>
    <row r="76" spans="1:14" ht="30">
      <c r="A76" s="56">
        <v>856</v>
      </c>
      <c r="B76" s="56">
        <v>856</v>
      </c>
      <c r="C76" s="56">
        <v>856</v>
      </c>
      <c r="D76" s="56" t="s">
        <v>1503</v>
      </c>
      <c r="F76" s="58" t="s">
        <v>24</v>
      </c>
      <c r="G76" s="58">
        <v>1</v>
      </c>
      <c r="H76" s="58">
        <v>0</v>
      </c>
      <c r="I76" s="56">
        <v>200</v>
      </c>
      <c r="J76" s="59" t="s">
        <v>1181</v>
      </c>
      <c r="K76" s="59">
        <v>1</v>
      </c>
      <c r="L76" s="59">
        <f t="shared" si="1"/>
        <v>0</v>
      </c>
      <c r="M76" s="59"/>
      <c r="N76" s="58"/>
    </row>
    <row r="77" spans="1:14" ht="30">
      <c r="A77" s="56">
        <v>858</v>
      </c>
      <c r="B77" s="56">
        <v>858</v>
      </c>
      <c r="C77" s="56">
        <v>858</v>
      </c>
      <c r="D77" s="56" t="s">
        <v>1338</v>
      </c>
      <c r="F77" s="58" t="s">
        <v>24</v>
      </c>
      <c r="G77" s="58">
        <v>1</v>
      </c>
      <c r="H77" s="58">
        <v>0</v>
      </c>
      <c r="I77" s="56">
        <v>200</v>
      </c>
      <c r="J77" s="59" t="s">
        <v>1181</v>
      </c>
      <c r="K77" s="59">
        <v>1</v>
      </c>
      <c r="L77" s="59">
        <f t="shared" si="1"/>
        <v>0</v>
      </c>
      <c r="M77" s="59"/>
      <c r="N77" s="58"/>
    </row>
    <row r="78" spans="1:14" ht="30">
      <c r="A78" s="56">
        <v>862</v>
      </c>
      <c r="B78" s="56">
        <v>862</v>
      </c>
      <c r="C78" s="56">
        <v>862</v>
      </c>
      <c r="D78" s="56" t="s">
        <v>1342</v>
      </c>
      <c r="F78" s="58" t="s">
        <v>24</v>
      </c>
      <c r="G78" s="58">
        <v>1</v>
      </c>
      <c r="H78" s="58">
        <v>0</v>
      </c>
      <c r="I78" s="56">
        <v>120</v>
      </c>
      <c r="J78" s="59" t="s">
        <v>1181</v>
      </c>
      <c r="K78" s="59">
        <v>1</v>
      </c>
      <c r="L78" s="59">
        <f t="shared" si="1"/>
        <v>0</v>
      </c>
      <c r="M78" s="59"/>
      <c r="N78" s="58"/>
    </row>
    <row r="79" spans="1:14" ht="30">
      <c r="A79" s="56">
        <v>863</v>
      </c>
      <c r="B79" s="56">
        <v>863</v>
      </c>
      <c r="C79" s="56">
        <v>863</v>
      </c>
      <c r="D79" s="56" t="s">
        <v>1343</v>
      </c>
      <c r="F79" s="58" t="s">
        <v>24</v>
      </c>
      <c r="G79" s="58">
        <v>1</v>
      </c>
      <c r="H79" s="58">
        <v>0</v>
      </c>
      <c r="I79" s="56">
        <v>210</v>
      </c>
      <c r="J79" s="59" t="s">
        <v>1181</v>
      </c>
      <c r="K79" s="59">
        <v>1</v>
      </c>
      <c r="L79" s="59">
        <f t="shared" si="1"/>
        <v>0</v>
      </c>
      <c r="M79" s="59"/>
      <c r="N79" s="58"/>
    </row>
    <row r="80" spans="1:14" ht="30">
      <c r="A80" s="56">
        <v>864</v>
      </c>
      <c r="B80" s="56">
        <v>864</v>
      </c>
      <c r="C80" s="56">
        <v>864</v>
      </c>
      <c r="D80" s="56" t="s">
        <v>1344</v>
      </c>
      <c r="F80" s="58" t="s">
        <v>24</v>
      </c>
      <c r="G80" s="58">
        <v>1</v>
      </c>
      <c r="H80" s="58">
        <v>0</v>
      </c>
      <c r="I80" s="56">
        <v>98</v>
      </c>
      <c r="J80" s="59" t="s">
        <v>1181</v>
      </c>
      <c r="K80" s="59">
        <v>1</v>
      </c>
      <c r="L80" s="59">
        <f t="shared" si="1"/>
        <v>0</v>
      </c>
      <c r="M80" s="59"/>
      <c r="N80" s="58"/>
    </row>
    <row r="81" spans="1:14" ht="30">
      <c r="A81" s="56">
        <v>867</v>
      </c>
      <c r="B81" s="56">
        <v>867</v>
      </c>
      <c r="C81" s="56">
        <v>867</v>
      </c>
      <c r="D81" s="56" t="s">
        <v>1347</v>
      </c>
      <c r="F81" s="58" t="s">
        <v>24</v>
      </c>
      <c r="G81" s="58">
        <v>1</v>
      </c>
      <c r="H81" s="58">
        <v>0</v>
      </c>
      <c r="I81" s="56">
        <v>160</v>
      </c>
      <c r="J81" s="59" t="s">
        <v>1181</v>
      </c>
      <c r="K81" s="59">
        <v>1</v>
      </c>
      <c r="L81" s="59">
        <f t="shared" si="1"/>
        <v>0</v>
      </c>
      <c r="M81" s="59"/>
      <c r="N81" s="58"/>
    </row>
    <row r="82" spans="1:14" ht="30">
      <c r="A82" s="56">
        <v>868</v>
      </c>
      <c r="B82" s="56">
        <v>868</v>
      </c>
      <c r="C82" s="56">
        <v>868</v>
      </c>
      <c r="D82" s="56" t="s">
        <v>1343</v>
      </c>
      <c r="F82" s="58" t="s">
        <v>24</v>
      </c>
      <c r="G82" s="58">
        <v>1</v>
      </c>
      <c r="H82" s="58">
        <v>0</v>
      </c>
      <c r="I82" s="56">
        <v>180</v>
      </c>
      <c r="J82" s="59" t="s">
        <v>1181</v>
      </c>
      <c r="K82" s="59">
        <v>1</v>
      </c>
      <c r="L82" s="59">
        <f t="shared" si="1"/>
        <v>0</v>
      </c>
      <c r="M82" s="59"/>
      <c r="N82" s="58"/>
    </row>
    <row r="83" spans="1:14" ht="30">
      <c r="A83" s="56">
        <v>869</v>
      </c>
      <c r="B83" s="56">
        <v>869</v>
      </c>
      <c r="C83" s="56">
        <v>869</v>
      </c>
      <c r="D83" s="56" t="s">
        <v>1348</v>
      </c>
      <c r="F83" s="58" t="s">
        <v>24</v>
      </c>
      <c r="G83" s="58">
        <v>1</v>
      </c>
      <c r="H83" s="58">
        <v>0</v>
      </c>
      <c r="I83" s="56">
        <v>180</v>
      </c>
      <c r="J83" s="59" t="s">
        <v>1181</v>
      </c>
      <c r="K83" s="59">
        <v>1</v>
      </c>
      <c r="L83" s="59">
        <f t="shared" si="1"/>
        <v>0</v>
      </c>
      <c r="M83" s="59"/>
      <c r="N83" s="58"/>
    </row>
    <row r="84" spans="1:14" ht="30">
      <c r="A84" s="56">
        <v>870</v>
      </c>
      <c r="B84" s="56">
        <v>870</v>
      </c>
      <c r="C84" s="56">
        <v>870</v>
      </c>
      <c r="D84" s="56" t="s">
        <v>1349</v>
      </c>
      <c r="F84" s="58" t="s">
        <v>24</v>
      </c>
      <c r="G84" s="58">
        <v>1</v>
      </c>
      <c r="H84" s="58">
        <v>0</v>
      </c>
      <c r="I84" s="56">
        <v>195</v>
      </c>
      <c r="J84" s="59" t="s">
        <v>1181</v>
      </c>
      <c r="K84" s="59">
        <v>1</v>
      </c>
      <c r="L84" s="59">
        <f t="shared" si="1"/>
        <v>0</v>
      </c>
      <c r="M84" s="59"/>
      <c r="N84" s="58"/>
    </row>
    <row r="85" spans="1:14" ht="30">
      <c r="A85" s="56">
        <v>871</v>
      </c>
      <c r="B85" s="56">
        <v>871</v>
      </c>
      <c r="C85" s="56">
        <v>871</v>
      </c>
      <c r="D85" s="56" t="s">
        <v>1350</v>
      </c>
      <c r="F85" s="58" t="s">
        <v>24</v>
      </c>
      <c r="G85" s="58">
        <v>1</v>
      </c>
      <c r="H85" s="58">
        <v>0</v>
      </c>
      <c r="I85" s="56">
        <v>188</v>
      </c>
      <c r="J85" s="59" t="s">
        <v>1181</v>
      </c>
      <c r="K85" s="59">
        <v>1</v>
      </c>
      <c r="L85" s="59">
        <f t="shared" si="1"/>
        <v>0</v>
      </c>
      <c r="M85" s="59"/>
      <c r="N85" s="58"/>
    </row>
    <row r="86" spans="1:14" ht="30">
      <c r="A86" s="56">
        <v>872</v>
      </c>
      <c r="B86" s="56">
        <v>872</v>
      </c>
      <c r="C86" s="56">
        <v>872</v>
      </c>
      <c r="D86" s="56" t="s">
        <v>1351</v>
      </c>
      <c r="F86" s="58" t="s">
        <v>24</v>
      </c>
      <c r="G86" s="58">
        <v>1</v>
      </c>
      <c r="H86" s="58">
        <v>0</v>
      </c>
      <c r="I86" s="56">
        <v>173</v>
      </c>
      <c r="J86" s="59" t="s">
        <v>1181</v>
      </c>
      <c r="K86" s="59">
        <v>1</v>
      </c>
      <c r="L86" s="59">
        <f t="shared" si="1"/>
        <v>0</v>
      </c>
      <c r="M86" s="59"/>
      <c r="N86" s="58"/>
    </row>
    <row r="87" spans="1:14" ht="30">
      <c r="A87" s="56">
        <v>873</v>
      </c>
      <c r="B87" s="56">
        <v>873</v>
      </c>
      <c r="C87" s="56">
        <v>873</v>
      </c>
      <c r="D87" s="56" t="s">
        <v>1352</v>
      </c>
      <c r="F87" s="58" t="s">
        <v>24</v>
      </c>
      <c r="G87" s="58">
        <v>1</v>
      </c>
      <c r="H87" s="58">
        <v>0</v>
      </c>
      <c r="I87" s="56">
        <v>120</v>
      </c>
      <c r="J87" s="59" t="s">
        <v>1181</v>
      </c>
      <c r="K87" s="59">
        <v>1</v>
      </c>
      <c r="L87" s="59">
        <f t="shared" si="1"/>
        <v>0</v>
      </c>
      <c r="M87" s="59"/>
      <c r="N87" s="58"/>
    </row>
    <row r="88" spans="1:14" ht="30">
      <c r="A88" s="56">
        <v>874</v>
      </c>
      <c r="B88" s="56">
        <v>874</v>
      </c>
      <c r="C88" s="56">
        <v>874</v>
      </c>
      <c r="D88" s="56" t="s">
        <v>1353</v>
      </c>
      <c r="F88" s="58" t="s">
        <v>24</v>
      </c>
      <c r="G88" s="58">
        <v>1</v>
      </c>
      <c r="H88" s="58">
        <v>0</v>
      </c>
      <c r="I88" s="56">
        <v>140</v>
      </c>
      <c r="J88" s="59" t="s">
        <v>1181</v>
      </c>
      <c r="K88" s="59">
        <v>1</v>
      </c>
      <c r="L88" s="59">
        <f t="shared" si="1"/>
        <v>0</v>
      </c>
      <c r="M88" s="59"/>
      <c r="N88" s="58"/>
    </row>
    <row r="89" spans="1:14" ht="30">
      <c r="A89" s="56">
        <v>876</v>
      </c>
      <c r="B89" s="56">
        <v>876</v>
      </c>
      <c r="C89" s="56">
        <v>876</v>
      </c>
      <c r="D89" s="56" t="s">
        <v>1355</v>
      </c>
      <c r="F89" s="58" t="s">
        <v>24</v>
      </c>
      <c r="G89" s="58">
        <v>1</v>
      </c>
      <c r="H89" s="58">
        <v>0</v>
      </c>
      <c r="I89" s="56">
        <v>100</v>
      </c>
      <c r="J89" s="59" t="s">
        <v>1181</v>
      </c>
      <c r="K89" s="59">
        <v>1</v>
      </c>
      <c r="L89" s="59">
        <f t="shared" si="1"/>
        <v>0</v>
      </c>
      <c r="M89" s="59"/>
      <c r="N89" s="58"/>
    </row>
    <row r="90" spans="1:14" ht="30">
      <c r="A90" s="56">
        <v>877</v>
      </c>
      <c r="B90" s="56">
        <v>877</v>
      </c>
      <c r="C90" s="56">
        <v>877</v>
      </c>
      <c r="D90" s="56" t="s">
        <v>1356</v>
      </c>
      <c r="F90" s="58" t="s">
        <v>24</v>
      </c>
      <c r="G90" s="58">
        <v>1</v>
      </c>
      <c r="H90" s="58">
        <v>0</v>
      </c>
      <c r="I90" s="56">
        <v>100</v>
      </c>
      <c r="J90" s="59" t="s">
        <v>1181</v>
      </c>
      <c r="K90" s="59">
        <v>1</v>
      </c>
      <c r="L90" s="59">
        <f t="shared" si="1"/>
        <v>0</v>
      </c>
      <c r="M90" s="59"/>
      <c r="N90" s="58"/>
    </row>
    <row r="91" spans="1:14" ht="30">
      <c r="A91" s="56">
        <v>879</v>
      </c>
      <c r="B91" s="56">
        <v>879</v>
      </c>
      <c r="C91" s="56">
        <v>879</v>
      </c>
      <c r="D91" s="56" t="s">
        <v>1358</v>
      </c>
      <c r="F91" s="58" t="s">
        <v>24</v>
      </c>
      <c r="G91" s="58">
        <v>1</v>
      </c>
      <c r="H91" s="58">
        <v>0</v>
      </c>
      <c r="I91" s="56">
        <v>180</v>
      </c>
      <c r="J91" s="59" t="s">
        <v>1181</v>
      </c>
      <c r="K91" s="59">
        <v>1</v>
      </c>
      <c r="L91" s="59">
        <f t="shared" si="1"/>
        <v>0</v>
      </c>
      <c r="M91" s="59"/>
      <c r="N91" s="58"/>
    </row>
    <row r="92" spans="1:14" ht="30">
      <c r="A92" s="56">
        <v>913</v>
      </c>
      <c r="B92" s="56">
        <v>913</v>
      </c>
      <c r="C92" s="56">
        <v>913</v>
      </c>
      <c r="D92" s="56" t="s">
        <v>1360</v>
      </c>
      <c r="F92" s="58" t="s">
        <v>24</v>
      </c>
      <c r="G92" s="58">
        <v>1</v>
      </c>
      <c r="H92" s="58">
        <v>0</v>
      </c>
      <c r="I92" s="56">
        <v>200</v>
      </c>
      <c r="J92" s="59" t="s">
        <v>1181</v>
      </c>
      <c r="K92" s="59">
        <v>1</v>
      </c>
      <c r="L92" s="59">
        <f t="shared" si="1"/>
        <v>0</v>
      </c>
      <c r="M92" s="59"/>
      <c r="N92" s="58"/>
    </row>
    <row r="93" spans="1:14" ht="30">
      <c r="A93" s="56">
        <v>914</v>
      </c>
      <c r="B93" s="56">
        <v>914</v>
      </c>
      <c r="C93" s="56">
        <v>914</v>
      </c>
      <c r="D93" s="56" t="s">
        <v>1361</v>
      </c>
      <c r="F93" s="58" t="s">
        <v>24</v>
      </c>
      <c r="G93" s="58">
        <v>1</v>
      </c>
      <c r="H93" s="58">
        <v>0</v>
      </c>
      <c r="I93" s="56">
        <v>200</v>
      </c>
      <c r="J93" s="59" t="s">
        <v>1181</v>
      </c>
      <c r="K93" s="59">
        <v>1</v>
      </c>
      <c r="L93" s="59">
        <f t="shared" si="1"/>
        <v>0</v>
      </c>
      <c r="M93" s="59"/>
      <c r="N93" s="58"/>
    </row>
    <row r="94" spans="1:14" ht="30">
      <c r="A94" s="56">
        <v>917</v>
      </c>
      <c r="B94" s="56">
        <v>917</v>
      </c>
      <c r="C94" s="56">
        <v>917</v>
      </c>
      <c r="D94" s="56" t="s">
        <v>1363</v>
      </c>
      <c r="F94" s="58" t="s">
        <v>24</v>
      </c>
      <c r="G94" s="58">
        <v>1</v>
      </c>
      <c r="H94" s="58">
        <v>0</v>
      </c>
      <c r="J94" s="59" t="s">
        <v>1181</v>
      </c>
      <c r="K94" s="59">
        <v>1</v>
      </c>
      <c r="L94" s="59">
        <f t="shared" si="1"/>
        <v>0</v>
      </c>
      <c r="M94" s="59"/>
      <c r="N94" s="58"/>
    </row>
    <row r="95" spans="1:14" ht="30">
      <c r="A95" s="56">
        <v>921</v>
      </c>
      <c r="B95" s="56">
        <v>921</v>
      </c>
      <c r="C95" s="56">
        <v>921</v>
      </c>
      <c r="D95" s="56" t="s">
        <v>1367</v>
      </c>
      <c r="F95" s="58" t="s">
        <v>24</v>
      </c>
      <c r="G95" s="58">
        <v>1</v>
      </c>
      <c r="H95" s="58">
        <v>0</v>
      </c>
      <c r="I95" s="56">
        <v>50</v>
      </c>
      <c r="J95" s="59" t="s">
        <v>1181</v>
      </c>
      <c r="K95" s="59">
        <v>1</v>
      </c>
      <c r="L95" s="59">
        <f t="shared" si="1"/>
        <v>0</v>
      </c>
      <c r="M95" s="59"/>
      <c r="N95" s="58"/>
    </row>
    <row r="96" spans="1:14" ht="30">
      <c r="A96" s="56">
        <v>923</v>
      </c>
      <c r="B96" s="56">
        <v>923</v>
      </c>
      <c r="C96" s="56">
        <v>923</v>
      </c>
      <c r="D96" s="56" t="s">
        <v>1369</v>
      </c>
      <c r="F96" s="58" t="s">
        <v>24</v>
      </c>
      <c r="G96" s="58">
        <v>1</v>
      </c>
      <c r="H96" s="58">
        <v>0</v>
      </c>
      <c r="I96" s="56">
        <v>66.7</v>
      </c>
      <c r="J96" s="59" t="s">
        <v>1181</v>
      </c>
      <c r="K96" s="59">
        <v>1</v>
      </c>
      <c r="L96" s="59">
        <f t="shared" si="1"/>
        <v>0</v>
      </c>
      <c r="M96" s="59"/>
      <c r="N96" s="58"/>
    </row>
    <row r="97" spans="1:14" ht="30">
      <c r="A97" s="56">
        <v>924</v>
      </c>
      <c r="B97" s="56">
        <v>924</v>
      </c>
      <c r="C97" s="56">
        <v>924</v>
      </c>
      <c r="D97" s="56" t="s">
        <v>1370</v>
      </c>
      <c r="F97" s="58" t="s">
        <v>24</v>
      </c>
      <c r="G97" s="58">
        <v>1</v>
      </c>
      <c r="H97" s="58">
        <v>0</v>
      </c>
      <c r="I97" s="56">
        <v>71.400000000000006</v>
      </c>
      <c r="J97" s="59" t="s">
        <v>1181</v>
      </c>
      <c r="K97" s="59">
        <v>1</v>
      </c>
      <c r="L97" s="59">
        <f t="shared" si="1"/>
        <v>0</v>
      </c>
      <c r="M97" s="59"/>
      <c r="N97" s="58"/>
    </row>
    <row r="98" spans="1:14" ht="30">
      <c r="A98" s="56">
        <v>925</v>
      </c>
      <c r="B98" s="56">
        <v>925</v>
      </c>
      <c r="C98" s="56">
        <v>925</v>
      </c>
      <c r="D98" s="56" t="s">
        <v>1371</v>
      </c>
      <c r="F98" s="58" t="s">
        <v>24</v>
      </c>
      <c r="G98" s="58">
        <v>1</v>
      </c>
      <c r="H98" s="58">
        <v>0</v>
      </c>
      <c r="I98" s="56">
        <v>93</v>
      </c>
      <c r="J98" s="59" t="s">
        <v>1181</v>
      </c>
      <c r="K98" s="59">
        <v>1</v>
      </c>
      <c r="L98" s="59">
        <f t="shared" si="1"/>
        <v>0</v>
      </c>
      <c r="M98" s="59"/>
      <c r="N98" s="58"/>
    </row>
    <row r="99" spans="1:14" ht="30">
      <c r="A99" s="56">
        <v>926</v>
      </c>
      <c r="B99" s="56">
        <v>926</v>
      </c>
      <c r="C99" s="56">
        <v>926</v>
      </c>
      <c r="D99" s="56" t="s">
        <v>1372</v>
      </c>
      <c r="F99" s="58" t="s">
        <v>2255</v>
      </c>
      <c r="G99" s="58">
        <v>1</v>
      </c>
      <c r="H99" s="58">
        <v>0</v>
      </c>
      <c r="I99" s="56">
        <v>117</v>
      </c>
      <c r="J99" s="59" t="s">
        <v>1181</v>
      </c>
      <c r="K99" s="59">
        <v>1</v>
      </c>
      <c r="L99" s="59">
        <f t="shared" si="1"/>
        <v>0</v>
      </c>
      <c r="M99" s="59"/>
      <c r="N99" s="58"/>
    </row>
    <row r="100" spans="1:14" ht="30">
      <c r="A100" s="56">
        <v>927</v>
      </c>
      <c r="B100" s="56">
        <v>927</v>
      </c>
      <c r="C100" s="56">
        <v>927</v>
      </c>
      <c r="D100" s="56" t="s">
        <v>1504</v>
      </c>
      <c r="F100" s="58" t="s">
        <v>24</v>
      </c>
      <c r="G100" s="58">
        <v>1</v>
      </c>
      <c r="H100" s="58">
        <v>0</v>
      </c>
      <c r="I100" s="56">
        <v>70</v>
      </c>
      <c r="J100" s="59" t="s">
        <v>1181</v>
      </c>
      <c r="K100" s="59">
        <v>1</v>
      </c>
      <c r="L100" s="59">
        <f t="shared" si="1"/>
        <v>0</v>
      </c>
      <c r="M100" s="59"/>
      <c r="N100" s="58"/>
    </row>
    <row r="101" spans="1:14" ht="30">
      <c r="A101" s="56">
        <v>928</v>
      </c>
      <c r="B101" s="56">
        <v>928</v>
      </c>
      <c r="C101" s="56">
        <v>928</v>
      </c>
      <c r="D101" s="56" t="s">
        <v>1373</v>
      </c>
      <c r="F101" s="58" t="s">
        <v>24</v>
      </c>
      <c r="G101" s="58">
        <v>1</v>
      </c>
      <c r="H101" s="58">
        <v>0</v>
      </c>
      <c r="J101" s="59" t="s">
        <v>1181</v>
      </c>
      <c r="K101" s="59">
        <v>1</v>
      </c>
      <c r="L101" s="59">
        <f t="shared" si="1"/>
        <v>0</v>
      </c>
      <c r="M101" s="59"/>
      <c r="N101" s="58"/>
    </row>
    <row r="102" spans="1:14" ht="30">
      <c r="A102" s="56">
        <v>934</v>
      </c>
      <c r="B102" s="56">
        <v>934</v>
      </c>
      <c r="C102" s="56">
        <v>934</v>
      </c>
      <c r="D102" s="56" t="s">
        <v>1375</v>
      </c>
      <c r="F102" s="58" t="s">
        <v>24</v>
      </c>
      <c r="G102" s="58">
        <v>1</v>
      </c>
      <c r="H102" s="58">
        <v>0</v>
      </c>
      <c r="I102" s="56">
        <v>93</v>
      </c>
      <c r="J102" s="59" t="s">
        <v>1181</v>
      </c>
      <c r="K102" s="59">
        <v>1</v>
      </c>
      <c r="L102" s="59">
        <f t="shared" si="1"/>
        <v>0</v>
      </c>
      <c r="M102" s="59"/>
      <c r="N102" s="58"/>
    </row>
    <row r="103" spans="1:14" ht="30">
      <c r="A103" s="56">
        <v>937</v>
      </c>
      <c r="B103" s="56">
        <v>937</v>
      </c>
      <c r="C103" s="56">
        <v>937</v>
      </c>
      <c r="D103" s="56" t="s">
        <v>1520</v>
      </c>
      <c r="F103" s="58" t="s">
        <v>24</v>
      </c>
      <c r="G103" s="58">
        <v>1</v>
      </c>
      <c r="H103" s="58">
        <v>0</v>
      </c>
      <c r="I103" s="56">
        <v>186</v>
      </c>
      <c r="J103" s="59" t="s">
        <v>1181</v>
      </c>
      <c r="K103" s="59">
        <v>1</v>
      </c>
      <c r="L103" s="59">
        <f t="shared" si="1"/>
        <v>0</v>
      </c>
      <c r="M103" s="59"/>
      <c r="N103" s="58"/>
    </row>
    <row r="104" spans="1:14" ht="30">
      <c r="A104" s="56">
        <v>938</v>
      </c>
      <c r="B104" s="56">
        <v>938</v>
      </c>
      <c r="C104" s="56">
        <v>938</v>
      </c>
      <c r="D104" s="56" t="s">
        <v>1505</v>
      </c>
      <c r="F104" s="58" t="s">
        <v>24</v>
      </c>
      <c r="G104" s="58">
        <v>1</v>
      </c>
      <c r="H104" s="58">
        <v>0</v>
      </c>
      <c r="I104" s="56">
        <v>90</v>
      </c>
      <c r="J104" s="59" t="s">
        <v>1181</v>
      </c>
      <c r="K104" s="59">
        <v>1</v>
      </c>
      <c r="L104" s="59">
        <f t="shared" si="1"/>
        <v>0</v>
      </c>
      <c r="M104" s="59"/>
      <c r="N104" s="58"/>
    </row>
    <row r="105" spans="1:14" ht="30">
      <c r="A105" s="56">
        <v>939</v>
      </c>
      <c r="B105" s="56">
        <v>939</v>
      </c>
      <c r="C105" s="56">
        <v>939</v>
      </c>
      <c r="D105" s="56" t="s">
        <v>1521</v>
      </c>
      <c r="F105" s="58" t="s">
        <v>24</v>
      </c>
      <c r="G105" s="58">
        <v>1</v>
      </c>
      <c r="H105" s="58">
        <v>0</v>
      </c>
      <c r="I105" s="56">
        <v>180</v>
      </c>
      <c r="J105" s="59" t="s">
        <v>1181</v>
      </c>
      <c r="K105" s="59">
        <v>1</v>
      </c>
      <c r="L105" s="59">
        <f t="shared" si="1"/>
        <v>0</v>
      </c>
      <c r="M105" s="59"/>
      <c r="N105" s="58"/>
    </row>
    <row r="106" spans="1:14" ht="30">
      <c r="A106" s="56">
        <v>940</v>
      </c>
      <c r="B106" s="56">
        <v>940</v>
      </c>
      <c r="C106" s="56">
        <v>940</v>
      </c>
      <c r="D106" s="56" t="s">
        <v>1506</v>
      </c>
      <c r="F106" s="58" t="s">
        <v>24</v>
      </c>
      <c r="G106" s="58">
        <v>1</v>
      </c>
      <c r="H106" s="58">
        <v>0</v>
      </c>
      <c r="I106" s="56">
        <v>70</v>
      </c>
      <c r="J106" s="59" t="s">
        <v>1181</v>
      </c>
      <c r="K106" s="59">
        <v>1</v>
      </c>
      <c r="L106" s="59">
        <f t="shared" si="1"/>
        <v>0</v>
      </c>
      <c r="M106" s="59"/>
      <c r="N106" s="58"/>
    </row>
    <row r="107" spans="1:14" ht="30">
      <c r="A107" s="56">
        <v>941</v>
      </c>
      <c r="B107" s="56">
        <v>941</v>
      </c>
      <c r="C107" s="56">
        <v>941</v>
      </c>
      <c r="D107" s="56" t="s">
        <v>2260</v>
      </c>
      <c r="F107" s="58" t="s">
        <v>24</v>
      </c>
      <c r="G107" s="58">
        <v>1</v>
      </c>
      <c r="H107" s="58">
        <v>0</v>
      </c>
      <c r="I107" s="56">
        <v>70</v>
      </c>
      <c r="J107" s="59" t="s">
        <v>1181</v>
      </c>
      <c r="K107" s="59">
        <v>1</v>
      </c>
      <c r="L107" s="59">
        <f t="shared" si="1"/>
        <v>0</v>
      </c>
      <c r="M107" s="59"/>
      <c r="N107" s="58"/>
    </row>
    <row r="108" spans="1:14" ht="30">
      <c r="A108" s="56">
        <v>950</v>
      </c>
      <c r="B108" s="56">
        <v>950</v>
      </c>
      <c r="C108" s="56">
        <v>950</v>
      </c>
      <c r="D108" s="56" t="s">
        <v>1379</v>
      </c>
      <c r="F108" s="58" t="s">
        <v>24</v>
      </c>
      <c r="G108" s="58">
        <v>1</v>
      </c>
      <c r="H108" s="58">
        <v>0</v>
      </c>
      <c r="I108" s="56">
        <v>200</v>
      </c>
      <c r="J108" s="59" t="s">
        <v>1181</v>
      </c>
      <c r="K108" s="59">
        <v>1</v>
      </c>
      <c r="L108" s="59">
        <f t="shared" si="1"/>
        <v>0</v>
      </c>
      <c r="M108" s="59"/>
      <c r="N108" s="58"/>
    </row>
    <row r="109" spans="1:14" ht="30">
      <c r="A109" s="56">
        <v>951</v>
      </c>
      <c r="B109" s="56">
        <v>951</v>
      </c>
      <c r="C109" s="56">
        <v>951</v>
      </c>
      <c r="D109" s="56" t="s">
        <v>1380</v>
      </c>
      <c r="F109" s="58" t="s">
        <v>24</v>
      </c>
      <c r="G109" s="58">
        <v>1</v>
      </c>
      <c r="H109" s="58">
        <v>0</v>
      </c>
      <c r="I109" s="56">
        <v>200</v>
      </c>
      <c r="J109" s="59" t="s">
        <v>1181</v>
      </c>
      <c r="K109" s="59">
        <v>1</v>
      </c>
      <c r="L109" s="59">
        <f t="shared" si="1"/>
        <v>0</v>
      </c>
      <c r="M109" s="59"/>
      <c r="N109" s="58"/>
    </row>
    <row r="110" spans="1:14" ht="30">
      <c r="A110" s="56">
        <v>960</v>
      </c>
      <c r="B110" s="56">
        <v>960</v>
      </c>
      <c r="C110" s="56">
        <v>960</v>
      </c>
      <c r="D110" s="56" t="s">
        <v>1381</v>
      </c>
      <c r="F110" s="58" t="s">
        <v>24</v>
      </c>
      <c r="G110" s="58">
        <v>1</v>
      </c>
      <c r="H110" s="58">
        <v>0</v>
      </c>
      <c r="I110" s="56">
        <v>500</v>
      </c>
      <c r="J110" s="59" t="s">
        <v>1181</v>
      </c>
      <c r="K110" s="59">
        <v>1</v>
      </c>
      <c r="L110" s="59">
        <f t="shared" si="1"/>
        <v>0</v>
      </c>
      <c r="M110" s="59"/>
      <c r="N110" s="58"/>
    </row>
    <row r="111" spans="1:14" ht="30">
      <c r="A111" s="56">
        <v>961</v>
      </c>
      <c r="B111" s="56">
        <v>961</v>
      </c>
      <c r="C111" s="56">
        <v>961</v>
      </c>
      <c r="D111" s="56" t="s">
        <v>1382</v>
      </c>
      <c r="F111" s="58" t="s">
        <v>24</v>
      </c>
      <c r="G111" s="58">
        <v>1</v>
      </c>
      <c r="H111" s="58">
        <v>0</v>
      </c>
      <c r="I111" s="56">
        <v>500</v>
      </c>
      <c r="J111" s="59" t="s">
        <v>1181</v>
      </c>
      <c r="K111" s="59">
        <v>1</v>
      </c>
      <c r="L111" s="59">
        <f t="shared" si="1"/>
        <v>0</v>
      </c>
      <c r="M111" s="59"/>
      <c r="N111" s="58"/>
    </row>
    <row r="112" spans="1:14" ht="30">
      <c r="A112" s="56">
        <v>962</v>
      </c>
      <c r="B112" s="56">
        <v>962</v>
      </c>
      <c r="C112" s="56">
        <v>962</v>
      </c>
      <c r="D112" s="56" t="s">
        <v>1383</v>
      </c>
      <c r="F112" s="58" t="s">
        <v>24</v>
      </c>
      <c r="G112" s="58">
        <v>1</v>
      </c>
      <c r="H112" s="58">
        <v>0</v>
      </c>
      <c r="I112" s="56">
        <v>450</v>
      </c>
      <c r="J112" s="59" t="s">
        <v>1181</v>
      </c>
      <c r="K112" s="59">
        <v>1</v>
      </c>
      <c r="L112" s="59">
        <f t="shared" si="1"/>
        <v>0</v>
      </c>
      <c r="M112" s="59"/>
      <c r="N112" s="58"/>
    </row>
    <row r="113" spans="1:14" ht="30">
      <c r="A113" s="56">
        <v>963</v>
      </c>
      <c r="B113" s="56">
        <v>963</v>
      </c>
      <c r="C113" s="56">
        <v>963</v>
      </c>
      <c r="D113" s="56" t="s">
        <v>1384</v>
      </c>
      <c r="F113" s="58" t="s">
        <v>24</v>
      </c>
      <c r="G113" s="58">
        <v>1</v>
      </c>
      <c r="H113" s="58">
        <v>0</v>
      </c>
      <c r="J113" s="59" t="s">
        <v>1181</v>
      </c>
      <c r="K113" s="59">
        <v>1</v>
      </c>
      <c r="L113" s="59">
        <f t="shared" si="1"/>
        <v>0</v>
      </c>
      <c r="M113" s="59"/>
      <c r="N113" s="58"/>
    </row>
    <row r="114" spans="1:14" ht="30">
      <c r="A114" s="56">
        <v>965</v>
      </c>
      <c r="B114" s="56">
        <v>965</v>
      </c>
      <c r="C114" s="56">
        <v>965</v>
      </c>
      <c r="D114" s="56" t="s">
        <v>1386</v>
      </c>
      <c r="F114" s="58" t="s">
        <v>24</v>
      </c>
      <c r="G114" s="58">
        <v>1</v>
      </c>
      <c r="H114" s="58">
        <v>0</v>
      </c>
      <c r="I114" s="56">
        <v>450</v>
      </c>
      <c r="J114" s="59" t="s">
        <v>1181</v>
      </c>
      <c r="K114" s="59">
        <v>1</v>
      </c>
      <c r="L114" s="59">
        <f t="shared" si="1"/>
        <v>0</v>
      </c>
      <c r="M114" s="59"/>
      <c r="N114" s="58"/>
    </row>
    <row r="115" spans="1:14" ht="30">
      <c r="A115" s="56">
        <v>966</v>
      </c>
      <c r="B115" s="56">
        <v>966</v>
      </c>
      <c r="C115" s="56">
        <v>966</v>
      </c>
      <c r="D115" s="56" t="s">
        <v>1387</v>
      </c>
      <c r="F115" s="58" t="s">
        <v>24</v>
      </c>
      <c r="G115" s="58">
        <v>1</v>
      </c>
      <c r="H115" s="58">
        <v>0</v>
      </c>
      <c r="I115" s="56">
        <v>450</v>
      </c>
      <c r="J115" s="59" t="s">
        <v>1181</v>
      </c>
      <c r="K115" s="59">
        <v>1</v>
      </c>
      <c r="L115" s="59">
        <f t="shared" si="1"/>
        <v>0</v>
      </c>
      <c r="M115" s="59"/>
      <c r="N115" s="58"/>
    </row>
    <row r="116" spans="1:14" ht="30">
      <c r="A116" s="56">
        <v>969</v>
      </c>
      <c r="B116" s="56">
        <v>969</v>
      </c>
      <c r="C116" s="56">
        <v>969</v>
      </c>
      <c r="D116" s="56" t="s">
        <v>1390</v>
      </c>
      <c r="F116" s="58" t="s">
        <v>24</v>
      </c>
      <c r="G116" s="58">
        <v>1</v>
      </c>
      <c r="H116" s="58">
        <v>0</v>
      </c>
      <c r="I116" s="56">
        <v>450</v>
      </c>
      <c r="J116" s="59" t="s">
        <v>1181</v>
      </c>
      <c r="K116" s="59">
        <v>1</v>
      </c>
      <c r="L116" s="59">
        <f t="shared" si="1"/>
        <v>0</v>
      </c>
      <c r="M116" s="59"/>
      <c r="N116" s="58"/>
    </row>
    <row r="117" spans="1:14" ht="30">
      <c r="A117" s="56">
        <v>974</v>
      </c>
      <c r="B117" s="56">
        <v>974</v>
      </c>
      <c r="C117" s="56">
        <v>974</v>
      </c>
      <c r="D117" s="56" t="s">
        <v>1392</v>
      </c>
      <c r="F117" s="58" t="s">
        <v>24</v>
      </c>
      <c r="G117" s="58">
        <v>1</v>
      </c>
      <c r="H117" s="58">
        <v>0</v>
      </c>
      <c r="I117" s="56">
        <v>190</v>
      </c>
      <c r="J117" s="59" t="s">
        <v>1181</v>
      </c>
      <c r="K117" s="59">
        <v>1</v>
      </c>
      <c r="L117" s="59">
        <f t="shared" si="1"/>
        <v>0</v>
      </c>
      <c r="M117" s="59"/>
      <c r="N117" s="58"/>
    </row>
    <row r="118" spans="1:14" ht="30">
      <c r="A118" s="56">
        <v>986</v>
      </c>
      <c r="B118" s="56">
        <v>986</v>
      </c>
      <c r="C118" s="56">
        <v>986</v>
      </c>
      <c r="D118" s="56" t="s">
        <v>1395</v>
      </c>
      <c r="F118" s="58" t="s">
        <v>24</v>
      </c>
      <c r="G118" s="58">
        <v>1</v>
      </c>
      <c r="H118" s="58">
        <v>0</v>
      </c>
      <c r="I118" s="56">
        <v>68</v>
      </c>
      <c r="J118" s="59" t="s">
        <v>1181</v>
      </c>
      <c r="K118" s="59">
        <v>1</v>
      </c>
      <c r="L118" s="59">
        <f t="shared" si="1"/>
        <v>0</v>
      </c>
      <c r="M118" s="59"/>
      <c r="N118" s="58"/>
    </row>
    <row r="119" spans="1:14" ht="30">
      <c r="A119" s="56">
        <v>1039</v>
      </c>
      <c r="B119" s="56">
        <v>1039</v>
      </c>
      <c r="C119" s="56">
        <v>1039</v>
      </c>
      <c r="D119" s="56" t="s">
        <v>1400</v>
      </c>
      <c r="F119" s="58" t="s">
        <v>24</v>
      </c>
      <c r="G119" s="58">
        <v>1</v>
      </c>
      <c r="H119" s="58">
        <v>0</v>
      </c>
      <c r="I119" s="56">
        <v>86</v>
      </c>
      <c r="J119" s="59" t="s">
        <v>1181</v>
      </c>
      <c r="K119" s="59">
        <v>1</v>
      </c>
      <c r="L119" s="59">
        <f t="shared" si="1"/>
        <v>0</v>
      </c>
      <c r="M119" s="59"/>
      <c r="N119" s="58"/>
    </row>
    <row r="120" spans="1:14" ht="30">
      <c r="A120" s="56">
        <v>1048</v>
      </c>
      <c r="B120" s="56">
        <v>1048</v>
      </c>
      <c r="C120" s="56">
        <v>1048</v>
      </c>
      <c r="D120" s="56" t="s">
        <v>1401</v>
      </c>
      <c r="F120" s="58" t="s">
        <v>24</v>
      </c>
      <c r="G120" s="58">
        <v>1</v>
      </c>
      <c r="H120" s="58">
        <v>0</v>
      </c>
      <c r="I120" s="56">
        <v>200</v>
      </c>
      <c r="J120" s="59" t="s">
        <v>1181</v>
      </c>
      <c r="K120" s="59">
        <v>1</v>
      </c>
      <c r="L120" s="59">
        <f t="shared" si="1"/>
        <v>0</v>
      </c>
      <c r="M120" s="59"/>
      <c r="N120" s="58"/>
    </row>
    <row r="121" spans="1:14" ht="30">
      <c r="A121" s="56">
        <v>1049</v>
      </c>
      <c r="B121" s="56">
        <v>1049</v>
      </c>
      <c r="C121" s="56">
        <v>1049</v>
      </c>
      <c r="D121" s="56" t="s">
        <v>1402</v>
      </c>
      <c r="F121" s="58" t="s">
        <v>24</v>
      </c>
      <c r="G121" s="58">
        <v>1</v>
      </c>
      <c r="H121" s="58">
        <v>0</v>
      </c>
      <c r="I121" s="56">
        <v>7</v>
      </c>
      <c r="J121" s="59" t="s">
        <v>1181</v>
      </c>
      <c r="K121" s="59">
        <v>1</v>
      </c>
      <c r="L121" s="59">
        <f t="shared" si="1"/>
        <v>0</v>
      </c>
      <c r="M121" s="59"/>
      <c r="N121" s="58"/>
    </row>
    <row r="122" spans="1:14" ht="30">
      <c r="A122" s="56">
        <v>1052</v>
      </c>
      <c r="B122" s="56">
        <v>1052</v>
      </c>
      <c r="C122" s="56">
        <v>1052</v>
      </c>
      <c r="D122" s="56" t="s">
        <v>1187</v>
      </c>
      <c r="F122" s="58" t="s">
        <v>1201</v>
      </c>
      <c r="G122" s="58">
        <v>1</v>
      </c>
      <c r="H122" s="58">
        <v>0</v>
      </c>
      <c r="I122" s="56">
        <v>10</v>
      </c>
      <c r="J122" s="59" t="s">
        <v>1181</v>
      </c>
      <c r="K122" s="59">
        <v>1</v>
      </c>
      <c r="L122" s="59">
        <f t="shared" si="1"/>
        <v>0</v>
      </c>
      <c r="M122" s="59"/>
      <c r="N122" s="58"/>
    </row>
    <row r="123" spans="1:14" ht="30">
      <c r="A123" s="56">
        <v>1053</v>
      </c>
      <c r="B123" s="56">
        <v>1053</v>
      </c>
      <c r="C123" s="56">
        <v>1053</v>
      </c>
      <c r="D123" s="56" t="s">
        <v>1188</v>
      </c>
      <c r="F123" s="58" t="s">
        <v>24</v>
      </c>
      <c r="G123" s="58">
        <v>1</v>
      </c>
      <c r="H123" s="58">
        <v>0</v>
      </c>
      <c r="I123" s="56">
        <v>15</v>
      </c>
      <c r="J123" s="59" t="s">
        <v>1181</v>
      </c>
      <c r="K123" s="59">
        <v>1</v>
      </c>
      <c r="L123" s="59">
        <f t="shared" si="1"/>
        <v>0</v>
      </c>
      <c r="M123" s="59"/>
      <c r="N123" s="58"/>
    </row>
    <row r="124" spans="1:14" ht="30">
      <c r="A124" s="56">
        <v>1054</v>
      </c>
      <c r="B124" s="56">
        <v>1054</v>
      </c>
      <c r="C124" s="56">
        <v>1054</v>
      </c>
      <c r="D124" s="56" t="s">
        <v>1403</v>
      </c>
      <c r="F124" s="58" t="s">
        <v>1190</v>
      </c>
      <c r="G124" s="58">
        <v>1</v>
      </c>
      <c r="H124" s="58">
        <v>0</v>
      </c>
      <c r="I124" s="56">
        <v>200</v>
      </c>
      <c r="J124" s="59" t="s">
        <v>1181</v>
      </c>
      <c r="K124" s="59">
        <v>1</v>
      </c>
      <c r="L124" s="59">
        <f t="shared" si="1"/>
        <v>0</v>
      </c>
      <c r="M124" s="59"/>
      <c r="N124" s="58"/>
    </row>
    <row r="125" spans="1:14" ht="30">
      <c r="A125" s="56">
        <v>1075</v>
      </c>
      <c r="B125" s="56">
        <v>1075</v>
      </c>
      <c r="C125" s="56">
        <v>1075</v>
      </c>
      <c r="D125" s="56" t="s">
        <v>1406</v>
      </c>
      <c r="F125" s="58" t="s">
        <v>24</v>
      </c>
      <c r="G125" s="58">
        <v>1</v>
      </c>
      <c r="H125" s="58">
        <v>0</v>
      </c>
      <c r="I125" s="56">
        <v>460</v>
      </c>
      <c r="J125" s="59" t="s">
        <v>1181</v>
      </c>
      <c r="K125" s="59">
        <v>1</v>
      </c>
      <c r="L125" s="59">
        <f t="shared" si="1"/>
        <v>0</v>
      </c>
      <c r="M125" s="59"/>
      <c r="N125" s="58"/>
    </row>
    <row r="126" spans="1:14" ht="30">
      <c r="A126" s="56">
        <v>1076</v>
      </c>
      <c r="B126" s="56">
        <v>1076</v>
      </c>
      <c r="C126" s="56">
        <v>1076</v>
      </c>
      <c r="D126" s="56" t="s">
        <v>1407</v>
      </c>
      <c r="F126" s="58" t="s">
        <v>24</v>
      </c>
      <c r="G126" s="58">
        <v>1</v>
      </c>
      <c r="H126" s="58">
        <v>0</v>
      </c>
      <c r="I126" s="56">
        <v>510</v>
      </c>
      <c r="J126" s="59" t="s">
        <v>1181</v>
      </c>
      <c r="K126" s="59">
        <v>1</v>
      </c>
      <c r="L126" s="59">
        <f t="shared" si="1"/>
        <v>0</v>
      </c>
      <c r="M126" s="59"/>
      <c r="N126" s="58"/>
    </row>
    <row r="127" spans="1:14" ht="30">
      <c r="A127" s="56">
        <v>1085</v>
      </c>
      <c r="B127" s="56">
        <v>1085</v>
      </c>
      <c r="C127" s="56">
        <v>1085</v>
      </c>
      <c r="D127" s="56" t="s">
        <v>1408</v>
      </c>
      <c r="F127" s="58" t="s">
        <v>24</v>
      </c>
      <c r="G127" s="58">
        <v>1</v>
      </c>
      <c r="H127" s="58">
        <v>0</v>
      </c>
      <c r="I127" s="56">
        <v>46</v>
      </c>
      <c r="J127" s="59" t="s">
        <v>1181</v>
      </c>
      <c r="K127" s="59">
        <v>1</v>
      </c>
      <c r="L127" s="59">
        <f t="shared" si="1"/>
        <v>0</v>
      </c>
      <c r="M127" s="59"/>
      <c r="N127" s="58"/>
    </row>
    <row r="128" spans="1:14" ht="30">
      <c r="A128" s="56">
        <v>1152</v>
      </c>
      <c r="B128" s="56">
        <v>1152</v>
      </c>
      <c r="C128" s="56">
        <v>1152</v>
      </c>
      <c r="D128" s="56" t="s">
        <v>1416</v>
      </c>
      <c r="F128" s="58" t="s">
        <v>24</v>
      </c>
      <c r="G128" s="58">
        <v>1</v>
      </c>
      <c r="H128" s="58">
        <v>0</v>
      </c>
      <c r="I128" s="56">
        <v>400</v>
      </c>
      <c r="J128" s="59" t="s">
        <v>1181</v>
      </c>
      <c r="K128" s="59">
        <v>1</v>
      </c>
      <c r="L128" s="59">
        <f t="shared" si="1"/>
        <v>0</v>
      </c>
      <c r="M128" s="59"/>
      <c r="N128" s="58"/>
    </row>
    <row r="129" spans="1:14" ht="30">
      <c r="A129" s="56">
        <v>1165</v>
      </c>
      <c r="B129" s="56">
        <v>1165</v>
      </c>
      <c r="C129" s="56">
        <v>1165</v>
      </c>
      <c r="D129" s="56" t="s">
        <v>1193</v>
      </c>
      <c r="F129" s="58" t="s">
        <v>24</v>
      </c>
      <c r="G129" s="58">
        <v>1</v>
      </c>
      <c r="H129" s="58">
        <v>0</v>
      </c>
      <c r="J129" s="59" t="s">
        <v>1181</v>
      </c>
      <c r="K129" s="59">
        <v>1</v>
      </c>
      <c r="L129" s="59">
        <f t="shared" si="1"/>
        <v>0</v>
      </c>
      <c r="M129" s="59"/>
      <c r="N129" s="58"/>
    </row>
    <row r="130" spans="1:14" ht="30">
      <c r="A130" s="56">
        <v>1173</v>
      </c>
      <c r="B130" s="56">
        <v>1173</v>
      </c>
      <c r="C130" s="56">
        <v>1173</v>
      </c>
      <c r="D130" s="56" t="s">
        <v>1417</v>
      </c>
      <c r="F130" s="58" t="s">
        <v>24</v>
      </c>
      <c r="G130" s="58">
        <v>1</v>
      </c>
      <c r="H130" s="58">
        <v>0</v>
      </c>
      <c r="J130" s="59" t="s">
        <v>1181</v>
      </c>
      <c r="K130" s="59">
        <v>1</v>
      </c>
      <c r="L130" s="59">
        <f t="shared" ref="L130:L193" si="2">H130*I130</f>
        <v>0</v>
      </c>
      <c r="M130" s="59"/>
      <c r="N130" s="58"/>
    </row>
    <row r="131" spans="1:14" ht="30">
      <c r="A131" s="56">
        <v>1176</v>
      </c>
      <c r="B131" s="56">
        <v>1176</v>
      </c>
      <c r="C131" s="56">
        <v>1176</v>
      </c>
      <c r="D131" s="56" t="s">
        <v>1419</v>
      </c>
      <c r="F131" s="58" t="s">
        <v>24</v>
      </c>
      <c r="G131" s="58">
        <v>1</v>
      </c>
      <c r="H131" s="58">
        <v>0</v>
      </c>
      <c r="I131" s="56">
        <v>90</v>
      </c>
      <c r="J131" s="59" t="s">
        <v>1181</v>
      </c>
      <c r="K131" s="59">
        <v>1</v>
      </c>
      <c r="L131" s="59">
        <f t="shared" si="2"/>
        <v>0</v>
      </c>
      <c r="M131" s="59"/>
      <c r="N131" s="58"/>
    </row>
    <row r="132" spans="1:14" ht="30">
      <c r="A132" s="56">
        <v>1219</v>
      </c>
      <c r="B132" s="56">
        <v>1219</v>
      </c>
      <c r="C132" s="56">
        <v>1219</v>
      </c>
      <c r="D132" s="56" t="s">
        <v>1422</v>
      </c>
      <c r="F132" s="58" t="s">
        <v>1244</v>
      </c>
      <c r="G132" s="58">
        <v>1</v>
      </c>
      <c r="H132" s="58">
        <v>0</v>
      </c>
      <c r="J132" s="59" t="s">
        <v>1181</v>
      </c>
      <c r="K132" s="59">
        <v>1</v>
      </c>
      <c r="L132" s="59">
        <f t="shared" si="2"/>
        <v>0</v>
      </c>
      <c r="M132" s="59"/>
      <c r="N132" s="58"/>
    </row>
    <row r="133" spans="1:14" ht="30">
      <c r="A133" s="56">
        <v>1369</v>
      </c>
      <c r="B133" s="56">
        <v>1369</v>
      </c>
      <c r="C133" s="56">
        <v>1369</v>
      </c>
      <c r="D133" s="56" t="s">
        <v>1203</v>
      </c>
      <c r="F133" s="58" t="s">
        <v>24</v>
      </c>
      <c r="G133" s="58">
        <v>1</v>
      </c>
      <c r="H133" s="58">
        <v>0</v>
      </c>
      <c r="I133" s="56">
        <v>15</v>
      </c>
      <c r="J133" s="59" t="s">
        <v>1181</v>
      </c>
      <c r="K133" s="59">
        <v>1</v>
      </c>
      <c r="L133" s="59">
        <f t="shared" si="2"/>
        <v>0</v>
      </c>
      <c r="M133" s="59"/>
      <c r="N133" s="58"/>
    </row>
    <row r="134" spans="1:14" ht="30">
      <c r="A134" s="56">
        <v>1370</v>
      </c>
      <c r="B134" s="56">
        <v>1370</v>
      </c>
      <c r="C134" s="56">
        <v>1370</v>
      </c>
      <c r="D134" s="56" t="s">
        <v>1233</v>
      </c>
      <c r="F134" s="58" t="s">
        <v>24</v>
      </c>
      <c r="G134" s="58">
        <v>1</v>
      </c>
      <c r="H134" s="58">
        <v>0</v>
      </c>
      <c r="I134" s="56">
        <v>24</v>
      </c>
      <c r="J134" s="59" t="s">
        <v>1181</v>
      </c>
      <c r="K134" s="59">
        <v>1</v>
      </c>
      <c r="L134" s="59">
        <f t="shared" si="2"/>
        <v>0</v>
      </c>
      <c r="M134" s="59"/>
      <c r="N134" s="58"/>
    </row>
    <row r="135" spans="1:14" ht="30">
      <c r="A135" s="56">
        <v>1371</v>
      </c>
      <c r="B135" s="56">
        <v>1371</v>
      </c>
      <c r="C135" s="56">
        <v>1371</v>
      </c>
      <c r="D135" s="56" t="s">
        <v>1434</v>
      </c>
      <c r="F135" s="58" t="s">
        <v>24</v>
      </c>
      <c r="G135" s="58">
        <v>1</v>
      </c>
      <c r="H135" s="58">
        <v>0</v>
      </c>
      <c r="I135" s="56">
        <v>3</v>
      </c>
      <c r="J135" s="59" t="s">
        <v>1181</v>
      </c>
      <c r="K135" s="59">
        <v>1</v>
      </c>
      <c r="L135" s="59">
        <f t="shared" si="2"/>
        <v>0</v>
      </c>
      <c r="M135" s="59"/>
      <c r="N135" s="58"/>
    </row>
    <row r="136" spans="1:14" ht="30">
      <c r="A136" s="56">
        <v>1372</v>
      </c>
      <c r="B136" s="56">
        <v>1372</v>
      </c>
      <c r="C136" s="56">
        <v>1372</v>
      </c>
      <c r="D136" s="56" t="s">
        <v>1204</v>
      </c>
      <c r="F136" s="58" t="s">
        <v>24</v>
      </c>
      <c r="G136" s="58">
        <v>1</v>
      </c>
      <c r="H136" s="58">
        <v>0</v>
      </c>
      <c r="I136" s="56">
        <v>13</v>
      </c>
      <c r="J136" s="59" t="s">
        <v>1181</v>
      </c>
      <c r="K136" s="59">
        <v>1</v>
      </c>
      <c r="L136" s="59">
        <f t="shared" si="2"/>
        <v>0</v>
      </c>
      <c r="M136" s="59"/>
      <c r="N136" s="58"/>
    </row>
    <row r="137" spans="1:14" ht="30">
      <c r="A137" s="56">
        <v>1373</v>
      </c>
      <c r="B137" s="56">
        <v>1373</v>
      </c>
      <c r="C137" s="56">
        <v>1373</v>
      </c>
      <c r="D137" s="56" t="s">
        <v>1205</v>
      </c>
      <c r="F137" s="58" t="s">
        <v>24</v>
      </c>
      <c r="G137" s="58">
        <v>1</v>
      </c>
      <c r="H137" s="58">
        <v>0</v>
      </c>
      <c r="I137" s="56">
        <v>0</v>
      </c>
      <c r="J137" s="59" t="s">
        <v>1181</v>
      </c>
      <c r="K137" s="59">
        <v>1</v>
      </c>
      <c r="L137" s="59">
        <f t="shared" si="2"/>
        <v>0</v>
      </c>
      <c r="M137" s="59"/>
      <c r="N137" s="58"/>
    </row>
    <row r="138" spans="1:14" ht="30">
      <c r="A138" s="56">
        <v>1374</v>
      </c>
      <c r="B138" s="56">
        <v>1374</v>
      </c>
      <c r="C138" s="56">
        <v>1374</v>
      </c>
      <c r="D138" s="56" t="s">
        <v>1206</v>
      </c>
      <c r="F138" s="58" t="s">
        <v>1201</v>
      </c>
      <c r="G138" s="58">
        <v>1</v>
      </c>
      <c r="H138" s="58">
        <v>0</v>
      </c>
      <c r="I138" s="56">
        <v>13</v>
      </c>
      <c r="J138" s="59" t="s">
        <v>1181</v>
      </c>
      <c r="K138" s="59">
        <v>1</v>
      </c>
      <c r="L138" s="59">
        <f t="shared" si="2"/>
        <v>0</v>
      </c>
      <c r="M138" s="59"/>
      <c r="N138" s="58"/>
    </row>
    <row r="139" spans="1:14" ht="30">
      <c r="A139" s="56">
        <v>1391</v>
      </c>
      <c r="B139" s="56">
        <v>1391</v>
      </c>
      <c r="C139" s="56">
        <v>1391</v>
      </c>
      <c r="D139" s="56" t="s">
        <v>1435</v>
      </c>
      <c r="F139" s="58" t="s">
        <v>24</v>
      </c>
      <c r="G139" s="58">
        <v>1</v>
      </c>
      <c r="H139" s="58">
        <v>0</v>
      </c>
      <c r="I139" s="56">
        <v>0</v>
      </c>
      <c r="J139" s="59" t="s">
        <v>1181</v>
      </c>
      <c r="K139" s="59">
        <v>1</v>
      </c>
      <c r="L139" s="59">
        <f t="shared" si="2"/>
        <v>0</v>
      </c>
      <c r="M139" s="59"/>
      <c r="N139" s="58"/>
    </row>
    <row r="140" spans="1:14" ht="30">
      <c r="A140" s="56">
        <v>1417</v>
      </c>
      <c r="B140" s="56">
        <v>1417</v>
      </c>
      <c r="C140" s="56">
        <v>1417</v>
      </c>
      <c r="D140" s="56" t="s">
        <v>1207</v>
      </c>
      <c r="F140" s="58" t="s">
        <v>24</v>
      </c>
      <c r="G140" s="58">
        <v>1</v>
      </c>
      <c r="H140" s="58">
        <v>0</v>
      </c>
      <c r="I140" s="56">
        <v>200</v>
      </c>
      <c r="J140" s="59" t="s">
        <v>1181</v>
      </c>
      <c r="K140" s="59">
        <v>1</v>
      </c>
      <c r="L140" s="59">
        <f t="shared" si="2"/>
        <v>0</v>
      </c>
      <c r="M140" s="59"/>
      <c r="N140" s="58"/>
    </row>
    <row r="141" spans="1:14" ht="30">
      <c r="A141" s="56">
        <v>1418</v>
      </c>
      <c r="B141" s="56">
        <v>1418</v>
      </c>
      <c r="C141" s="56">
        <v>1418</v>
      </c>
      <c r="D141" s="56" t="s">
        <v>1252</v>
      </c>
      <c r="F141" s="58" t="s">
        <v>24</v>
      </c>
      <c r="G141" s="58">
        <v>1</v>
      </c>
      <c r="H141" s="58">
        <v>0</v>
      </c>
      <c r="I141" s="56">
        <v>167</v>
      </c>
      <c r="J141" s="59" t="s">
        <v>1181</v>
      </c>
      <c r="K141" s="59">
        <v>1</v>
      </c>
      <c r="L141" s="59">
        <f t="shared" si="2"/>
        <v>0</v>
      </c>
      <c r="M141" s="59"/>
      <c r="N141" s="58"/>
    </row>
    <row r="142" spans="1:14" ht="30">
      <c r="A142" s="56">
        <v>1424</v>
      </c>
      <c r="B142" s="56">
        <v>1424</v>
      </c>
      <c r="C142" s="56">
        <v>1424</v>
      </c>
      <c r="D142" s="56" t="s">
        <v>1234</v>
      </c>
      <c r="F142" s="58" t="s">
        <v>24</v>
      </c>
      <c r="G142" s="58">
        <v>1</v>
      </c>
      <c r="H142" s="58">
        <v>0</v>
      </c>
      <c r="I142" s="56">
        <v>0</v>
      </c>
      <c r="J142" s="59" t="s">
        <v>1181</v>
      </c>
      <c r="K142" s="59">
        <v>1</v>
      </c>
      <c r="L142" s="59">
        <f t="shared" si="2"/>
        <v>0</v>
      </c>
      <c r="M142" s="59"/>
      <c r="N142" s="58"/>
    </row>
    <row r="143" spans="1:14" ht="30">
      <c r="A143" s="56">
        <v>1425</v>
      </c>
      <c r="B143" s="56">
        <v>1425</v>
      </c>
      <c r="C143" s="56">
        <v>1425</v>
      </c>
      <c r="D143" s="56" t="s">
        <v>1438</v>
      </c>
      <c r="F143" s="58" t="s">
        <v>24</v>
      </c>
      <c r="G143" s="58">
        <v>1</v>
      </c>
      <c r="H143" s="58">
        <v>0</v>
      </c>
      <c r="J143" s="59" t="s">
        <v>1181</v>
      </c>
      <c r="K143" s="59">
        <v>1</v>
      </c>
      <c r="L143" s="59">
        <f t="shared" si="2"/>
        <v>0</v>
      </c>
      <c r="M143" s="59"/>
      <c r="N143" s="58"/>
    </row>
    <row r="144" spans="1:14" ht="30">
      <c r="A144" s="56">
        <v>1426</v>
      </c>
      <c r="B144" s="56">
        <v>1426</v>
      </c>
      <c r="C144" s="56">
        <v>1426</v>
      </c>
      <c r="D144" s="56" t="s">
        <v>1208</v>
      </c>
      <c r="F144" s="58" t="s">
        <v>24</v>
      </c>
      <c r="G144" s="58">
        <v>1</v>
      </c>
      <c r="H144" s="58">
        <v>0</v>
      </c>
      <c r="J144" s="59" t="s">
        <v>1181</v>
      </c>
      <c r="K144" s="59">
        <v>1</v>
      </c>
      <c r="L144" s="59">
        <f t="shared" si="2"/>
        <v>0</v>
      </c>
      <c r="M144" s="59"/>
      <c r="N144" s="58"/>
    </row>
    <row r="145" spans="1:14" ht="30">
      <c r="A145" s="56">
        <v>1439</v>
      </c>
      <c r="B145" s="56">
        <v>1439</v>
      </c>
      <c r="C145" s="56">
        <v>1439</v>
      </c>
      <c r="D145" s="56" t="s">
        <v>1236</v>
      </c>
      <c r="F145" s="58" t="s">
        <v>24</v>
      </c>
      <c r="G145" s="58">
        <v>1</v>
      </c>
      <c r="H145" s="58">
        <v>0</v>
      </c>
      <c r="I145" s="56">
        <v>48</v>
      </c>
      <c r="J145" s="59" t="s">
        <v>1181</v>
      </c>
      <c r="K145" s="59">
        <v>1</v>
      </c>
      <c r="L145" s="59">
        <f t="shared" si="2"/>
        <v>0</v>
      </c>
      <c r="M145" s="59"/>
      <c r="N145" s="58"/>
    </row>
    <row r="146" spans="1:14" ht="30">
      <c r="A146" s="56">
        <v>1474</v>
      </c>
      <c r="B146" s="56">
        <v>1474</v>
      </c>
      <c r="C146" s="56">
        <v>1474</v>
      </c>
      <c r="D146" s="56" t="s">
        <v>1215</v>
      </c>
      <c r="F146" s="58" t="s">
        <v>24</v>
      </c>
      <c r="G146" s="58">
        <v>1</v>
      </c>
      <c r="H146" s="58">
        <v>0</v>
      </c>
      <c r="J146" s="59" t="s">
        <v>1181</v>
      </c>
      <c r="K146" s="59">
        <v>1</v>
      </c>
      <c r="L146" s="59">
        <f t="shared" si="2"/>
        <v>0</v>
      </c>
      <c r="M146" s="59"/>
      <c r="N146" s="58"/>
    </row>
    <row r="147" spans="1:14" ht="30">
      <c r="A147" s="56">
        <v>1598</v>
      </c>
      <c r="B147" s="56">
        <v>1598</v>
      </c>
      <c r="C147" s="56">
        <v>1598</v>
      </c>
      <c r="D147" s="56" t="s">
        <v>1444</v>
      </c>
      <c r="F147" s="58" t="s">
        <v>24</v>
      </c>
      <c r="G147" s="58">
        <v>1</v>
      </c>
      <c r="H147" s="58">
        <v>0</v>
      </c>
      <c r="I147" s="56">
        <v>150</v>
      </c>
      <c r="J147" s="59" t="s">
        <v>1181</v>
      </c>
      <c r="K147" s="59">
        <v>1</v>
      </c>
      <c r="L147" s="59">
        <f t="shared" si="2"/>
        <v>0</v>
      </c>
      <c r="M147" s="59"/>
    </row>
    <row r="148" spans="1:14" ht="30">
      <c r="A148" s="56">
        <v>1638</v>
      </c>
      <c r="B148" s="56">
        <v>1638</v>
      </c>
      <c r="C148" s="56">
        <v>1638</v>
      </c>
      <c r="D148" s="56" t="s">
        <v>1449</v>
      </c>
      <c r="F148" s="58" t="s">
        <v>24</v>
      </c>
      <c r="G148" s="58">
        <v>1</v>
      </c>
      <c r="H148" s="58">
        <v>0</v>
      </c>
      <c r="I148" s="56">
        <v>300</v>
      </c>
      <c r="J148" s="59" t="s">
        <v>1181</v>
      </c>
      <c r="K148" s="59">
        <v>1</v>
      </c>
      <c r="L148" s="59">
        <f t="shared" si="2"/>
        <v>0</v>
      </c>
      <c r="M148" s="59"/>
    </row>
    <row r="149" spans="1:14" ht="30">
      <c r="A149" s="56">
        <v>1640</v>
      </c>
      <c r="B149" s="56">
        <v>1640</v>
      </c>
      <c r="C149" s="56">
        <v>1640</v>
      </c>
      <c r="D149" s="56" t="s">
        <v>1450</v>
      </c>
      <c r="F149" s="58" t="s">
        <v>24</v>
      </c>
      <c r="G149" s="58">
        <v>1</v>
      </c>
      <c r="H149" s="58">
        <v>0</v>
      </c>
      <c r="I149" s="56">
        <v>170</v>
      </c>
      <c r="J149" s="59" t="s">
        <v>1181</v>
      </c>
      <c r="K149" s="59">
        <v>1</v>
      </c>
      <c r="L149" s="59">
        <f t="shared" si="2"/>
        <v>0</v>
      </c>
      <c r="M149" s="59"/>
    </row>
    <row r="150" spans="1:14" ht="30">
      <c r="A150" s="56">
        <v>1655</v>
      </c>
      <c r="B150" s="56">
        <v>1655</v>
      </c>
      <c r="C150" s="56">
        <v>1655</v>
      </c>
      <c r="D150" s="56" t="s">
        <v>1238</v>
      </c>
      <c r="F150" s="58" t="s">
        <v>24</v>
      </c>
      <c r="G150" s="58">
        <v>1</v>
      </c>
      <c r="H150" s="58">
        <v>0</v>
      </c>
      <c r="I150" s="56">
        <v>134</v>
      </c>
      <c r="J150" s="59" t="s">
        <v>1181</v>
      </c>
      <c r="K150" s="59">
        <v>1</v>
      </c>
      <c r="L150" s="59">
        <f t="shared" si="2"/>
        <v>0</v>
      </c>
      <c r="M150" s="59"/>
    </row>
    <row r="151" spans="1:14" ht="30">
      <c r="A151" s="56">
        <v>1656</v>
      </c>
      <c r="B151" s="56">
        <v>1656</v>
      </c>
      <c r="C151" s="56">
        <v>1656</v>
      </c>
      <c r="D151" s="56" t="s">
        <v>1457</v>
      </c>
      <c r="F151" s="58" t="s">
        <v>24</v>
      </c>
      <c r="G151" s="58">
        <v>1</v>
      </c>
      <c r="H151" s="58">
        <v>0</v>
      </c>
      <c r="I151" s="56">
        <v>185</v>
      </c>
      <c r="J151" s="59" t="s">
        <v>1181</v>
      </c>
      <c r="K151" s="59">
        <v>1</v>
      </c>
      <c r="L151" s="59">
        <f t="shared" si="2"/>
        <v>0</v>
      </c>
      <c r="M151" s="59"/>
    </row>
    <row r="152" spans="1:14" ht="30">
      <c r="A152" s="56">
        <v>1669</v>
      </c>
      <c r="B152" s="56">
        <v>1669</v>
      </c>
      <c r="C152" s="56">
        <v>1669</v>
      </c>
      <c r="D152" s="56" t="s">
        <v>1458</v>
      </c>
      <c r="F152" s="58" t="s">
        <v>24</v>
      </c>
      <c r="G152" s="58">
        <v>1</v>
      </c>
      <c r="H152" s="58">
        <v>0</v>
      </c>
      <c r="J152" s="59" t="s">
        <v>1181</v>
      </c>
      <c r="K152" s="59">
        <v>1</v>
      </c>
      <c r="L152" s="59">
        <f t="shared" si="2"/>
        <v>0</v>
      </c>
      <c r="M152" s="59"/>
    </row>
    <row r="153" spans="1:14" ht="30">
      <c r="A153" s="56">
        <v>1670</v>
      </c>
      <c r="B153" s="56">
        <v>1670</v>
      </c>
      <c r="C153" s="56">
        <v>1670</v>
      </c>
      <c r="D153" s="56" t="s">
        <v>1459</v>
      </c>
      <c r="F153" s="58" t="s">
        <v>24</v>
      </c>
      <c r="G153" s="58">
        <v>1</v>
      </c>
      <c r="H153" s="58">
        <v>0</v>
      </c>
      <c r="I153" s="56">
        <v>130</v>
      </c>
      <c r="J153" s="59" t="s">
        <v>1181</v>
      </c>
      <c r="K153" s="59">
        <v>1</v>
      </c>
      <c r="L153" s="59">
        <f t="shared" si="2"/>
        <v>0</v>
      </c>
      <c r="M153" s="59"/>
    </row>
    <row r="154" spans="1:14" ht="30">
      <c r="A154" s="56">
        <v>1671</v>
      </c>
      <c r="B154" s="56">
        <v>1671</v>
      </c>
      <c r="C154" s="56">
        <v>1671</v>
      </c>
      <c r="D154" s="56" t="s">
        <v>1460</v>
      </c>
      <c r="F154" s="58" t="s">
        <v>24</v>
      </c>
      <c r="G154" s="58">
        <v>1</v>
      </c>
      <c r="H154" s="58">
        <v>0</v>
      </c>
      <c r="I154" s="56">
        <v>100</v>
      </c>
      <c r="J154" s="59" t="s">
        <v>1181</v>
      </c>
      <c r="K154" s="59">
        <v>1</v>
      </c>
      <c r="L154" s="59">
        <f t="shared" si="2"/>
        <v>0</v>
      </c>
      <c r="M154" s="59"/>
    </row>
    <row r="155" spans="1:14" ht="30">
      <c r="A155" s="56">
        <v>1678</v>
      </c>
      <c r="B155" s="56">
        <v>1678</v>
      </c>
      <c r="C155" s="56">
        <v>1678</v>
      </c>
      <c r="D155" s="56" t="s">
        <v>1462</v>
      </c>
      <c r="F155" s="58" t="s">
        <v>24</v>
      </c>
      <c r="G155" s="58">
        <v>1</v>
      </c>
      <c r="H155" s="58">
        <v>0</v>
      </c>
      <c r="I155" s="56">
        <v>111</v>
      </c>
      <c r="J155" s="59" t="s">
        <v>1181</v>
      </c>
      <c r="K155" s="59">
        <v>1</v>
      </c>
      <c r="L155" s="59">
        <f t="shared" si="2"/>
        <v>0</v>
      </c>
      <c r="M155" s="59"/>
    </row>
    <row r="156" spans="1:14" ht="30">
      <c r="A156" s="56">
        <v>1679</v>
      </c>
      <c r="B156" s="56">
        <v>1679</v>
      </c>
      <c r="C156" s="56">
        <v>1679</v>
      </c>
      <c r="D156" s="56" t="s">
        <v>1240</v>
      </c>
      <c r="F156" s="58" t="s">
        <v>24</v>
      </c>
      <c r="G156" s="58">
        <v>1</v>
      </c>
      <c r="H156" s="58">
        <v>0</v>
      </c>
      <c r="J156" s="59" t="s">
        <v>1181</v>
      </c>
      <c r="K156" s="59">
        <v>1</v>
      </c>
      <c r="L156" s="59">
        <f t="shared" si="2"/>
        <v>0</v>
      </c>
      <c r="M156" s="59"/>
    </row>
    <row r="157" spans="1:14" ht="30">
      <c r="A157" s="56">
        <v>1690</v>
      </c>
      <c r="B157" s="56">
        <v>1690</v>
      </c>
      <c r="C157" s="56">
        <v>1690</v>
      </c>
      <c r="D157" s="56" t="s">
        <v>1464</v>
      </c>
      <c r="F157" s="58" t="s">
        <v>24</v>
      </c>
      <c r="G157" s="58">
        <v>1</v>
      </c>
      <c r="H157" s="58">
        <v>0</v>
      </c>
      <c r="I157" s="56">
        <v>600</v>
      </c>
      <c r="J157" s="59" t="s">
        <v>1181</v>
      </c>
      <c r="K157" s="59">
        <v>1</v>
      </c>
      <c r="L157" s="59">
        <f t="shared" si="2"/>
        <v>0</v>
      </c>
      <c r="M157" s="59"/>
    </row>
    <row r="158" spans="1:14" ht="30">
      <c r="A158" s="56">
        <v>1691</v>
      </c>
      <c r="B158" s="56">
        <v>1691</v>
      </c>
      <c r="C158" s="56">
        <v>1691</v>
      </c>
      <c r="D158" s="56" t="s">
        <v>1465</v>
      </c>
      <c r="F158" s="58" t="s">
        <v>24</v>
      </c>
      <c r="G158" s="58">
        <v>1</v>
      </c>
      <c r="H158" s="58">
        <v>0</v>
      </c>
      <c r="I158" s="56">
        <v>67</v>
      </c>
      <c r="J158" s="59" t="s">
        <v>1181</v>
      </c>
      <c r="K158" s="59">
        <v>1</v>
      </c>
      <c r="L158" s="59">
        <f t="shared" si="2"/>
        <v>0</v>
      </c>
      <c r="M158" s="59"/>
    </row>
    <row r="159" spans="1:14" ht="30">
      <c r="A159" s="56">
        <v>1721</v>
      </c>
      <c r="B159" s="56">
        <v>1721</v>
      </c>
      <c r="C159" s="56">
        <v>1721</v>
      </c>
      <c r="D159" s="56" t="s">
        <v>1470</v>
      </c>
      <c r="F159" s="58" t="s">
        <v>24</v>
      </c>
      <c r="G159" s="58">
        <v>1</v>
      </c>
      <c r="H159" s="58">
        <v>0</v>
      </c>
      <c r="I159" s="56">
        <v>16.7</v>
      </c>
      <c r="J159" s="59" t="s">
        <v>1181</v>
      </c>
      <c r="K159" s="59">
        <v>1</v>
      </c>
      <c r="L159" s="59">
        <f t="shared" si="2"/>
        <v>0</v>
      </c>
      <c r="M159" s="59"/>
    </row>
    <row r="160" spans="1:14" ht="30">
      <c r="A160" s="56">
        <v>1746</v>
      </c>
      <c r="B160" s="56">
        <v>1746</v>
      </c>
      <c r="C160" s="56">
        <v>1746</v>
      </c>
      <c r="D160" s="56" t="s">
        <v>1182</v>
      </c>
      <c r="F160" s="58" t="s">
        <v>24</v>
      </c>
      <c r="G160" s="58">
        <v>1</v>
      </c>
      <c r="H160" s="58">
        <v>0</v>
      </c>
      <c r="J160" s="59" t="s">
        <v>1181</v>
      </c>
      <c r="K160" s="59">
        <v>1</v>
      </c>
      <c r="L160" s="59">
        <f t="shared" si="2"/>
        <v>0</v>
      </c>
      <c r="M160" s="59"/>
    </row>
    <row r="161" spans="1:13" ht="30">
      <c r="A161" s="56">
        <v>1820</v>
      </c>
      <c r="B161" s="56">
        <v>1820</v>
      </c>
      <c r="C161" s="56">
        <v>1820</v>
      </c>
      <c r="D161" s="56" t="s">
        <v>1483</v>
      </c>
      <c r="F161" s="58" t="s">
        <v>24</v>
      </c>
      <c r="G161" s="58">
        <v>1</v>
      </c>
      <c r="H161" s="58">
        <v>0</v>
      </c>
      <c r="J161" s="59" t="s">
        <v>1181</v>
      </c>
      <c r="K161" s="59">
        <v>1</v>
      </c>
      <c r="L161" s="59">
        <f t="shared" si="2"/>
        <v>0</v>
      </c>
      <c r="M161" s="59"/>
    </row>
    <row r="162" spans="1:13" ht="30">
      <c r="A162" s="56">
        <v>1824</v>
      </c>
      <c r="B162" s="56">
        <v>1824</v>
      </c>
      <c r="C162" s="56">
        <v>1824</v>
      </c>
      <c r="D162" s="56" t="s">
        <v>1484</v>
      </c>
      <c r="F162" s="58" t="s">
        <v>24</v>
      </c>
      <c r="G162" s="58">
        <v>1</v>
      </c>
      <c r="H162" s="58">
        <v>0</v>
      </c>
      <c r="J162" s="59" t="s">
        <v>1181</v>
      </c>
      <c r="K162" s="59">
        <v>1</v>
      </c>
      <c r="L162" s="59">
        <f t="shared" si="2"/>
        <v>0</v>
      </c>
      <c r="M162" s="59"/>
    </row>
    <row r="163" spans="1:13" ht="30">
      <c r="A163" s="56">
        <v>1746</v>
      </c>
      <c r="B163" s="56">
        <v>1746</v>
      </c>
      <c r="C163" s="56">
        <v>1746</v>
      </c>
      <c r="D163" s="56" t="s">
        <v>1182</v>
      </c>
      <c r="F163" s="58" t="s">
        <v>1183</v>
      </c>
      <c r="G163" s="58">
        <v>144</v>
      </c>
      <c r="H163" s="56">
        <v>1</v>
      </c>
      <c r="I163" s="56">
        <v>1400</v>
      </c>
      <c r="J163" s="59" t="s">
        <v>1181</v>
      </c>
      <c r="K163" s="59">
        <v>1</v>
      </c>
      <c r="L163" s="59">
        <f t="shared" si="2"/>
        <v>1400</v>
      </c>
      <c r="M163" s="59"/>
    </row>
    <row r="164" spans="1:13" ht="30">
      <c r="A164" s="56">
        <v>1151</v>
      </c>
      <c r="B164" s="56">
        <v>1151</v>
      </c>
      <c r="C164" s="56">
        <v>1151</v>
      </c>
      <c r="D164" s="56" t="s">
        <v>1191</v>
      </c>
      <c r="F164" s="58" t="s">
        <v>1185</v>
      </c>
      <c r="G164" s="58">
        <v>100</v>
      </c>
      <c r="H164" s="56">
        <v>1</v>
      </c>
      <c r="I164" s="56">
        <v>4000</v>
      </c>
      <c r="J164" s="59" t="s">
        <v>1181</v>
      </c>
      <c r="K164" s="59">
        <v>1</v>
      </c>
      <c r="L164" s="59">
        <f t="shared" si="2"/>
        <v>4000</v>
      </c>
      <c r="M164" s="59"/>
    </row>
    <row r="165" spans="1:13" ht="30">
      <c r="A165" s="56">
        <v>1246</v>
      </c>
      <c r="B165" s="56">
        <v>1246</v>
      </c>
      <c r="C165" s="56">
        <v>1246</v>
      </c>
      <c r="D165" s="56" t="s">
        <v>1194</v>
      </c>
      <c r="F165" s="58" t="s">
        <v>1183</v>
      </c>
      <c r="G165" s="58">
        <v>100</v>
      </c>
      <c r="H165" s="56">
        <v>1</v>
      </c>
      <c r="I165" s="56">
        <v>4000</v>
      </c>
      <c r="J165" s="59" t="s">
        <v>1181</v>
      </c>
      <c r="K165" s="59">
        <v>1</v>
      </c>
      <c r="L165" s="59">
        <f t="shared" si="2"/>
        <v>4000</v>
      </c>
      <c r="M165" s="59"/>
    </row>
    <row r="166" spans="1:13" ht="30">
      <c r="A166" s="56">
        <v>1248</v>
      </c>
      <c r="B166" s="56">
        <v>1248</v>
      </c>
      <c r="C166" s="56">
        <v>1248</v>
      </c>
      <c r="D166" s="56" t="s">
        <v>1196</v>
      </c>
      <c r="F166" s="58" t="s">
        <v>1183</v>
      </c>
      <c r="G166" s="58">
        <v>100</v>
      </c>
      <c r="H166" s="56">
        <v>1</v>
      </c>
      <c r="I166" s="56">
        <v>1350</v>
      </c>
      <c r="J166" s="59" t="s">
        <v>1181</v>
      </c>
      <c r="K166" s="59">
        <v>1</v>
      </c>
      <c r="L166" s="59">
        <f t="shared" si="2"/>
        <v>1350</v>
      </c>
      <c r="M166" s="59"/>
    </row>
    <row r="167" spans="1:13" ht="30">
      <c r="A167" s="56">
        <v>1249</v>
      </c>
      <c r="B167" s="56">
        <v>1249</v>
      </c>
      <c r="C167" s="56">
        <v>1249</v>
      </c>
      <c r="D167" s="56" t="s">
        <v>1197</v>
      </c>
      <c r="F167" s="58" t="s">
        <v>1198</v>
      </c>
      <c r="G167" s="58">
        <v>100</v>
      </c>
      <c r="H167" s="56">
        <v>1</v>
      </c>
      <c r="I167" s="56">
        <v>2000</v>
      </c>
      <c r="J167" s="59" t="s">
        <v>1181</v>
      </c>
      <c r="K167" s="59">
        <v>1</v>
      </c>
      <c r="L167" s="59">
        <f t="shared" si="2"/>
        <v>2000</v>
      </c>
      <c r="M167" s="59"/>
    </row>
    <row r="168" spans="1:13" ht="30">
      <c r="A168" s="56">
        <v>1314</v>
      </c>
      <c r="B168" s="56">
        <v>1314</v>
      </c>
      <c r="C168" s="56">
        <v>1314</v>
      </c>
      <c r="D168" s="56" t="s">
        <v>1202</v>
      </c>
      <c r="F168" s="58" t="s">
        <v>1198</v>
      </c>
      <c r="G168" s="58">
        <v>100</v>
      </c>
      <c r="H168" s="56">
        <v>1</v>
      </c>
      <c r="I168" s="56">
        <v>2700</v>
      </c>
      <c r="J168" s="59" t="s">
        <v>1181</v>
      </c>
      <c r="K168" s="59">
        <v>1</v>
      </c>
      <c r="L168" s="59">
        <f t="shared" si="2"/>
        <v>2700</v>
      </c>
      <c r="M168" s="59"/>
    </row>
    <row r="169" spans="1:13" ht="30">
      <c r="A169" s="56">
        <v>1373</v>
      </c>
      <c r="B169" s="56">
        <v>1373</v>
      </c>
      <c r="C169" s="56">
        <v>1373</v>
      </c>
      <c r="D169" s="56" t="s">
        <v>1205</v>
      </c>
      <c r="F169" s="58" t="s">
        <v>1198</v>
      </c>
      <c r="G169" s="58">
        <v>100</v>
      </c>
      <c r="H169" s="56">
        <v>1</v>
      </c>
      <c r="I169" s="56">
        <v>3000</v>
      </c>
      <c r="J169" s="59" t="s">
        <v>1181</v>
      </c>
      <c r="K169" s="59">
        <v>1</v>
      </c>
      <c r="L169" s="59">
        <f t="shared" si="2"/>
        <v>3000</v>
      </c>
      <c r="M169" s="59"/>
    </row>
    <row r="170" spans="1:13" ht="30">
      <c r="A170" s="56">
        <v>1417</v>
      </c>
      <c r="B170" s="56">
        <v>1417</v>
      </c>
      <c r="C170" s="56">
        <v>1417</v>
      </c>
      <c r="D170" s="56" t="s">
        <v>1207</v>
      </c>
      <c r="F170" s="58" t="s">
        <v>1198</v>
      </c>
      <c r="G170" s="58">
        <v>100</v>
      </c>
      <c r="H170" s="56">
        <v>1</v>
      </c>
      <c r="I170" s="56">
        <v>4800</v>
      </c>
      <c r="J170" s="59" t="s">
        <v>1181</v>
      </c>
      <c r="K170" s="59">
        <v>1</v>
      </c>
      <c r="L170" s="59">
        <f t="shared" si="2"/>
        <v>4800</v>
      </c>
      <c r="M170" s="59"/>
    </row>
    <row r="171" spans="1:13" ht="30">
      <c r="A171" s="56">
        <v>1432</v>
      </c>
      <c r="B171" s="56">
        <v>1432</v>
      </c>
      <c r="C171" s="56">
        <v>1432</v>
      </c>
      <c r="D171" s="56" t="s">
        <v>1210</v>
      </c>
      <c r="F171" s="58" t="s">
        <v>1185</v>
      </c>
      <c r="G171" s="58">
        <v>100</v>
      </c>
      <c r="H171" s="56">
        <v>1</v>
      </c>
      <c r="I171" s="56">
        <v>600</v>
      </c>
      <c r="J171" s="59" t="s">
        <v>1181</v>
      </c>
      <c r="K171" s="59">
        <v>1</v>
      </c>
      <c r="L171" s="59">
        <f t="shared" si="2"/>
        <v>600</v>
      </c>
      <c r="M171" s="59"/>
    </row>
    <row r="172" spans="1:13" ht="30">
      <c r="A172" s="56">
        <v>1435</v>
      </c>
      <c r="B172" s="56">
        <v>1435</v>
      </c>
      <c r="C172" s="56">
        <v>1435</v>
      </c>
      <c r="D172" s="56" t="s">
        <v>1211</v>
      </c>
      <c r="F172" s="58" t="s">
        <v>1198</v>
      </c>
      <c r="G172" s="58">
        <v>100</v>
      </c>
      <c r="H172" s="56">
        <v>1</v>
      </c>
      <c r="I172" s="56">
        <v>2000</v>
      </c>
      <c r="J172" s="59" t="s">
        <v>1181</v>
      </c>
      <c r="K172" s="59">
        <v>1</v>
      </c>
      <c r="L172" s="59">
        <f t="shared" si="2"/>
        <v>2000</v>
      </c>
      <c r="M172" s="59"/>
    </row>
    <row r="173" spans="1:13" ht="30">
      <c r="A173" s="56">
        <v>1437</v>
      </c>
      <c r="B173" s="56">
        <v>1437</v>
      </c>
      <c r="C173" s="56">
        <v>1437</v>
      </c>
      <c r="D173" s="56" t="s">
        <v>1212</v>
      </c>
      <c r="F173" s="58" t="s">
        <v>1185</v>
      </c>
      <c r="G173" s="58">
        <v>100</v>
      </c>
      <c r="H173" s="56">
        <v>1</v>
      </c>
      <c r="I173" s="56">
        <v>2000</v>
      </c>
      <c r="J173" s="59" t="s">
        <v>1181</v>
      </c>
      <c r="K173" s="59">
        <v>1</v>
      </c>
      <c r="L173" s="59">
        <f t="shared" si="2"/>
        <v>2000</v>
      </c>
      <c r="M173" s="59"/>
    </row>
    <row r="174" spans="1:13" ht="30">
      <c r="A174" s="56">
        <v>1479</v>
      </c>
      <c r="B174" s="56">
        <v>1479</v>
      </c>
      <c r="C174" s="56">
        <v>1479</v>
      </c>
      <c r="D174" s="56" t="s">
        <v>1216</v>
      </c>
      <c r="F174" s="58" t="s">
        <v>1198</v>
      </c>
      <c r="G174" s="58">
        <v>100</v>
      </c>
      <c r="H174" s="56">
        <v>1</v>
      </c>
      <c r="I174" s="56">
        <v>2100</v>
      </c>
      <c r="J174" s="59" t="s">
        <v>1181</v>
      </c>
      <c r="K174" s="59">
        <v>1</v>
      </c>
      <c r="L174" s="59">
        <f t="shared" si="2"/>
        <v>2100</v>
      </c>
      <c r="M174" s="59"/>
    </row>
    <row r="175" spans="1:13" ht="30">
      <c r="A175" s="56">
        <v>1481</v>
      </c>
      <c r="B175" s="56">
        <v>1481</v>
      </c>
      <c r="C175" s="56">
        <v>1481</v>
      </c>
      <c r="D175" s="56" t="s">
        <v>1217</v>
      </c>
      <c r="F175" s="58" t="s">
        <v>1198</v>
      </c>
      <c r="G175" s="58">
        <v>100</v>
      </c>
      <c r="H175" s="56">
        <v>1</v>
      </c>
      <c r="I175" s="56">
        <v>1700</v>
      </c>
      <c r="J175" s="59" t="s">
        <v>1181</v>
      </c>
      <c r="K175" s="59">
        <v>1</v>
      </c>
      <c r="L175" s="59">
        <f t="shared" si="2"/>
        <v>1700</v>
      </c>
      <c r="M175" s="59"/>
    </row>
    <row r="176" spans="1:13" ht="30">
      <c r="A176" s="56">
        <v>1574</v>
      </c>
      <c r="B176" s="56">
        <v>1574</v>
      </c>
      <c r="C176" s="56">
        <v>1574</v>
      </c>
      <c r="D176" s="56" t="s">
        <v>1218</v>
      </c>
      <c r="F176" s="58" t="s">
        <v>1185</v>
      </c>
      <c r="G176" s="58">
        <v>100</v>
      </c>
      <c r="H176" s="56">
        <v>1</v>
      </c>
      <c r="I176" s="56">
        <v>4000</v>
      </c>
      <c r="J176" s="59" t="s">
        <v>1181</v>
      </c>
      <c r="K176" s="59">
        <v>1</v>
      </c>
      <c r="L176" s="59">
        <f t="shared" si="2"/>
        <v>4000</v>
      </c>
      <c r="M176" s="59"/>
    </row>
    <row r="177" spans="1:14" ht="30">
      <c r="A177" s="56">
        <v>582</v>
      </c>
      <c r="B177" s="56">
        <v>582</v>
      </c>
      <c r="C177" s="56">
        <v>582</v>
      </c>
      <c r="D177" s="56" t="s">
        <v>1223</v>
      </c>
      <c r="F177" s="58" t="s">
        <v>1222</v>
      </c>
      <c r="G177" s="58">
        <v>50</v>
      </c>
      <c r="H177" s="56">
        <v>1</v>
      </c>
      <c r="I177" s="56">
        <v>2600</v>
      </c>
      <c r="J177" s="59" t="s">
        <v>1181</v>
      </c>
      <c r="K177" s="59">
        <v>1</v>
      </c>
      <c r="L177" s="59">
        <f t="shared" si="2"/>
        <v>2600</v>
      </c>
      <c r="M177" s="59"/>
    </row>
    <row r="178" spans="1:14" ht="30">
      <c r="A178" s="56">
        <v>1252</v>
      </c>
      <c r="B178" s="56">
        <v>1252</v>
      </c>
      <c r="C178" s="56">
        <v>1252</v>
      </c>
      <c r="D178" s="56" t="s">
        <v>1200</v>
      </c>
      <c r="F178" s="58" t="s">
        <v>1198</v>
      </c>
      <c r="G178" s="58">
        <v>50</v>
      </c>
      <c r="H178" s="56">
        <v>1</v>
      </c>
      <c r="I178" s="56">
        <v>1300</v>
      </c>
      <c r="J178" s="59" t="s">
        <v>1181</v>
      </c>
      <c r="K178" s="59">
        <v>1</v>
      </c>
      <c r="L178" s="59">
        <f t="shared" si="2"/>
        <v>1300</v>
      </c>
      <c r="M178" s="59"/>
    </row>
    <row r="179" spans="1:14" ht="30">
      <c r="A179" s="56">
        <v>1253</v>
      </c>
      <c r="B179" s="56">
        <v>1253</v>
      </c>
      <c r="C179" s="56">
        <v>1253</v>
      </c>
      <c r="D179" s="56" t="s">
        <v>1228</v>
      </c>
      <c r="F179" s="58" t="s">
        <v>1198</v>
      </c>
      <c r="G179" s="58">
        <v>50</v>
      </c>
      <c r="H179" s="56">
        <v>1</v>
      </c>
      <c r="I179" s="56">
        <v>1300</v>
      </c>
      <c r="J179" s="59" t="s">
        <v>1181</v>
      </c>
      <c r="K179" s="59">
        <v>1</v>
      </c>
      <c r="L179" s="59">
        <f t="shared" si="2"/>
        <v>1300</v>
      </c>
      <c r="M179" s="59"/>
    </row>
    <row r="180" spans="1:14" ht="30">
      <c r="A180" s="56">
        <v>411</v>
      </c>
      <c r="B180" s="56">
        <v>411</v>
      </c>
      <c r="C180" s="56">
        <v>411</v>
      </c>
      <c r="D180" s="56" t="s">
        <v>1245</v>
      </c>
      <c r="F180" s="58" t="s">
        <v>1198</v>
      </c>
      <c r="G180" s="56">
        <v>25</v>
      </c>
      <c r="H180" s="56">
        <v>1</v>
      </c>
      <c r="I180" s="56">
        <v>6250</v>
      </c>
      <c r="J180" s="59" t="s">
        <v>1181</v>
      </c>
      <c r="K180" s="59">
        <v>1</v>
      </c>
      <c r="L180" s="59">
        <f t="shared" si="2"/>
        <v>6250</v>
      </c>
      <c r="M180" s="59"/>
    </row>
    <row r="181" spans="1:14" ht="30">
      <c r="A181" s="56">
        <v>313</v>
      </c>
      <c r="B181" s="56">
        <v>313</v>
      </c>
      <c r="C181" s="56">
        <v>313</v>
      </c>
      <c r="D181" s="56" t="s">
        <v>56</v>
      </c>
      <c r="F181" s="58" t="s">
        <v>1247</v>
      </c>
      <c r="G181" s="56">
        <v>24</v>
      </c>
      <c r="H181" s="56">
        <v>1</v>
      </c>
      <c r="I181" s="56">
        <v>4440</v>
      </c>
      <c r="J181" s="59" t="s">
        <v>1181</v>
      </c>
      <c r="K181" s="59">
        <v>1</v>
      </c>
      <c r="L181" s="59">
        <f t="shared" si="2"/>
        <v>4440</v>
      </c>
      <c r="M181" s="59"/>
    </row>
    <row r="182" spans="1:14" ht="30">
      <c r="A182" s="56">
        <v>595</v>
      </c>
      <c r="B182" s="56">
        <v>595</v>
      </c>
      <c r="C182" s="56">
        <v>595</v>
      </c>
      <c r="D182" s="56" t="s">
        <v>1257</v>
      </c>
      <c r="F182" s="58" t="s">
        <v>1198</v>
      </c>
      <c r="G182" s="58">
        <v>20</v>
      </c>
      <c r="H182" s="56">
        <v>1</v>
      </c>
      <c r="I182" s="56">
        <v>1600</v>
      </c>
      <c r="J182" s="59" t="s">
        <v>1181</v>
      </c>
      <c r="K182" s="59">
        <v>1</v>
      </c>
      <c r="L182" s="59">
        <f t="shared" si="2"/>
        <v>1600</v>
      </c>
      <c r="M182" s="59"/>
      <c r="N182" s="56" t="s">
        <v>1258</v>
      </c>
    </row>
    <row r="183" spans="1:14" ht="30">
      <c r="A183" s="56">
        <v>259</v>
      </c>
      <c r="B183" s="56">
        <v>259</v>
      </c>
      <c r="C183" s="56">
        <v>259</v>
      </c>
      <c r="D183" s="56" t="s">
        <v>1260</v>
      </c>
      <c r="F183" s="56" t="s">
        <v>1185</v>
      </c>
      <c r="G183" s="56">
        <v>12</v>
      </c>
      <c r="H183" s="56">
        <v>1</v>
      </c>
      <c r="I183" s="56">
        <v>2100</v>
      </c>
      <c r="J183" s="59" t="s">
        <v>1181</v>
      </c>
      <c r="K183" s="59">
        <v>1</v>
      </c>
      <c r="L183" s="59">
        <f t="shared" si="2"/>
        <v>2100</v>
      </c>
      <c r="M183" s="59"/>
    </row>
    <row r="184" spans="1:14" ht="30">
      <c r="A184" s="56">
        <v>261</v>
      </c>
      <c r="B184" s="56">
        <v>261</v>
      </c>
      <c r="C184" s="56">
        <v>261</v>
      </c>
      <c r="D184" s="56" t="s">
        <v>1262</v>
      </c>
      <c r="F184" s="56" t="s">
        <v>1185</v>
      </c>
      <c r="G184" s="56">
        <v>12</v>
      </c>
      <c r="H184" s="56">
        <v>1</v>
      </c>
      <c r="I184" s="56">
        <v>1800</v>
      </c>
      <c r="J184" s="59" t="s">
        <v>1181</v>
      </c>
      <c r="K184" s="59">
        <v>1</v>
      </c>
      <c r="L184" s="59">
        <f t="shared" si="2"/>
        <v>1800</v>
      </c>
      <c r="M184" s="59"/>
    </row>
    <row r="185" spans="1:14" ht="30">
      <c r="A185" s="56">
        <v>266</v>
      </c>
      <c r="B185" s="56">
        <v>266</v>
      </c>
      <c r="C185" s="56">
        <v>266</v>
      </c>
      <c r="D185" s="56" t="s">
        <v>1263</v>
      </c>
      <c r="F185" s="56" t="s">
        <v>1185</v>
      </c>
      <c r="G185" s="56">
        <v>12</v>
      </c>
      <c r="H185" s="56">
        <v>1</v>
      </c>
      <c r="I185" s="56">
        <v>4884</v>
      </c>
      <c r="J185" s="59" t="s">
        <v>1181</v>
      </c>
      <c r="K185" s="59">
        <v>1</v>
      </c>
      <c r="L185" s="59">
        <f t="shared" si="2"/>
        <v>4884</v>
      </c>
      <c r="M185" s="59"/>
    </row>
    <row r="186" spans="1:14" ht="30">
      <c r="A186" s="56">
        <v>273</v>
      </c>
      <c r="B186" s="56">
        <v>273</v>
      </c>
      <c r="C186" s="56">
        <v>273</v>
      </c>
      <c r="D186" s="56" t="s">
        <v>1264</v>
      </c>
      <c r="F186" s="56" t="s">
        <v>1183</v>
      </c>
      <c r="G186" s="56">
        <v>12</v>
      </c>
      <c r="H186" s="56">
        <v>1</v>
      </c>
      <c r="I186" s="56">
        <v>80</v>
      </c>
      <c r="J186" s="59" t="s">
        <v>1181</v>
      </c>
      <c r="K186" s="59">
        <v>1</v>
      </c>
      <c r="L186" s="59">
        <f t="shared" si="2"/>
        <v>80</v>
      </c>
      <c r="M186" s="59"/>
    </row>
    <row r="187" spans="1:14" ht="30">
      <c r="A187" s="56">
        <v>280</v>
      </c>
      <c r="B187" s="56">
        <v>280</v>
      </c>
      <c r="C187" s="56">
        <v>280</v>
      </c>
      <c r="D187" s="56" t="s">
        <v>54</v>
      </c>
      <c r="F187" s="56" t="s">
        <v>1185</v>
      </c>
      <c r="G187" s="56">
        <v>12</v>
      </c>
      <c r="H187" s="56">
        <v>1</v>
      </c>
      <c r="I187" s="56">
        <v>200</v>
      </c>
      <c r="J187" s="59" t="s">
        <v>1181</v>
      </c>
      <c r="K187" s="59">
        <v>1</v>
      </c>
      <c r="L187" s="59">
        <f t="shared" si="2"/>
        <v>200</v>
      </c>
      <c r="M187" s="59"/>
    </row>
    <row r="188" spans="1:14" ht="30">
      <c r="A188" s="56">
        <v>282</v>
      </c>
      <c r="B188" s="56">
        <v>282</v>
      </c>
      <c r="C188" s="56">
        <v>282</v>
      </c>
      <c r="D188" s="56" t="s">
        <v>1265</v>
      </c>
      <c r="F188" s="56" t="s">
        <v>1185</v>
      </c>
      <c r="G188" s="56">
        <v>12</v>
      </c>
      <c r="H188" s="56">
        <v>1</v>
      </c>
      <c r="I188" s="56">
        <v>200</v>
      </c>
      <c r="J188" s="59" t="s">
        <v>1181</v>
      </c>
      <c r="K188" s="59">
        <v>1</v>
      </c>
      <c r="L188" s="59">
        <f t="shared" si="2"/>
        <v>200</v>
      </c>
      <c r="M188" s="59"/>
    </row>
    <row r="189" spans="1:14" ht="30">
      <c r="A189" s="56">
        <v>283</v>
      </c>
      <c r="B189" s="56">
        <v>283</v>
      </c>
      <c r="C189" s="56">
        <v>283</v>
      </c>
      <c r="D189" s="56" t="s">
        <v>1266</v>
      </c>
      <c r="F189" s="56" t="s">
        <v>1185</v>
      </c>
      <c r="G189" s="56">
        <v>12</v>
      </c>
      <c r="H189" s="56">
        <v>1</v>
      </c>
      <c r="I189" s="56">
        <v>110</v>
      </c>
      <c r="J189" s="59" t="s">
        <v>1181</v>
      </c>
      <c r="K189" s="59">
        <v>1</v>
      </c>
      <c r="L189" s="59">
        <f t="shared" si="2"/>
        <v>110</v>
      </c>
      <c r="M189" s="59"/>
    </row>
    <row r="190" spans="1:14" ht="30">
      <c r="A190" s="56">
        <v>297</v>
      </c>
      <c r="B190" s="56">
        <v>297</v>
      </c>
      <c r="C190" s="56">
        <v>297</v>
      </c>
      <c r="D190" s="56" t="s">
        <v>1268</v>
      </c>
      <c r="F190" s="56" t="s">
        <v>1185</v>
      </c>
      <c r="G190" s="56">
        <v>12</v>
      </c>
      <c r="H190" s="56">
        <v>1</v>
      </c>
      <c r="I190" s="56">
        <v>1800</v>
      </c>
      <c r="J190" s="59" t="s">
        <v>1181</v>
      </c>
      <c r="K190" s="59">
        <v>1</v>
      </c>
      <c r="L190" s="59">
        <f t="shared" si="2"/>
        <v>1800</v>
      </c>
      <c r="M190" s="59"/>
    </row>
    <row r="191" spans="1:14" ht="30">
      <c r="A191" s="56">
        <v>323</v>
      </c>
      <c r="B191" s="56">
        <v>323</v>
      </c>
      <c r="C191" s="56">
        <v>323</v>
      </c>
      <c r="D191" s="56" t="s">
        <v>1270</v>
      </c>
      <c r="F191" s="58" t="s">
        <v>1185</v>
      </c>
      <c r="G191" s="56">
        <v>12</v>
      </c>
      <c r="H191" s="56">
        <v>1</v>
      </c>
      <c r="I191" s="56">
        <v>7200</v>
      </c>
      <c r="J191" s="59" t="s">
        <v>1181</v>
      </c>
      <c r="K191" s="59">
        <v>1</v>
      </c>
      <c r="L191" s="59">
        <f t="shared" si="2"/>
        <v>7200</v>
      </c>
      <c r="M191" s="59"/>
    </row>
    <row r="192" spans="1:14" ht="30">
      <c r="A192" s="56">
        <v>412</v>
      </c>
      <c r="B192" s="56">
        <v>412</v>
      </c>
      <c r="C192" s="56">
        <v>412</v>
      </c>
      <c r="D192" s="56" t="s">
        <v>1271</v>
      </c>
      <c r="F192" s="58" t="s">
        <v>1272</v>
      </c>
      <c r="G192" s="56">
        <v>12</v>
      </c>
      <c r="H192" s="56">
        <v>1</v>
      </c>
      <c r="I192" s="56">
        <v>1560</v>
      </c>
      <c r="J192" s="59" t="s">
        <v>1181</v>
      </c>
      <c r="K192" s="59">
        <v>1</v>
      </c>
      <c r="L192" s="59">
        <f t="shared" si="2"/>
        <v>1560</v>
      </c>
      <c r="M192" s="59"/>
    </row>
    <row r="193" spans="1:13" ht="30">
      <c r="A193" s="56">
        <v>413</v>
      </c>
      <c r="B193" s="56">
        <v>413</v>
      </c>
      <c r="C193" s="56">
        <v>413</v>
      </c>
      <c r="D193" s="56" t="s">
        <v>1273</v>
      </c>
      <c r="F193" s="58" t="s">
        <v>1272</v>
      </c>
      <c r="G193" s="56">
        <v>12</v>
      </c>
      <c r="H193" s="56">
        <v>1</v>
      </c>
      <c r="I193" s="56">
        <v>2760</v>
      </c>
      <c r="J193" s="59" t="s">
        <v>1181</v>
      </c>
      <c r="K193" s="59">
        <v>1</v>
      </c>
      <c r="L193" s="59">
        <f t="shared" si="2"/>
        <v>2760</v>
      </c>
      <c r="M193" s="59"/>
    </row>
    <row r="194" spans="1:13" ht="30">
      <c r="A194" s="56">
        <v>422</v>
      </c>
      <c r="B194" s="56">
        <v>422</v>
      </c>
      <c r="C194" s="56">
        <v>422</v>
      </c>
      <c r="D194" s="56" t="s">
        <v>1274</v>
      </c>
      <c r="F194" s="58" t="s">
        <v>1185</v>
      </c>
      <c r="G194" s="58">
        <v>12</v>
      </c>
      <c r="H194" s="58">
        <v>1</v>
      </c>
      <c r="I194" s="56">
        <v>2640</v>
      </c>
      <c r="J194" s="59" t="s">
        <v>1181</v>
      </c>
      <c r="K194" s="59">
        <v>1</v>
      </c>
      <c r="L194" s="59">
        <f t="shared" ref="L194:L257" si="3">H194*I194</f>
        <v>2640</v>
      </c>
      <c r="M194" s="59"/>
    </row>
    <row r="195" spans="1:13" ht="30">
      <c r="A195" s="56">
        <v>624</v>
      </c>
      <c r="B195" s="56">
        <v>624</v>
      </c>
      <c r="C195" s="56">
        <v>624</v>
      </c>
      <c r="D195" s="56" t="s">
        <v>1280</v>
      </c>
      <c r="F195" s="58" t="s">
        <v>1183</v>
      </c>
      <c r="G195" s="58">
        <v>12</v>
      </c>
      <c r="H195" s="56">
        <v>1</v>
      </c>
      <c r="I195" s="56">
        <v>500</v>
      </c>
      <c r="J195" s="59" t="s">
        <v>1181</v>
      </c>
      <c r="K195" s="59">
        <v>1</v>
      </c>
      <c r="L195" s="59">
        <f t="shared" si="3"/>
        <v>500</v>
      </c>
      <c r="M195" s="59"/>
    </row>
    <row r="196" spans="1:13" ht="30">
      <c r="A196" s="56">
        <v>625</v>
      </c>
      <c r="B196" s="56">
        <v>625</v>
      </c>
      <c r="C196" s="56">
        <v>625</v>
      </c>
      <c r="D196" s="56" t="s">
        <v>1281</v>
      </c>
      <c r="F196" s="58" t="s">
        <v>1183</v>
      </c>
      <c r="G196" s="58">
        <v>12</v>
      </c>
      <c r="H196" s="56">
        <v>1</v>
      </c>
      <c r="I196" s="56">
        <v>650</v>
      </c>
      <c r="J196" s="59" t="s">
        <v>1181</v>
      </c>
      <c r="K196" s="59">
        <v>1</v>
      </c>
      <c r="L196" s="59">
        <f t="shared" si="3"/>
        <v>650</v>
      </c>
      <c r="M196" s="59"/>
    </row>
    <row r="197" spans="1:13" ht="30">
      <c r="A197" s="56">
        <v>776</v>
      </c>
      <c r="B197" s="56">
        <v>776</v>
      </c>
      <c r="C197" s="56">
        <v>776</v>
      </c>
      <c r="D197" s="56" t="s">
        <v>1283</v>
      </c>
      <c r="F197" s="58" t="s">
        <v>1183</v>
      </c>
      <c r="G197" s="58">
        <v>12</v>
      </c>
      <c r="H197" s="56">
        <v>1</v>
      </c>
      <c r="I197" s="56">
        <v>3000</v>
      </c>
      <c r="J197" s="59" t="s">
        <v>1181</v>
      </c>
      <c r="K197" s="59">
        <v>1</v>
      </c>
      <c r="L197" s="59">
        <f t="shared" si="3"/>
        <v>3000</v>
      </c>
      <c r="M197" s="59"/>
    </row>
    <row r="198" spans="1:13" ht="30">
      <c r="A198" s="56">
        <v>790</v>
      </c>
      <c r="B198" s="56">
        <v>790</v>
      </c>
      <c r="C198" s="56">
        <v>790</v>
      </c>
      <c r="D198" s="56" t="s">
        <v>1287</v>
      </c>
      <c r="F198" s="58" t="s">
        <v>1272</v>
      </c>
      <c r="G198" s="58">
        <v>12</v>
      </c>
      <c r="H198" s="56">
        <v>1</v>
      </c>
      <c r="I198" s="56">
        <v>800</v>
      </c>
      <c r="J198" s="59" t="s">
        <v>1181</v>
      </c>
      <c r="K198" s="59">
        <v>1</v>
      </c>
      <c r="L198" s="59">
        <f t="shared" si="3"/>
        <v>800</v>
      </c>
      <c r="M198" s="59"/>
    </row>
    <row r="199" spans="1:13" ht="30">
      <c r="A199" s="56">
        <v>794</v>
      </c>
      <c r="B199" s="56">
        <v>794</v>
      </c>
      <c r="C199" s="56">
        <v>794</v>
      </c>
      <c r="D199" s="56" t="s">
        <v>1288</v>
      </c>
      <c r="F199" s="58" t="s">
        <v>1272</v>
      </c>
      <c r="G199" s="58">
        <v>12</v>
      </c>
      <c r="H199" s="56">
        <v>1</v>
      </c>
      <c r="I199" s="56">
        <v>800</v>
      </c>
      <c r="J199" s="59" t="s">
        <v>1181</v>
      </c>
      <c r="K199" s="59">
        <v>1</v>
      </c>
      <c r="L199" s="59">
        <f t="shared" si="3"/>
        <v>800</v>
      </c>
      <c r="M199" s="59"/>
    </row>
    <row r="200" spans="1:13" ht="30">
      <c r="A200" s="56">
        <v>806</v>
      </c>
      <c r="B200" s="56">
        <v>806</v>
      </c>
      <c r="C200" s="56">
        <v>806</v>
      </c>
      <c r="D200" s="56" t="s">
        <v>1295</v>
      </c>
      <c r="F200" s="58" t="s">
        <v>1272</v>
      </c>
      <c r="G200" s="58">
        <v>12</v>
      </c>
      <c r="H200" s="56">
        <v>1</v>
      </c>
      <c r="I200" s="56">
        <v>813</v>
      </c>
      <c r="J200" s="59" t="s">
        <v>1181</v>
      </c>
      <c r="K200" s="59">
        <v>1</v>
      </c>
      <c r="L200" s="59">
        <f t="shared" si="3"/>
        <v>813</v>
      </c>
      <c r="M200" s="59"/>
    </row>
    <row r="201" spans="1:13" ht="30">
      <c r="A201" s="56">
        <v>813</v>
      </c>
      <c r="B201" s="56">
        <v>813</v>
      </c>
      <c r="C201" s="56">
        <v>813</v>
      </c>
      <c r="D201" s="56" t="s">
        <v>1302</v>
      </c>
      <c r="F201" s="58" t="s">
        <v>1185</v>
      </c>
      <c r="G201" s="58">
        <v>12</v>
      </c>
      <c r="H201" s="56">
        <v>1</v>
      </c>
      <c r="I201" s="56">
        <v>500</v>
      </c>
      <c r="J201" s="59" t="s">
        <v>1181</v>
      </c>
      <c r="K201" s="59">
        <v>1</v>
      </c>
      <c r="L201" s="59">
        <f t="shared" si="3"/>
        <v>500</v>
      </c>
      <c r="M201" s="59"/>
    </row>
    <row r="202" spans="1:13" ht="30">
      <c r="A202" s="56">
        <v>821</v>
      </c>
      <c r="B202" s="56">
        <v>821</v>
      </c>
      <c r="C202" s="56">
        <v>821</v>
      </c>
      <c r="D202" s="56" t="s">
        <v>1309</v>
      </c>
      <c r="F202" s="58" t="s">
        <v>1185</v>
      </c>
      <c r="G202" s="58">
        <v>12</v>
      </c>
      <c r="H202" s="56">
        <v>1</v>
      </c>
      <c r="I202" s="56">
        <v>830</v>
      </c>
      <c r="J202" s="59" t="s">
        <v>1181</v>
      </c>
      <c r="K202" s="59">
        <v>1</v>
      </c>
      <c r="L202" s="59">
        <f t="shared" si="3"/>
        <v>830</v>
      </c>
      <c r="M202" s="59"/>
    </row>
    <row r="203" spans="1:13" ht="30">
      <c r="A203" s="56">
        <v>822</v>
      </c>
      <c r="B203" s="56">
        <v>822</v>
      </c>
      <c r="C203" s="56">
        <v>822</v>
      </c>
      <c r="D203" s="56" t="s">
        <v>1310</v>
      </c>
      <c r="F203" s="58" t="s">
        <v>1185</v>
      </c>
      <c r="G203" s="58">
        <v>12</v>
      </c>
      <c r="H203" s="56">
        <v>1</v>
      </c>
      <c r="I203" s="56">
        <v>1150</v>
      </c>
      <c r="J203" s="59" t="s">
        <v>1181</v>
      </c>
      <c r="K203" s="59">
        <v>1</v>
      </c>
      <c r="L203" s="59">
        <f t="shared" si="3"/>
        <v>1150</v>
      </c>
      <c r="M203" s="59"/>
    </row>
    <row r="204" spans="1:13" ht="30">
      <c r="A204" s="56">
        <v>823</v>
      </c>
      <c r="B204" s="56">
        <v>823</v>
      </c>
      <c r="C204" s="56">
        <v>823</v>
      </c>
      <c r="D204" s="56" t="s">
        <v>1311</v>
      </c>
      <c r="F204" s="58" t="s">
        <v>1185</v>
      </c>
      <c r="G204" s="58">
        <v>12</v>
      </c>
      <c r="H204" s="56">
        <v>1</v>
      </c>
      <c r="I204" s="56">
        <v>1020</v>
      </c>
      <c r="J204" s="59" t="s">
        <v>1181</v>
      </c>
      <c r="K204" s="59">
        <v>1</v>
      </c>
      <c r="L204" s="59">
        <f t="shared" si="3"/>
        <v>1020</v>
      </c>
      <c r="M204" s="59"/>
    </row>
    <row r="205" spans="1:13" ht="30">
      <c r="A205" s="56">
        <v>829</v>
      </c>
      <c r="B205" s="56">
        <v>829</v>
      </c>
      <c r="C205" s="56">
        <v>829</v>
      </c>
      <c r="D205" s="56" t="s">
        <v>1317</v>
      </c>
      <c r="F205" s="58" t="s">
        <v>1185</v>
      </c>
      <c r="G205" s="58">
        <v>12</v>
      </c>
      <c r="H205" s="56">
        <v>1</v>
      </c>
      <c r="I205" s="56">
        <v>700</v>
      </c>
      <c r="J205" s="59" t="s">
        <v>1181</v>
      </c>
      <c r="K205" s="59">
        <v>1</v>
      </c>
      <c r="L205" s="59">
        <f t="shared" si="3"/>
        <v>700</v>
      </c>
      <c r="M205" s="59"/>
    </row>
    <row r="206" spans="1:13" ht="30">
      <c r="A206" s="56">
        <v>841</v>
      </c>
      <c r="B206" s="56">
        <v>841</v>
      </c>
      <c r="C206" s="56">
        <v>841</v>
      </c>
      <c r="D206" s="56" t="s">
        <v>1324</v>
      </c>
      <c r="F206" s="58" t="s">
        <v>1185</v>
      </c>
      <c r="G206" s="58">
        <v>12</v>
      </c>
      <c r="H206" s="56">
        <v>1</v>
      </c>
      <c r="I206" s="56">
        <v>1800</v>
      </c>
      <c r="J206" s="59" t="s">
        <v>1181</v>
      </c>
      <c r="K206" s="59">
        <v>1</v>
      </c>
      <c r="L206" s="59">
        <f t="shared" si="3"/>
        <v>1800</v>
      </c>
      <c r="M206" s="59"/>
    </row>
    <row r="207" spans="1:13" ht="30">
      <c r="A207" s="56">
        <v>844</v>
      </c>
      <c r="B207" s="56">
        <v>844</v>
      </c>
      <c r="C207" s="56">
        <v>844</v>
      </c>
      <c r="D207" s="56" t="s">
        <v>1326</v>
      </c>
      <c r="F207" s="58" t="s">
        <v>1185</v>
      </c>
      <c r="G207" s="58">
        <v>12</v>
      </c>
      <c r="H207" s="56">
        <v>1</v>
      </c>
      <c r="I207" s="56">
        <v>7200</v>
      </c>
      <c r="J207" s="59" t="s">
        <v>1181</v>
      </c>
      <c r="K207" s="59">
        <v>1</v>
      </c>
      <c r="L207" s="59">
        <f t="shared" si="3"/>
        <v>7200</v>
      </c>
      <c r="M207" s="59"/>
    </row>
    <row r="208" spans="1:13" ht="30">
      <c r="A208" s="56">
        <v>846</v>
      </c>
      <c r="B208" s="56">
        <v>846</v>
      </c>
      <c r="C208" s="56">
        <v>846</v>
      </c>
      <c r="D208" s="56" t="s">
        <v>1328</v>
      </c>
      <c r="F208" s="58" t="s">
        <v>1185</v>
      </c>
      <c r="G208" s="58">
        <v>12</v>
      </c>
      <c r="H208" s="56">
        <v>1</v>
      </c>
      <c r="I208" s="56">
        <v>924</v>
      </c>
      <c r="J208" s="59" t="s">
        <v>1181</v>
      </c>
      <c r="K208" s="59">
        <v>1</v>
      </c>
      <c r="L208" s="59">
        <f t="shared" si="3"/>
        <v>924</v>
      </c>
      <c r="M208" s="59"/>
    </row>
    <row r="209" spans="1:13" ht="30">
      <c r="A209" s="56">
        <v>848</v>
      </c>
      <c r="B209" s="56">
        <v>848</v>
      </c>
      <c r="C209" s="56">
        <v>848</v>
      </c>
      <c r="D209" s="56" t="s">
        <v>1330</v>
      </c>
      <c r="F209" s="58" t="s">
        <v>1185</v>
      </c>
      <c r="G209" s="58">
        <v>12</v>
      </c>
      <c r="H209" s="56">
        <v>1</v>
      </c>
      <c r="I209" s="56">
        <v>500</v>
      </c>
      <c r="J209" s="59" t="s">
        <v>1181</v>
      </c>
      <c r="K209" s="59">
        <v>1</v>
      </c>
      <c r="L209" s="59">
        <f t="shared" si="3"/>
        <v>500</v>
      </c>
      <c r="M209" s="59"/>
    </row>
    <row r="210" spans="1:13" ht="30">
      <c r="A210" s="56">
        <v>849</v>
      </c>
      <c r="B210" s="56">
        <v>849</v>
      </c>
      <c r="C210" s="56">
        <v>849</v>
      </c>
      <c r="D210" s="56" t="s">
        <v>1331</v>
      </c>
      <c r="F210" s="58" t="s">
        <v>1185</v>
      </c>
      <c r="G210" s="58">
        <v>12</v>
      </c>
      <c r="H210" s="56">
        <v>1</v>
      </c>
      <c r="I210" s="56">
        <v>1440</v>
      </c>
      <c r="J210" s="59" t="s">
        <v>1181</v>
      </c>
      <c r="K210" s="59">
        <v>1</v>
      </c>
      <c r="L210" s="59">
        <f t="shared" si="3"/>
        <v>1440</v>
      </c>
      <c r="M210" s="59"/>
    </row>
    <row r="211" spans="1:13" ht="30">
      <c r="A211" s="56">
        <v>850</v>
      </c>
      <c r="B211" s="56">
        <v>850</v>
      </c>
      <c r="C211" s="56">
        <v>850</v>
      </c>
      <c r="D211" s="56" t="s">
        <v>1332</v>
      </c>
      <c r="F211" s="58" t="s">
        <v>1185</v>
      </c>
      <c r="G211" s="58">
        <v>12</v>
      </c>
      <c r="H211" s="56">
        <v>1</v>
      </c>
      <c r="I211" s="56">
        <v>1560</v>
      </c>
      <c r="J211" s="59" t="s">
        <v>1181</v>
      </c>
      <c r="K211" s="59">
        <v>1</v>
      </c>
      <c r="L211" s="59">
        <f t="shared" si="3"/>
        <v>1560</v>
      </c>
      <c r="M211" s="59"/>
    </row>
    <row r="212" spans="1:13" ht="30">
      <c r="A212" s="56">
        <v>852</v>
      </c>
      <c r="B212" s="56">
        <v>852</v>
      </c>
      <c r="C212" s="56">
        <v>852</v>
      </c>
      <c r="D212" s="56" t="s">
        <v>1333</v>
      </c>
      <c r="F212" s="58" t="s">
        <v>1185</v>
      </c>
      <c r="G212" s="58">
        <v>12</v>
      </c>
      <c r="H212" s="56">
        <v>1</v>
      </c>
      <c r="I212" s="56">
        <v>3120</v>
      </c>
      <c r="J212" s="59" t="s">
        <v>1181</v>
      </c>
      <c r="K212" s="59">
        <v>1</v>
      </c>
      <c r="L212" s="59">
        <f t="shared" si="3"/>
        <v>3120</v>
      </c>
      <c r="M212" s="59"/>
    </row>
    <row r="213" spans="1:13" ht="30">
      <c r="A213" s="56">
        <v>853</v>
      </c>
      <c r="B213" s="56">
        <v>853</v>
      </c>
      <c r="C213" s="56">
        <v>853</v>
      </c>
      <c r="D213" s="56" t="s">
        <v>1334</v>
      </c>
      <c r="F213" s="58" t="s">
        <v>1185</v>
      </c>
      <c r="G213" s="58">
        <v>12</v>
      </c>
      <c r="H213" s="56">
        <v>1</v>
      </c>
      <c r="I213" s="56">
        <v>1200</v>
      </c>
      <c r="J213" s="59" t="s">
        <v>1181</v>
      </c>
      <c r="K213" s="59">
        <v>1</v>
      </c>
      <c r="L213" s="59">
        <f t="shared" si="3"/>
        <v>1200</v>
      </c>
      <c r="M213" s="59"/>
    </row>
    <row r="214" spans="1:13" ht="30">
      <c r="A214" s="56">
        <v>858</v>
      </c>
      <c r="B214" s="56">
        <v>858</v>
      </c>
      <c r="C214" s="56">
        <v>858</v>
      </c>
      <c r="D214" s="56" t="s">
        <v>1338</v>
      </c>
      <c r="F214" s="58" t="s">
        <v>1185</v>
      </c>
      <c r="G214" s="58">
        <v>12</v>
      </c>
      <c r="H214" s="56">
        <v>1</v>
      </c>
      <c r="I214" s="56">
        <v>2400</v>
      </c>
      <c r="J214" s="59" t="s">
        <v>1181</v>
      </c>
      <c r="K214" s="59">
        <v>1</v>
      </c>
      <c r="L214" s="59">
        <f t="shared" si="3"/>
        <v>2400</v>
      </c>
      <c r="M214" s="59"/>
    </row>
    <row r="215" spans="1:13" ht="30">
      <c r="A215" s="56">
        <v>859</v>
      </c>
      <c r="B215" s="56">
        <v>859</v>
      </c>
      <c r="C215" s="56">
        <v>859</v>
      </c>
      <c r="D215" s="56" t="s">
        <v>1339</v>
      </c>
      <c r="F215" s="58" t="s">
        <v>1185</v>
      </c>
      <c r="G215" s="58">
        <v>12</v>
      </c>
      <c r="H215" s="56">
        <v>1</v>
      </c>
      <c r="I215" s="56">
        <v>1920</v>
      </c>
      <c r="J215" s="59" t="s">
        <v>1181</v>
      </c>
      <c r="K215" s="59">
        <v>1</v>
      </c>
      <c r="L215" s="59">
        <f t="shared" si="3"/>
        <v>1920</v>
      </c>
      <c r="M215" s="59"/>
    </row>
    <row r="216" spans="1:13" ht="30">
      <c r="A216" s="56">
        <v>861</v>
      </c>
      <c r="B216" s="56">
        <v>861</v>
      </c>
      <c r="C216" s="56">
        <v>861</v>
      </c>
      <c r="D216" s="56" t="s">
        <v>1341</v>
      </c>
      <c r="F216" s="58" t="s">
        <v>1185</v>
      </c>
      <c r="G216" s="58">
        <v>12</v>
      </c>
      <c r="H216" s="56">
        <v>1</v>
      </c>
      <c r="I216" s="56">
        <v>7200</v>
      </c>
      <c r="J216" s="59" t="s">
        <v>1181</v>
      </c>
      <c r="K216" s="59">
        <v>1</v>
      </c>
      <c r="L216" s="59">
        <f t="shared" si="3"/>
        <v>7200</v>
      </c>
      <c r="M216" s="59"/>
    </row>
    <row r="217" spans="1:13" ht="30">
      <c r="A217" s="56">
        <v>864</v>
      </c>
      <c r="B217" s="56">
        <v>864</v>
      </c>
      <c r="C217" s="56">
        <v>864</v>
      </c>
      <c r="D217" s="56" t="s">
        <v>1344</v>
      </c>
      <c r="F217" s="58" t="s">
        <v>1185</v>
      </c>
      <c r="G217" s="58">
        <v>12</v>
      </c>
      <c r="H217" s="56">
        <v>1</v>
      </c>
      <c r="I217" s="56">
        <v>1176</v>
      </c>
      <c r="J217" s="59" t="s">
        <v>1181</v>
      </c>
      <c r="K217" s="59">
        <v>1</v>
      </c>
      <c r="L217" s="59">
        <f t="shared" si="3"/>
        <v>1176</v>
      </c>
      <c r="M217" s="59"/>
    </row>
    <row r="218" spans="1:13" ht="30">
      <c r="A218" s="56">
        <v>865</v>
      </c>
      <c r="B218" s="56">
        <v>865</v>
      </c>
      <c r="C218" s="56">
        <v>865</v>
      </c>
      <c r="D218" s="56" t="s">
        <v>1345</v>
      </c>
      <c r="F218" s="58" t="s">
        <v>1185</v>
      </c>
      <c r="G218" s="58">
        <v>12</v>
      </c>
      <c r="H218" s="56">
        <v>1</v>
      </c>
      <c r="I218" s="56">
        <v>2040</v>
      </c>
      <c r="J218" s="59" t="s">
        <v>1181</v>
      </c>
      <c r="K218" s="59">
        <v>1</v>
      </c>
      <c r="L218" s="59">
        <f t="shared" si="3"/>
        <v>2040</v>
      </c>
      <c r="M218" s="59"/>
    </row>
    <row r="219" spans="1:13" ht="30">
      <c r="A219" s="56">
        <v>866</v>
      </c>
      <c r="B219" s="56">
        <v>866</v>
      </c>
      <c r="C219" s="56">
        <v>866</v>
      </c>
      <c r="D219" s="56" t="s">
        <v>1346</v>
      </c>
      <c r="F219" s="58" t="s">
        <v>1185</v>
      </c>
      <c r="G219" s="58">
        <v>12</v>
      </c>
      <c r="H219" s="56">
        <v>1</v>
      </c>
      <c r="I219" s="56">
        <v>2160</v>
      </c>
      <c r="J219" s="59" t="s">
        <v>1181</v>
      </c>
      <c r="K219" s="59">
        <v>1</v>
      </c>
      <c r="L219" s="59">
        <f t="shared" si="3"/>
        <v>2160</v>
      </c>
      <c r="M219" s="59"/>
    </row>
    <row r="220" spans="1:13" ht="30">
      <c r="A220" s="56">
        <v>867</v>
      </c>
      <c r="B220" s="56">
        <v>867</v>
      </c>
      <c r="C220" s="56">
        <v>867</v>
      </c>
      <c r="D220" s="56" t="s">
        <v>1347</v>
      </c>
      <c r="F220" s="58" t="s">
        <v>1185</v>
      </c>
      <c r="G220" s="58">
        <v>12</v>
      </c>
      <c r="H220" s="56">
        <v>1</v>
      </c>
      <c r="I220" s="56">
        <v>1920</v>
      </c>
      <c r="J220" s="59" t="s">
        <v>1181</v>
      </c>
      <c r="K220" s="59">
        <v>1</v>
      </c>
      <c r="L220" s="59">
        <f t="shared" si="3"/>
        <v>1920</v>
      </c>
      <c r="M220" s="59"/>
    </row>
    <row r="221" spans="1:13" ht="30">
      <c r="A221" s="56">
        <v>868</v>
      </c>
      <c r="B221" s="56">
        <v>868</v>
      </c>
      <c r="C221" s="56">
        <v>868</v>
      </c>
      <c r="D221" s="56" t="s">
        <v>1343</v>
      </c>
      <c r="F221" s="58" t="s">
        <v>1185</v>
      </c>
      <c r="G221" s="58">
        <v>12</v>
      </c>
      <c r="H221" s="56">
        <v>1</v>
      </c>
      <c r="I221" s="56">
        <v>2160</v>
      </c>
      <c r="J221" s="59" t="s">
        <v>1181</v>
      </c>
      <c r="K221" s="59">
        <v>1</v>
      </c>
      <c r="L221" s="59">
        <f t="shared" si="3"/>
        <v>2160</v>
      </c>
      <c r="M221" s="59"/>
    </row>
    <row r="222" spans="1:13" ht="30">
      <c r="A222" s="56">
        <v>870</v>
      </c>
      <c r="B222" s="56">
        <v>870</v>
      </c>
      <c r="C222" s="56">
        <v>870</v>
      </c>
      <c r="D222" s="56" t="s">
        <v>1349</v>
      </c>
      <c r="F222" s="58" t="s">
        <v>1185</v>
      </c>
      <c r="G222" s="58">
        <v>12</v>
      </c>
      <c r="H222" s="56">
        <v>1</v>
      </c>
      <c r="I222" s="56">
        <v>2340</v>
      </c>
      <c r="J222" s="59" t="s">
        <v>1181</v>
      </c>
      <c r="K222" s="59">
        <v>1</v>
      </c>
      <c r="L222" s="59">
        <f t="shared" si="3"/>
        <v>2340</v>
      </c>
      <c r="M222" s="59"/>
    </row>
    <row r="223" spans="1:13" ht="30">
      <c r="A223" s="56">
        <v>872</v>
      </c>
      <c r="B223" s="56">
        <v>872</v>
      </c>
      <c r="C223" s="56">
        <v>872</v>
      </c>
      <c r="D223" s="56" t="s">
        <v>1351</v>
      </c>
      <c r="F223" s="58" t="s">
        <v>1185</v>
      </c>
      <c r="G223" s="58">
        <v>12</v>
      </c>
      <c r="H223" s="56">
        <v>1</v>
      </c>
      <c r="I223" s="56">
        <v>2076</v>
      </c>
      <c r="J223" s="59" t="s">
        <v>1181</v>
      </c>
      <c r="K223" s="59">
        <v>1</v>
      </c>
      <c r="L223" s="59">
        <f t="shared" si="3"/>
        <v>2076</v>
      </c>
      <c r="M223" s="59"/>
    </row>
    <row r="224" spans="1:13" ht="30">
      <c r="A224" s="56">
        <v>873</v>
      </c>
      <c r="B224" s="56">
        <v>873</v>
      </c>
      <c r="C224" s="56">
        <v>873</v>
      </c>
      <c r="D224" s="56" t="s">
        <v>1352</v>
      </c>
      <c r="F224" s="58" t="s">
        <v>1185</v>
      </c>
      <c r="G224" s="58">
        <v>12</v>
      </c>
      <c r="H224" s="56">
        <v>1</v>
      </c>
      <c r="I224" s="56">
        <v>1440</v>
      </c>
      <c r="J224" s="59" t="s">
        <v>1181</v>
      </c>
      <c r="K224" s="59">
        <v>1</v>
      </c>
      <c r="L224" s="59">
        <f t="shared" si="3"/>
        <v>1440</v>
      </c>
      <c r="M224" s="59"/>
    </row>
    <row r="225" spans="1:13" ht="30">
      <c r="A225" s="56">
        <v>874</v>
      </c>
      <c r="B225" s="56">
        <v>874</v>
      </c>
      <c r="C225" s="56">
        <v>874</v>
      </c>
      <c r="D225" s="56" t="s">
        <v>1353</v>
      </c>
      <c r="F225" s="58" t="s">
        <v>1185</v>
      </c>
      <c r="G225" s="58">
        <v>12</v>
      </c>
      <c r="H225" s="56">
        <v>1</v>
      </c>
      <c r="I225" s="56">
        <v>1680</v>
      </c>
      <c r="J225" s="59" t="s">
        <v>1181</v>
      </c>
      <c r="K225" s="59">
        <v>1</v>
      </c>
      <c r="L225" s="59">
        <f t="shared" si="3"/>
        <v>1680</v>
      </c>
      <c r="M225" s="59"/>
    </row>
    <row r="226" spans="1:13" ht="30">
      <c r="A226" s="56">
        <v>875</v>
      </c>
      <c r="B226" s="56">
        <v>875</v>
      </c>
      <c r="C226" s="56">
        <v>875</v>
      </c>
      <c r="D226" s="56" t="s">
        <v>1354</v>
      </c>
      <c r="F226" s="58" t="s">
        <v>1185</v>
      </c>
      <c r="G226" s="58">
        <v>12</v>
      </c>
      <c r="H226" s="56">
        <v>1</v>
      </c>
      <c r="I226" s="56">
        <v>1380</v>
      </c>
      <c r="J226" s="59" t="s">
        <v>1181</v>
      </c>
      <c r="K226" s="59">
        <v>1</v>
      </c>
      <c r="L226" s="59">
        <f t="shared" si="3"/>
        <v>1380</v>
      </c>
      <c r="M226" s="59"/>
    </row>
    <row r="227" spans="1:13" ht="30">
      <c r="A227" s="56">
        <v>879</v>
      </c>
      <c r="B227" s="56">
        <v>879</v>
      </c>
      <c r="C227" s="56">
        <v>879</v>
      </c>
      <c r="D227" s="56" t="s">
        <v>1358</v>
      </c>
      <c r="F227" s="58" t="s">
        <v>1185</v>
      </c>
      <c r="G227" s="58">
        <v>12</v>
      </c>
      <c r="H227" s="56">
        <v>1</v>
      </c>
      <c r="I227" s="56">
        <v>2160</v>
      </c>
      <c r="J227" s="59" t="s">
        <v>1181</v>
      </c>
      <c r="K227" s="59">
        <v>1</v>
      </c>
      <c r="L227" s="59">
        <f t="shared" si="3"/>
        <v>2160</v>
      </c>
      <c r="M227" s="59"/>
    </row>
    <row r="228" spans="1:13" ht="30">
      <c r="A228" s="56">
        <v>880</v>
      </c>
      <c r="B228" s="56">
        <v>880</v>
      </c>
      <c r="C228" s="56">
        <v>880</v>
      </c>
      <c r="D228" s="56" t="s">
        <v>1359</v>
      </c>
      <c r="F228" s="56" t="s">
        <v>1185</v>
      </c>
      <c r="G228" s="56">
        <v>12</v>
      </c>
      <c r="H228" s="56">
        <v>1</v>
      </c>
      <c r="I228" s="56">
        <v>1200</v>
      </c>
      <c r="J228" s="59" t="s">
        <v>1181</v>
      </c>
      <c r="K228" s="59">
        <v>1</v>
      </c>
      <c r="L228" s="59">
        <f t="shared" si="3"/>
        <v>1200</v>
      </c>
      <c r="M228" s="59"/>
    </row>
    <row r="229" spans="1:13" ht="30">
      <c r="A229" s="56">
        <v>913</v>
      </c>
      <c r="B229" s="56">
        <v>913</v>
      </c>
      <c r="C229" s="56">
        <v>913</v>
      </c>
      <c r="D229" s="56" t="s">
        <v>1360</v>
      </c>
      <c r="F229" s="58" t="s">
        <v>1185</v>
      </c>
      <c r="G229" s="58">
        <v>12</v>
      </c>
      <c r="H229" s="56">
        <v>1</v>
      </c>
      <c r="I229" s="56">
        <v>400</v>
      </c>
      <c r="J229" s="59" t="s">
        <v>1181</v>
      </c>
      <c r="K229" s="59">
        <v>1</v>
      </c>
      <c r="L229" s="59">
        <f t="shared" si="3"/>
        <v>400</v>
      </c>
      <c r="M229" s="59"/>
    </row>
    <row r="230" spans="1:13" ht="30">
      <c r="A230" s="56">
        <v>916</v>
      </c>
      <c r="B230" s="56">
        <v>916</v>
      </c>
      <c r="C230" s="56">
        <v>916</v>
      </c>
      <c r="D230" s="56" t="s">
        <v>1362</v>
      </c>
      <c r="F230" s="58" t="s">
        <v>1185</v>
      </c>
      <c r="G230" s="58">
        <v>12</v>
      </c>
      <c r="H230" s="56">
        <v>1</v>
      </c>
      <c r="I230" s="56">
        <v>500</v>
      </c>
      <c r="J230" s="59" t="s">
        <v>1181</v>
      </c>
      <c r="K230" s="59">
        <v>1</v>
      </c>
      <c r="L230" s="59">
        <f t="shared" si="3"/>
        <v>500</v>
      </c>
      <c r="M230" s="59"/>
    </row>
    <row r="231" spans="1:13" ht="30">
      <c r="A231" s="56">
        <v>917</v>
      </c>
      <c r="B231" s="56">
        <v>917</v>
      </c>
      <c r="C231" s="56">
        <v>917</v>
      </c>
      <c r="D231" s="56" t="s">
        <v>1363</v>
      </c>
      <c r="F231" s="58" t="s">
        <v>1185</v>
      </c>
      <c r="G231" s="58">
        <v>12</v>
      </c>
      <c r="H231" s="56">
        <v>1</v>
      </c>
      <c r="I231" s="56">
        <v>600</v>
      </c>
      <c r="J231" s="59" t="s">
        <v>1181</v>
      </c>
      <c r="K231" s="59">
        <v>1</v>
      </c>
      <c r="L231" s="59">
        <f t="shared" si="3"/>
        <v>600</v>
      </c>
      <c r="M231" s="59"/>
    </row>
    <row r="232" spans="1:13" ht="30">
      <c r="A232" s="56">
        <v>918</v>
      </c>
      <c r="B232" s="56">
        <v>918</v>
      </c>
      <c r="C232" s="56">
        <v>918</v>
      </c>
      <c r="D232" s="56" t="s">
        <v>1364</v>
      </c>
      <c r="F232" s="58" t="s">
        <v>1185</v>
      </c>
      <c r="G232" s="58">
        <v>12</v>
      </c>
      <c r="H232" s="56">
        <v>1</v>
      </c>
      <c r="I232" s="56">
        <v>750</v>
      </c>
      <c r="J232" s="59" t="s">
        <v>1181</v>
      </c>
      <c r="K232" s="59">
        <v>1</v>
      </c>
      <c r="L232" s="59">
        <f t="shared" si="3"/>
        <v>750</v>
      </c>
      <c r="M232" s="59"/>
    </row>
    <row r="233" spans="1:13" ht="30">
      <c r="A233" s="56">
        <v>922</v>
      </c>
      <c r="B233" s="56">
        <v>922</v>
      </c>
      <c r="C233" s="56">
        <v>922</v>
      </c>
      <c r="D233" s="56" t="s">
        <v>1368</v>
      </c>
      <c r="F233" s="58" t="s">
        <v>1185</v>
      </c>
      <c r="G233" s="58">
        <v>12</v>
      </c>
      <c r="H233" s="56">
        <v>1</v>
      </c>
      <c r="I233" s="56">
        <v>1320</v>
      </c>
      <c r="J233" s="59" t="s">
        <v>1181</v>
      </c>
      <c r="K233" s="59">
        <v>1</v>
      </c>
      <c r="L233" s="59">
        <f t="shared" si="3"/>
        <v>1320</v>
      </c>
      <c r="M233" s="59"/>
    </row>
    <row r="234" spans="1:13" ht="30">
      <c r="A234" s="56">
        <v>923</v>
      </c>
      <c r="B234" s="56">
        <v>923</v>
      </c>
      <c r="C234" s="56">
        <v>923</v>
      </c>
      <c r="D234" s="56" t="s">
        <v>1369</v>
      </c>
      <c r="F234" s="58" t="s">
        <v>1185</v>
      </c>
      <c r="G234" s="58">
        <v>12</v>
      </c>
      <c r="H234" s="56">
        <v>1</v>
      </c>
      <c r="I234" s="56">
        <v>800</v>
      </c>
      <c r="J234" s="59" t="s">
        <v>1181</v>
      </c>
      <c r="K234" s="59">
        <v>1</v>
      </c>
      <c r="L234" s="59">
        <f t="shared" si="3"/>
        <v>800</v>
      </c>
      <c r="M234" s="59"/>
    </row>
    <row r="235" spans="1:13" ht="30">
      <c r="A235" s="56">
        <v>924</v>
      </c>
      <c r="B235" s="56">
        <v>924</v>
      </c>
      <c r="C235" s="56">
        <v>924</v>
      </c>
      <c r="D235" s="56" t="s">
        <v>1370</v>
      </c>
      <c r="F235" s="58" t="s">
        <v>1185</v>
      </c>
      <c r="G235" s="58">
        <v>12</v>
      </c>
      <c r="H235" s="56">
        <v>1</v>
      </c>
      <c r="I235" s="56">
        <v>857</v>
      </c>
      <c r="J235" s="59" t="s">
        <v>1181</v>
      </c>
      <c r="K235" s="59">
        <v>1</v>
      </c>
      <c r="L235" s="59">
        <f t="shared" si="3"/>
        <v>857</v>
      </c>
      <c r="M235" s="59"/>
    </row>
    <row r="236" spans="1:13" ht="30">
      <c r="A236" s="56">
        <v>925</v>
      </c>
      <c r="B236" s="56">
        <v>925</v>
      </c>
      <c r="C236" s="56">
        <v>925</v>
      </c>
      <c r="D236" s="56" t="s">
        <v>1371</v>
      </c>
      <c r="F236" s="58" t="s">
        <v>1185</v>
      </c>
      <c r="G236" s="58">
        <v>12</v>
      </c>
      <c r="H236" s="56">
        <v>1</v>
      </c>
      <c r="I236" s="56">
        <v>1116</v>
      </c>
      <c r="J236" s="59" t="s">
        <v>1181</v>
      </c>
      <c r="K236" s="59">
        <v>1</v>
      </c>
      <c r="L236" s="59">
        <f t="shared" si="3"/>
        <v>1116</v>
      </c>
      <c r="M236" s="59"/>
    </row>
    <row r="237" spans="1:13" ht="30">
      <c r="A237" s="56">
        <v>926</v>
      </c>
      <c r="B237" s="56">
        <v>926</v>
      </c>
      <c r="C237" s="56">
        <v>926</v>
      </c>
      <c r="D237" s="56" t="s">
        <v>1372</v>
      </c>
      <c r="F237" s="58" t="s">
        <v>1185</v>
      </c>
      <c r="G237" s="58">
        <v>12</v>
      </c>
      <c r="H237" s="56">
        <v>1</v>
      </c>
      <c r="I237" s="56">
        <v>1405</v>
      </c>
      <c r="J237" s="59" t="s">
        <v>1181</v>
      </c>
      <c r="K237" s="59">
        <v>1</v>
      </c>
      <c r="L237" s="59">
        <f t="shared" si="3"/>
        <v>1405</v>
      </c>
      <c r="M237" s="59"/>
    </row>
    <row r="238" spans="1:13" ht="30">
      <c r="A238" s="56">
        <v>928</v>
      </c>
      <c r="B238" s="56">
        <v>928</v>
      </c>
      <c r="C238" s="56">
        <v>928</v>
      </c>
      <c r="D238" s="56" t="s">
        <v>1373</v>
      </c>
      <c r="F238" s="58" t="s">
        <v>1185</v>
      </c>
      <c r="G238" s="58">
        <v>12</v>
      </c>
      <c r="H238" s="56">
        <v>1</v>
      </c>
      <c r="I238" s="56">
        <v>650</v>
      </c>
      <c r="J238" s="59" t="s">
        <v>1181</v>
      </c>
      <c r="K238" s="59">
        <v>1</v>
      </c>
      <c r="L238" s="59">
        <f t="shared" si="3"/>
        <v>650</v>
      </c>
      <c r="M238" s="59"/>
    </row>
    <row r="239" spans="1:13" ht="30">
      <c r="A239" s="56">
        <v>935</v>
      </c>
      <c r="B239" s="56">
        <v>935</v>
      </c>
      <c r="C239" s="56">
        <v>935</v>
      </c>
      <c r="D239" s="56" t="s">
        <v>1376</v>
      </c>
      <c r="F239" s="58" t="s">
        <v>1185</v>
      </c>
      <c r="G239" s="58">
        <v>12</v>
      </c>
      <c r="H239" s="56">
        <v>1</v>
      </c>
      <c r="I239" s="56">
        <v>750</v>
      </c>
      <c r="J239" s="59" t="s">
        <v>1181</v>
      </c>
      <c r="K239" s="59">
        <v>1</v>
      </c>
      <c r="L239" s="59">
        <f t="shared" si="3"/>
        <v>750</v>
      </c>
      <c r="M239" s="59"/>
    </row>
    <row r="240" spans="1:13" ht="30">
      <c r="A240" s="56">
        <v>951</v>
      </c>
      <c r="B240" s="56">
        <v>951</v>
      </c>
      <c r="C240" s="56">
        <v>951</v>
      </c>
      <c r="D240" s="56" t="s">
        <v>1380</v>
      </c>
      <c r="F240" s="58" t="s">
        <v>1185</v>
      </c>
      <c r="G240" s="58">
        <v>12</v>
      </c>
      <c r="H240" s="56">
        <v>1</v>
      </c>
      <c r="I240" s="56">
        <v>2400</v>
      </c>
      <c r="J240" s="59" t="s">
        <v>1181</v>
      </c>
      <c r="K240" s="59">
        <v>1</v>
      </c>
      <c r="L240" s="59">
        <f t="shared" si="3"/>
        <v>2400</v>
      </c>
      <c r="M240" s="59"/>
    </row>
    <row r="241" spans="1:13" ht="30">
      <c r="A241" s="56">
        <v>962</v>
      </c>
      <c r="B241" s="56">
        <v>962</v>
      </c>
      <c r="C241" s="56">
        <v>962</v>
      </c>
      <c r="D241" s="56" t="s">
        <v>1383</v>
      </c>
      <c r="F241" s="58" t="s">
        <v>1185</v>
      </c>
      <c r="G241" s="58">
        <v>12</v>
      </c>
      <c r="H241" s="56">
        <v>1</v>
      </c>
      <c r="I241" s="56">
        <v>450</v>
      </c>
      <c r="J241" s="59" t="s">
        <v>1181</v>
      </c>
      <c r="K241" s="59">
        <v>1</v>
      </c>
      <c r="L241" s="59">
        <f t="shared" si="3"/>
        <v>450</v>
      </c>
      <c r="M241" s="59"/>
    </row>
    <row r="242" spans="1:13" ht="30">
      <c r="A242" s="56">
        <v>965</v>
      </c>
      <c r="B242" s="56">
        <v>965</v>
      </c>
      <c r="C242" s="56">
        <v>965</v>
      </c>
      <c r="D242" s="56" t="s">
        <v>1386</v>
      </c>
      <c r="F242" s="58" t="s">
        <v>1185</v>
      </c>
      <c r="G242" s="58">
        <v>12</v>
      </c>
      <c r="H242" s="56">
        <v>1</v>
      </c>
      <c r="I242" s="56">
        <v>450</v>
      </c>
      <c r="J242" s="59" t="s">
        <v>1181</v>
      </c>
      <c r="K242" s="59">
        <v>1</v>
      </c>
      <c r="L242" s="59">
        <f t="shared" si="3"/>
        <v>450</v>
      </c>
      <c r="M242" s="59"/>
    </row>
    <row r="243" spans="1:13" ht="30">
      <c r="A243" s="56">
        <v>966</v>
      </c>
      <c r="B243" s="56">
        <v>966</v>
      </c>
      <c r="C243" s="56">
        <v>966</v>
      </c>
      <c r="D243" s="56" t="s">
        <v>1387</v>
      </c>
      <c r="F243" s="58" t="s">
        <v>1185</v>
      </c>
      <c r="G243" s="58">
        <v>12</v>
      </c>
      <c r="H243" s="56">
        <v>1</v>
      </c>
      <c r="I243" s="56">
        <v>450</v>
      </c>
      <c r="J243" s="59" t="s">
        <v>1181</v>
      </c>
      <c r="K243" s="59">
        <v>1</v>
      </c>
      <c r="L243" s="59">
        <f t="shared" si="3"/>
        <v>450</v>
      </c>
      <c r="M243" s="59"/>
    </row>
    <row r="244" spans="1:13" ht="30">
      <c r="A244" s="56">
        <v>967</v>
      </c>
      <c r="B244" s="56">
        <v>967</v>
      </c>
      <c r="C244" s="56">
        <v>967</v>
      </c>
      <c r="D244" s="56" t="s">
        <v>1388</v>
      </c>
      <c r="F244" s="58" t="s">
        <v>1185</v>
      </c>
      <c r="G244" s="58">
        <v>12</v>
      </c>
      <c r="H244" s="56">
        <v>1</v>
      </c>
      <c r="I244" s="56">
        <v>450</v>
      </c>
      <c r="J244" s="59" t="s">
        <v>1181</v>
      </c>
      <c r="K244" s="59">
        <v>1</v>
      </c>
      <c r="L244" s="59">
        <f t="shared" si="3"/>
        <v>450</v>
      </c>
      <c r="M244" s="59"/>
    </row>
    <row r="245" spans="1:13" ht="30">
      <c r="A245" s="56">
        <v>968</v>
      </c>
      <c r="B245" s="56">
        <v>968</v>
      </c>
      <c r="C245" s="56">
        <v>968</v>
      </c>
      <c r="D245" s="56" t="s">
        <v>1389</v>
      </c>
      <c r="F245" s="58" t="s">
        <v>1185</v>
      </c>
      <c r="G245" s="58">
        <v>12</v>
      </c>
      <c r="H245" s="56">
        <v>1</v>
      </c>
      <c r="I245" s="56">
        <v>9600</v>
      </c>
      <c r="J245" s="59" t="s">
        <v>1181</v>
      </c>
      <c r="K245" s="59">
        <v>1</v>
      </c>
      <c r="L245" s="59">
        <f t="shared" si="3"/>
        <v>9600</v>
      </c>
      <c r="M245" s="59"/>
    </row>
    <row r="246" spans="1:13" ht="30">
      <c r="A246" s="56">
        <v>969</v>
      </c>
      <c r="B246" s="56">
        <v>969</v>
      </c>
      <c r="C246" s="56">
        <v>969</v>
      </c>
      <c r="D246" s="56" t="s">
        <v>1390</v>
      </c>
      <c r="F246" s="58" t="s">
        <v>1185</v>
      </c>
      <c r="G246" s="58">
        <v>12</v>
      </c>
      <c r="H246" s="56">
        <v>1</v>
      </c>
      <c r="I246" s="56">
        <v>450</v>
      </c>
      <c r="J246" s="59" t="s">
        <v>1181</v>
      </c>
      <c r="K246" s="59">
        <v>1</v>
      </c>
      <c r="L246" s="59">
        <f t="shared" si="3"/>
        <v>450</v>
      </c>
      <c r="M246" s="59"/>
    </row>
    <row r="247" spans="1:13" ht="30">
      <c r="A247" s="56">
        <v>971</v>
      </c>
      <c r="B247" s="56">
        <v>971</v>
      </c>
      <c r="C247" s="56">
        <v>971</v>
      </c>
      <c r="D247" s="56" t="s">
        <v>1391</v>
      </c>
      <c r="F247" s="58" t="s">
        <v>1185</v>
      </c>
      <c r="G247" s="58">
        <v>12</v>
      </c>
      <c r="H247" s="56">
        <v>1</v>
      </c>
      <c r="I247" s="56">
        <v>840</v>
      </c>
      <c r="J247" s="59" t="s">
        <v>1181</v>
      </c>
      <c r="K247" s="59">
        <v>1</v>
      </c>
      <c r="L247" s="59">
        <f t="shared" si="3"/>
        <v>840</v>
      </c>
      <c r="M247" s="59"/>
    </row>
    <row r="248" spans="1:13" ht="30">
      <c r="A248" s="56">
        <v>974</v>
      </c>
      <c r="B248" s="56">
        <v>974</v>
      </c>
      <c r="C248" s="56">
        <v>974</v>
      </c>
      <c r="D248" s="56" t="s">
        <v>1392</v>
      </c>
      <c r="F248" s="58" t="s">
        <v>1185</v>
      </c>
      <c r="G248" s="58">
        <v>12</v>
      </c>
      <c r="H248" s="56">
        <v>1</v>
      </c>
      <c r="I248" s="56">
        <v>2280</v>
      </c>
      <c r="J248" s="59" t="s">
        <v>1181</v>
      </c>
      <c r="K248" s="59">
        <v>1</v>
      </c>
      <c r="L248" s="59">
        <f t="shared" si="3"/>
        <v>2280</v>
      </c>
      <c r="M248" s="59"/>
    </row>
    <row r="249" spans="1:13" ht="30">
      <c r="A249" s="56">
        <v>978</v>
      </c>
      <c r="B249" s="56">
        <v>978</v>
      </c>
      <c r="C249" s="56">
        <v>978</v>
      </c>
      <c r="D249" s="56" t="s">
        <v>1393</v>
      </c>
      <c r="F249" s="58" t="s">
        <v>1185</v>
      </c>
      <c r="G249" s="58">
        <v>12</v>
      </c>
      <c r="H249" s="56">
        <v>1</v>
      </c>
      <c r="I249" s="56">
        <v>4500</v>
      </c>
      <c r="J249" s="59" t="s">
        <v>1181</v>
      </c>
      <c r="K249" s="59">
        <v>1</v>
      </c>
      <c r="L249" s="59">
        <f t="shared" si="3"/>
        <v>4500</v>
      </c>
      <c r="M249" s="59"/>
    </row>
    <row r="250" spans="1:13" ht="30">
      <c r="A250" s="56">
        <v>984</v>
      </c>
      <c r="B250" s="56">
        <v>984</v>
      </c>
      <c r="C250" s="56">
        <v>984</v>
      </c>
      <c r="D250" s="56" t="s">
        <v>1394</v>
      </c>
      <c r="F250" s="58" t="s">
        <v>1185</v>
      </c>
      <c r="G250" s="58">
        <v>12</v>
      </c>
      <c r="H250" s="56">
        <v>1</v>
      </c>
      <c r="I250" s="56">
        <v>2244</v>
      </c>
      <c r="J250" s="59" t="s">
        <v>1181</v>
      </c>
      <c r="K250" s="59">
        <v>1</v>
      </c>
      <c r="L250" s="59">
        <f t="shared" si="3"/>
        <v>2244</v>
      </c>
      <c r="M250" s="59"/>
    </row>
    <row r="251" spans="1:13" ht="30">
      <c r="A251" s="56">
        <v>990</v>
      </c>
      <c r="B251" s="56">
        <v>990</v>
      </c>
      <c r="C251" s="56">
        <v>990</v>
      </c>
      <c r="D251" s="56" t="s">
        <v>1396</v>
      </c>
      <c r="F251" s="58" t="s">
        <v>1185</v>
      </c>
      <c r="G251" s="58">
        <v>12</v>
      </c>
      <c r="H251" s="56">
        <v>1</v>
      </c>
      <c r="I251" s="56">
        <v>2160</v>
      </c>
      <c r="J251" s="59" t="s">
        <v>1181</v>
      </c>
      <c r="K251" s="59">
        <v>1</v>
      </c>
      <c r="L251" s="59">
        <f t="shared" si="3"/>
        <v>2160</v>
      </c>
      <c r="M251" s="59"/>
    </row>
    <row r="252" spans="1:13" ht="30">
      <c r="A252" s="56">
        <v>1054</v>
      </c>
      <c r="B252" s="56">
        <v>1054</v>
      </c>
      <c r="C252" s="56">
        <v>1054</v>
      </c>
      <c r="D252" s="56" t="s">
        <v>1403</v>
      </c>
      <c r="F252" s="58" t="s">
        <v>1183</v>
      </c>
      <c r="G252" s="58">
        <v>12</v>
      </c>
      <c r="H252" s="56">
        <v>1</v>
      </c>
      <c r="I252" s="56">
        <v>2400</v>
      </c>
      <c r="J252" s="59" t="s">
        <v>1181</v>
      </c>
      <c r="K252" s="59">
        <v>1</v>
      </c>
      <c r="L252" s="59">
        <f t="shared" si="3"/>
        <v>2400</v>
      </c>
      <c r="M252" s="59"/>
    </row>
    <row r="253" spans="1:13" ht="30">
      <c r="A253" s="56">
        <v>1095</v>
      </c>
      <c r="B253" s="56">
        <v>1095</v>
      </c>
      <c r="C253" s="56">
        <v>1095</v>
      </c>
      <c r="D253" s="56" t="s">
        <v>1411</v>
      </c>
      <c r="F253" s="58" t="s">
        <v>1185</v>
      </c>
      <c r="G253" s="58">
        <v>12</v>
      </c>
      <c r="H253" s="56">
        <v>1</v>
      </c>
      <c r="I253" s="56">
        <v>1500</v>
      </c>
      <c r="J253" s="59" t="s">
        <v>1181</v>
      </c>
      <c r="K253" s="59">
        <v>1</v>
      </c>
      <c r="L253" s="59">
        <f t="shared" si="3"/>
        <v>1500</v>
      </c>
      <c r="M253" s="59"/>
    </row>
    <row r="254" spans="1:13" ht="30">
      <c r="A254" s="56">
        <v>1135</v>
      </c>
      <c r="B254" s="56">
        <v>1135</v>
      </c>
      <c r="C254" s="56">
        <v>1135</v>
      </c>
      <c r="D254" s="56" t="s">
        <v>1414</v>
      </c>
      <c r="F254" s="58" t="s">
        <v>1183</v>
      </c>
      <c r="G254" s="58">
        <v>12</v>
      </c>
      <c r="H254" s="56">
        <v>1</v>
      </c>
      <c r="I254" s="56">
        <v>3000</v>
      </c>
      <c r="J254" s="59" t="s">
        <v>1181</v>
      </c>
      <c r="K254" s="59">
        <v>1</v>
      </c>
      <c r="L254" s="59">
        <f t="shared" si="3"/>
        <v>3000</v>
      </c>
      <c r="M254" s="59"/>
    </row>
    <row r="255" spans="1:13" ht="30">
      <c r="A255" s="56">
        <v>1140</v>
      </c>
      <c r="B255" s="56">
        <v>1140</v>
      </c>
      <c r="C255" s="56">
        <v>1140</v>
      </c>
      <c r="D255" s="56" t="s">
        <v>1415</v>
      </c>
      <c r="F255" s="58" t="s">
        <v>1183</v>
      </c>
      <c r="G255" s="58">
        <v>12</v>
      </c>
      <c r="H255" s="56">
        <v>1</v>
      </c>
      <c r="I255" s="56">
        <v>9600</v>
      </c>
      <c r="J255" s="59" t="s">
        <v>1181</v>
      </c>
      <c r="K255" s="59">
        <v>1</v>
      </c>
      <c r="L255" s="59">
        <f t="shared" si="3"/>
        <v>9600</v>
      </c>
      <c r="M255" s="59"/>
    </row>
    <row r="256" spans="1:13" ht="30">
      <c r="A256" s="56">
        <v>1152</v>
      </c>
      <c r="B256" s="56">
        <v>1152</v>
      </c>
      <c r="C256" s="56">
        <v>1152</v>
      </c>
      <c r="D256" s="56" t="s">
        <v>1416</v>
      </c>
      <c r="F256" s="58" t="s">
        <v>1183</v>
      </c>
      <c r="G256" s="58">
        <v>12</v>
      </c>
      <c r="H256" s="56">
        <v>1</v>
      </c>
      <c r="I256" s="56">
        <v>450</v>
      </c>
      <c r="J256" s="59" t="s">
        <v>1181</v>
      </c>
      <c r="K256" s="59">
        <v>1</v>
      </c>
      <c r="L256" s="59">
        <f t="shared" si="3"/>
        <v>450</v>
      </c>
      <c r="M256" s="59"/>
    </row>
    <row r="257" spans="1:14" ht="30">
      <c r="A257" s="56">
        <v>1176</v>
      </c>
      <c r="B257" s="56">
        <v>1176</v>
      </c>
      <c r="C257" s="56">
        <v>1176</v>
      </c>
      <c r="D257" s="56" t="s">
        <v>1419</v>
      </c>
      <c r="F257" s="58" t="s">
        <v>1183</v>
      </c>
      <c r="G257" s="58">
        <v>12</v>
      </c>
      <c r="H257" s="56">
        <v>1</v>
      </c>
      <c r="I257" s="56">
        <v>900</v>
      </c>
      <c r="J257" s="59" t="s">
        <v>1181</v>
      </c>
      <c r="K257" s="59">
        <v>1</v>
      </c>
      <c r="L257" s="59">
        <f t="shared" si="3"/>
        <v>900</v>
      </c>
      <c r="M257" s="59"/>
    </row>
    <row r="258" spans="1:14" ht="30">
      <c r="A258" s="56">
        <v>1195</v>
      </c>
      <c r="B258" s="56">
        <v>1195</v>
      </c>
      <c r="C258" s="56">
        <v>1195</v>
      </c>
      <c r="D258" s="56" t="s">
        <v>1421</v>
      </c>
      <c r="F258" s="58" t="s">
        <v>1183</v>
      </c>
      <c r="G258" s="58">
        <v>12</v>
      </c>
      <c r="H258" s="56">
        <v>1</v>
      </c>
      <c r="I258" s="56">
        <v>700</v>
      </c>
      <c r="J258" s="59" t="s">
        <v>1181</v>
      </c>
      <c r="K258" s="59">
        <v>1</v>
      </c>
      <c r="L258" s="59">
        <f t="shared" ref="L258:L321" si="4">H258*I258</f>
        <v>700</v>
      </c>
      <c r="M258" s="59"/>
    </row>
    <row r="259" spans="1:14" ht="30">
      <c r="A259" s="56">
        <v>1219</v>
      </c>
      <c r="B259" s="56">
        <v>1219</v>
      </c>
      <c r="C259" s="56">
        <v>1219</v>
      </c>
      <c r="D259" s="56" t="s">
        <v>1422</v>
      </c>
      <c r="F259" s="58" t="s">
        <v>1183</v>
      </c>
      <c r="G259" s="58">
        <v>12</v>
      </c>
      <c r="H259" s="56">
        <v>1</v>
      </c>
      <c r="I259" s="56">
        <v>4500</v>
      </c>
      <c r="J259" s="59" t="s">
        <v>1181</v>
      </c>
      <c r="K259" s="59">
        <v>1</v>
      </c>
      <c r="L259" s="59">
        <f t="shared" si="4"/>
        <v>4500</v>
      </c>
      <c r="M259" s="59"/>
    </row>
    <row r="260" spans="1:14" ht="30">
      <c r="A260" s="56">
        <v>1232</v>
      </c>
      <c r="B260" s="56">
        <v>1232</v>
      </c>
      <c r="C260" s="56">
        <v>1232</v>
      </c>
      <c r="D260" s="56" t="s">
        <v>1427</v>
      </c>
      <c r="F260" s="58" t="s">
        <v>1183</v>
      </c>
      <c r="G260" s="58">
        <v>12</v>
      </c>
      <c r="H260" s="56">
        <v>1</v>
      </c>
      <c r="I260" s="56">
        <v>1300</v>
      </c>
      <c r="J260" s="59" t="s">
        <v>1181</v>
      </c>
      <c r="K260" s="59">
        <v>1</v>
      </c>
      <c r="L260" s="59">
        <f t="shared" si="4"/>
        <v>1300</v>
      </c>
      <c r="M260" s="59"/>
    </row>
    <row r="261" spans="1:14" ht="30">
      <c r="A261" s="56">
        <v>1233</v>
      </c>
      <c r="B261" s="56">
        <v>1233</v>
      </c>
      <c r="C261" s="56">
        <v>1233</v>
      </c>
      <c r="D261" s="56" t="s">
        <v>1428</v>
      </c>
      <c r="F261" s="58" t="s">
        <v>1183</v>
      </c>
      <c r="G261" s="58">
        <v>12</v>
      </c>
      <c r="H261" s="56">
        <v>1</v>
      </c>
      <c r="I261" s="56">
        <v>2800</v>
      </c>
      <c r="J261" s="59" t="s">
        <v>1181</v>
      </c>
      <c r="K261" s="59">
        <v>1</v>
      </c>
      <c r="L261" s="59">
        <f t="shared" si="4"/>
        <v>2800</v>
      </c>
      <c r="M261" s="59"/>
    </row>
    <row r="262" spans="1:14" ht="30">
      <c r="A262" s="56">
        <v>1234</v>
      </c>
      <c r="B262" s="56">
        <v>1234</v>
      </c>
      <c r="C262" s="56">
        <v>1234</v>
      </c>
      <c r="D262" s="56" t="s">
        <v>1429</v>
      </c>
      <c r="F262" s="58" t="s">
        <v>1183</v>
      </c>
      <c r="G262" s="58">
        <v>12</v>
      </c>
      <c r="H262" s="56">
        <v>1</v>
      </c>
      <c r="I262" s="56">
        <v>2350</v>
      </c>
      <c r="J262" s="59" t="s">
        <v>1181</v>
      </c>
      <c r="K262" s="59">
        <v>1</v>
      </c>
      <c r="L262" s="59">
        <f t="shared" si="4"/>
        <v>2350</v>
      </c>
      <c r="M262" s="59"/>
    </row>
    <row r="263" spans="1:14" ht="30">
      <c r="A263" s="56">
        <v>1301</v>
      </c>
      <c r="B263" s="56">
        <v>1301</v>
      </c>
      <c r="C263" s="56">
        <v>1301</v>
      </c>
      <c r="D263" s="56" t="s">
        <v>1431</v>
      </c>
      <c r="F263" s="58" t="s">
        <v>1183</v>
      </c>
      <c r="G263" s="58">
        <v>12</v>
      </c>
      <c r="H263" s="56">
        <v>1</v>
      </c>
      <c r="I263" s="56">
        <v>2760</v>
      </c>
      <c r="J263" s="59" t="s">
        <v>1181</v>
      </c>
      <c r="K263" s="59">
        <v>1</v>
      </c>
      <c r="L263" s="59">
        <f t="shared" si="4"/>
        <v>2760</v>
      </c>
      <c r="M263" s="59"/>
    </row>
    <row r="264" spans="1:14" ht="30">
      <c r="A264" s="56">
        <v>1368</v>
      </c>
      <c r="B264" s="56">
        <v>1368</v>
      </c>
      <c r="C264" s="56">
        <v>1368</v>
      </c>
      <c r="D264" s="56" t="s">
        <v>1433</v>
      </c>
      <c r="F264" s="58" t="s">
        <v>1183</v>
      </c>
      <c r="G264" s="58">
        <v>12</v>
      </c>
      <c r="H264" s="56">
        <v>1</v>
      </c>
      <c r="I264" s="56">
        <v>9600</v>
      </c>
      <c r="J264" s="59" t="s">
        <v>1181</v>
      </c>
      <c r="K264" s="59">
        <v>1</v>
      </c>
      <c r="L264" s="59">
        <f t="shared" si="4"/>
        <v>9600</v>
      </c>
      <c r="M264" s="59"/>
    </row>
    <row r="265" spans="1:14" ht="30">
      <c r="A265" s="56">
        <v>1391</v>
      </c>
      <c r="B265" s="56">
        <v>1391</v>
      </c>
      <c r="C265" s="56">
        <v>1391</v>
      </c>
      <c r="D265" s="56" t="s">
        <v>1435</v>
      </c>
      <c r="F265" s="58" t="s">
        <v>1183</v>
      </c>
      <c r="G265" s="58">
        <v>12</v>
      </c>
      <c r="H265" s="56">
        <v>1</v>
      </c>
      <c r="I265" s="56">
        <v>2750</v>
      </c>
      <c r="J265" s="59" t="s">
        <v>1181</v>
      </c>
      <c r="K265" s="59">
        <v>1</v>
      </c>
      <c r="L265" s="59">
        <f t="shared" si="4"/>
        <v>2750</v>
      </c>
      <c r="M265" s="59"/>
    </row>
    <row r="266" spans="1:14" ht="30">
      <c r="A266" s="56">
        <v>1393</v>
      </c>
      <c r="B266" s="56">
        <v>1393</v>
      </c>
      <c r="C266" s="56">
        <v>1393</v>
      </c>
      <c r="D266" s="56" t="s">
        <v>1436</v>
      </c>
      <c r="F266" s="58" t="s">
        <v>24</v>
      </c>
      <c r="G266" s="58">
        <v>12</v>
      </c>
      <c r="H266" s="58">
        <v>1</v>
      </c>
      <c r="I266" s="56">
        <v>76.905000000000001</v>
      </c>
      <c r="J266" s="59" t="s">
        <v>1181</v>
      </c>
      <c r="K266" s="59">
        <v>1</v>
      </c>
      <c r="L266" s="59">
        <f t="shared" si="4"/>
        <v>76.905000000000001</v>
      </c>
      <c r="M266" s="59"/>
      <c r="N266" s="58"/>
    </row>
    <row r="267" spans="1:14" ht="30">
      <c r="A267" s="56">
        <v>1425</v>
      </c>
      <c r="B267" s="56">
        <v>1425</v>
      </c>
      <c r="C267" s="56">
        <v>1425</v>
      </c>
      <c r="D267" s="56" t="s">
        <v>1438</v>
      </c>
      <c r="F267" s="58" t="s">
        <v>1185</v>
      </c>
      <c r="G267" s="58">
        <v>12</v>
      </c>
      <c r="H267" s="56">
        <v>1</v>
      </c>
      <c r="I267" s="56">
        <v>850</v>
      </c>
      <c r="J267" s="59" t="s">
        <v>1181</v>
      </c>
      <c r="K267" s="59">
        <v>1</v>
      </c>
      <c r="L267" s="59">
        <f t="shared" si="4"/>
        <v>850</v>
      </c>
      <c r="M267" s="59"/>
    </row>
    <row r="268" spans="1:14" ht="30">
      <c r="A268" s="56">
        <v>1434</v>
      </c>
      <c r="B268" s="56">
        <v>1434</v>
      </c>
      <c r="C268" s="56">
        <v>1434</v>
      </c>
      <c r="D268" s="56" t="s">
        <v>1440</v>
      </c>
      <c r="F268" s="58" t="s">
        <v>1183</v>
      </c>
      <c r="G268" s="58">
        <v>12</v>
      </c>
      <c r="H268" s="56">
        <v>1</v>
      </c>
      <c r="I268" s="56">
        <v>660</v>
      </c>
      <c r="J268" s="59" t="s">
        <v>1181</v>
      </c>
      <c r="K268" s="59">
        <v>1</v>
      </c>
      <c r="L268" s="59">
        <f t="shared" si="4"/>
        <v>660</v>
      </c>
      <c r="M268" s="59"/>
    </row>
    <row r="269" spans="1:14" ht="30">
      <c r="A269" s="56">
        <v>1610</v>
      </c>
      <c r="B269" s="56">
        <v>1610</v>
      </c>
      <c r="C269" s="56">
        <v>1610</v>
      </c>
      <c r="D269" s="56" t="s">
        <v>1445</v>
      </c>
      <c r="F269" s="58" t="s">
        <v>1183</v>
      </c>
      <c r="G269" s="58">
        <v>12</v>
      </c>
      <c r="H269" s="56">
        <v>1</v>
      </c>
      <c r="I269" s="56">
        <v>10800</v>
      </c>
      <c r="J269" s="59" t="s">
        <v>1181</v>
      </c>
      <c r="K269" s="59">
        <v>1</v>
      </c>
      <c r="L269" s="59">
        <f t="shared" si="4"/>
        <v>10800</v>
      </c>
      <c r="M269" s="59"/>
    </row>
    <row r="270" spans="1:14" ht="30">
      <c r="A270" s="56">
        <v>1616</v>
      </c>
      <c r="B270" s="56">
        <v>1616</v>
      </c>
      <c r="C270" s="56">
        <v>1616</v>
      </c>
      <c r="D270" s="56" t="s">
        <v>1446</v>
      </c>
      <c r="F270" s="58" t="s">
        <v>1183</v>
      </c>
      <c r="G270" s="58">
        <v>12</v>
      </c>
      <c r="H270" s="56">
        <v>1</v>
      </c>
      <c r="I270" s="56">
        <v>4200</v>
      </c>
      <c r="J270" s="59" t="s">
        <v>1181</v>
      </c>
      <c r="K270" s="59">
        <v>1</v>
      </c>
      <c r="L270" s="59">
        <f t="shared" si="4"/>
        <v>4200</v>
      </c>
      <c r="M270" s="59"/>
    </row>
    <row r="271" spans="1:14" ht="30">
      <c r="A271" s="56">
        <v>1625</v>
      </c>
      <c r="B271" s="56">
        <v>1625</v>
      </c>
      <c r="C271" s="56">
        <v>1625</v>
      </c>
      <c r="D271" s="56" t="s">
        <v>1447</v>
      </c>
      <c r="F271" s="58" t="s">
        <v>1183</v>
      </c>
      <c r="G271" s="58">
        <v>12</v>
      </c>
      <c r="H271" s="56">
        <v>1</v>
      </c>
      <c r="I271" s="56">
        <v>1440</v>
      </c>
      <c r="J271" s="59" t="s">
        <v>1181</v>
      </c>
      <c r="K271" s="59">
        <v>1</v>
      </c>
      <c r="L271" s="59">
        <f t="shared" si="4"/>
        <v>1440</v>
      </c>
      <c r="M271" s="59"/>
    </row>
    <row r="272" spans="1:14" ht="30">
      <c r="A272" s="56">
        <v>1638</v>
      </c>
      <c r="B272" s="56">
        <v>1638</v>
      </c>
      <c r="C272" s="56">
        <v>1638</v>
      </c>
      <c r="D272" s="56" t="s">
        <v>1449</v>
      </c>
      <c r="F272" s="58" t="s">
        <v>1183</v>
      </c>
      <c r="G272" s="58">
        <v>12</v>
      </c>
      <c r="H272" s="56">
        <v>1</v>
      </c>
      <c r="I272" s="56">
        <v>3600</v>
      </c>
      <c r="J272" s="59" t="s">
        <v>1181</v>
      </c>
      <c r="K272" s="59">
        <v>1</v>
      </c>
      <c r="L272" s="59">
        <f t="shared" si="4"/>
        <v>3600</v>
      </c>
      <c r="M272" s="59"/>
    </row>
    <row r="273" spans="1:13" ht="30">
      <c r="A273" s="56">
        <v>1640</v>
      </c>
      <c r="B273" s="56">
        <v>1640</v>
      </c>
      <c r="C273" s="56">
        <v>1640</v>
      </c>
      <c r="D273" s="56" t="s">
        <v>1450</v>
      </c>
      <c r="F273" s="58" t="s">
        <v>1183</v>
      </c>
      <c r="G273" s="58">
        <v>12</v>
      </c>
      <c r="H273" s="56">
        <v>1</v>
      </c>
      <c r="I273" s="56">
        <v>2040</v>
      </c>
      <c r="J273" s="59" t="s">
        <v>1181</v>
      </c>
      <c r="K273" s="59">
        <v>1</v>
      </c>
      <c r="L273" s="59">
        <f t="shared" si="4"/>
        <v>2040</v>
      </c>
      <c r="M273" s="59"/>
    </row>
    <row r="274" spans="1:13" ht="30">
      <c r="A274" s="56">
        <v>1644</v>
      </c>
      <c r="B274" s="56">
        <v>1644</v>
      </c>
      <c r="C274" s="56">
        <v>1644</v>
      </c>
      <c r="D274" s="56" t="s">
        <v>1451</v>
      </c>
      <c r="F274" s="58" t="s">
        <v>1183</v>
      </c>
      <c r="G274" s="58">
        <v>12</v>
      </c>
      <c r="H274" s="56">
        <v>1</v>
      </c>
      <c r="I274" s="56">
        <v>2400</v>
      </c>
      <c r="J274" s="59" t="s">
        <v>1181</v>
      </c>
      <c r="K274" s="59">
        <v>1</v>
      </c>
      <c r="L274" s="59">
        <f t="shared" si="4"/>
        <v>2400</v>
      </c>
      <c r="M274" s="59"/>
    </row>
    <row r="275" spans="1:13" ht="30">
      <c r="A275" s="56">
        <v>1646</v>
      </c>
      <c r="B275" s="56">
        <v>1646</v>
      </c>
      <c r="C275" s="56">
        <v>1646</v>
      </c>
      <c r="D275" s="56" t="s">
        <v>1453</v>
      </c>
      <c r="F275" s="58" t="s">
        <v>1183</v>
      </c>
      <c r="G275" s="58">
        <v>12</v>
      </c>
      <c r="H275" s="56">
        <v>1</v>
      </c>
      <c r="I275" s="56">
        <v>1680</v>
      </c>
      <c r="J275" s="59" t="s">
        <v>1181</v>
      </c>
      <c r="K275" s="59">
        <v>1</v>
      </c>
      <c r="L275" s="59">
        <f t="shared" si="4"/>
        <v>1680</v>
      </c>
      <c r="M275" s="59"/>
    </row>
    <row r="276" spans="1:13" ht="30">
      <c r="A276" s="56">
        <v>1649</v>
      </c>
      <c r="B276" s="56">
        <v>1649</v>
      </c>
      <c r="C276" s="56">
        <v>1649</v>
      </c>
      <c r="D276" s="56" t="s">
        <v>1455</v>
      </c>
      <c r="F276" s="58" t="s">
        <v>1183</v>
      </c>
      <c r="G276" s="58">
        <v>12</v>
      </c>
      <c r="H276" s="56">
        <v>1</v>
      </c>
      <c r="I276" s="56">
        <v>3600</v>
      </c>
      <c r="J276" s="59" t="s">
        <v>1181</v>
      </c>
      <c r="K276" s="59">
        <v>1</v>
      </c>
      <c r="L276" s="59">
        <f t="shared" si="4"/>
        <v>3600</v>
      </c>
      <c r="M276" s="59"/>
    </row>
    <row r="277" spans="1:13" ht="30">
      <c r="A277" s="56">
        <v>1670</v>
      </c>
      <c r="B277" s="56">
        <v>1670</v>
      </c>
      <c r="C277" s="56">
        <v>1670</v>
      </c>
      <c r="D277" s="56" t="s">
        <v>1459</v>
      </c>
      <c r="F277" s="58" t="s">
        <v>1183</v>
      </c>
      <c r="G277" s="58">
        <v>12</v>
      </c>
      <c r="H277" s="56">
        <v>1</v>
      </c>
      <c r="I277" s="56">
        <v>1560</v>
      </c>
      <c r="J277" s="59" t="s">
        <v>1181</v>
      </c>
      <c r="K277" s="59">
        <v>1</v>
      </c>
      <c r="L277" s="59">
        <f t="shared" si="4"/>
        <v>1560</v>
      </c>
      <c r="M277" s="59"/>
    </row>
    <row r="278" spans="1:13" ht="30">
      <c r="A278" s="56">
        <v>1673</v>
      </c>
      <c r="B278" s="56">
        <v>1673</v>
      </c>
      <c r="C278" s="56">
        <v>1673</v>
      </c>
      <c r="D278" s="56" t="s">
        <v>1461</v>
      </c>
      <c r="F278" s="58" t="s">
        <v>1183</v>
      </c>
      <c r="G278" s="58">
        <v>12</v>
      </c>
      <c r="H278" s="56">
        <v>1</v>
      </c>
      <c r="I278" s="56">
        <v>2040</v>
      </c>
      <c r="J278" s="59" t="s">
        <v>1181</v>
      </c>
      <c r="K278" s="59">
        <v>1</v>
      </c>
      <c r="L278" s="59">
        <f t="shared" si="4"/>
        <v>2040</v>
      </c>
      <c r="M278" s="59"/>
    </row>
    <row r="279" spans="1:13" ht="30">
      <c r="A279" s="56">
        <v>1678</v>
      </c>
      <c r="B279" s="56">
        <v>1678</v>
      </c>
      <c r="C279" s="56">
        <v>1678</v>
      </c>
      <c r="D279" s="56" t="s">
        <v>1462</v>
      </c>
      <c r="F279" s="58" t="s">
        <v>1183</v>
      </c>
      <c r="G279" s="58">
        <v>12</v>
      </c>
      <c r="H279" s="56">
        <v>1</v>
      </c>
      <c r="I279" s="56">
        <v>1332</v>
      </c>
      <c r="J279" s="59" t="s">
        <v>1181</v>
      </c>
      <c r="K279" s="59">
        <v>1</v>
      </c>
      <c r="L279" s="59">
        <f t="shared" si="4"/>
        <v>1332</v>
      </c>
      <c r="M279" s="59"/>
    </row>
    <row r="280" spans="1:13" ht="30">
      <c r="A280" s="56">
        <v>1684</v>
      </c>
      <c r="B280" s="56">
        <v>1684</v>
      </c>
      <c r="C280" s="56">
        <v>1684</v>
      </c>
      <c r="D280" s="56" t="s">
        <v>1463</v>
      </c>
      <c r="F280" s="58" t="s">
        <v>1183</v>
      </c>
      <c r="G280" s="58">
        <v>12</v>
      </c>
      <c r="H280" s="56">
        <v>1</v>
      </c>
      <c r="I280" s="56">
        <v>1500</v>
      </c>
      <c r="J280" s="59" t="s">
        <v>1181</v>
      </c>
      <c r="K280" s="59">
        <v>1</v>
      </c>
      <c r="L280" s="59">
        <f t="shared" si="4"/>
        <v>1500</v>
      </c>
      <c r="M280" s="59"/>
    </row>
    <row r="281" spans="1:13" ht="30">
      <c r="A281" s="56">
        <v>1690</v>
      </c>
      <c r="B281" s="56">
        <v>1690</v>
      </c>
      <c r="C281" s="56">
        <v>1690</v>
      </c>
      <c r="D281" s="56" t="s">
        <v>1464</v>
      </c>
      <c r="F281" s="58" t="s">
        <v>1183</v>
      </c>
      <c r="G281" s="58">
        <v>12</v>
      </c>
      <c r="H281" s="56">
        <v>1</v>
      </c>
      <c r="I281" s="56">
        <v>7200</v>
      </c>
      <c r="J281" s="59" t="s">
        <v>1181</v>
      </c>
      <c r="K281" s="59">
        <v>1</v>
      </c>
      <c r="L281" s="59">
        <f t="shared" si="4"/>
        <v>7200</v>
      </c>
      <c r="M281" s="59"/>
    </row>
    <row r="282" spans="1:13" ht="30">
      <c r="A282" s="56">
        <v>1695</v>
      </c>
      <c r="B282" s="56">
        <v>1695</v>
      </c>
      <c r="C282" s="56">
        <v>1695</v>
      </c>
      <c r="D282" s="56" t="s">
        <v>1466</v>
      </c>
      <c r="F282" s="58" t="s">
        <v>1183</v>
      </c>
      <c r="G282" s="58">
        <v>12</v>
      </c>
      <c r="H282" s="56">
        <v>1</v>
      </c>
      <c r="I282" s="56">
        <v>828</v>
      </c>
      <c r="J282" s="59" t="s">
        <v>1181</v>
      </c>
      <c r="K282" s="59">
        <v>1</v>
      </c>
      <c r="L282" s="59">
        <f t="shared" si="4"/>
        <v>828</v>
      </c>
      <c r="M282" s="59"/>
    </row>
    <row r="283" spans="1:13" ht="30">
      <c r="A283" s="56">
        <v>1697</v>
      </c>
      <c r="B283" s="56">
        <v>1697</v>
      </c>
      <c r="C283" s="56">
        <v>1697</v>
      </c>
      <c r="D283" s="56" t="s">
        <v>1467</v>
      </c>
      <c r="F283" s="58" t="s">
        <v>1183</v>
      </c>
      <c r="G283" s="58">
        <v>12</v>
      </c>
      <c r="H283" s="56">
        <v>1</v>
      </c>
      <c r="I283" s="56">
        <v>6600</v>
      </c>
      <c r="J283" s="59" t="s">
        <v>1181</v>
      </c>
      <c r="K283" s="59">
        <v>1</v>
      </c>
      <c r="L283" s="59">
        <f t="shared" si="4"/>
        <v>6600</v>
      </c>
      <c r="M283" s="59"/>
    </row>
    <row r="284" spans="1:13" ht="30">
      <c r="A284" s="56">
        <v>1710</v>
      </c>
      <c r="B284" s="56">
        <v>1710</v>
      </c>
      <c r="C284" s="56">
        <v>1710</v>
      </c>
      <c r="D284" s="56" t="s">
        <v>1468</v>
      </c>
      <c r="F284" s="58" t="s">
        <v>1183</v>
      </c>
      <c r="G284" s="58">
        <v>12</v>
      </c>
      <c r="H284" s="56">
        <v>1</v>
      </c>
      <c r="I284" s="56">
        <v>1680</v>
      </c>
      <c r="J284" s="59" t="s">
        <v>1181</v>
      </c>
      <c r="K284" s="59">
        <v>1</v>
      </c>
      <c r="L284" s="59">
        <f t="shared" si="4"/>
        <v>1680</v>
      </c>
      <c r="M284" s="59"/>
    </row>
    <row r="285" spans="1:13" ht="30">
      <c r="A285" s="56">
        <v>1733</v>
      </c>
      <c r="B285" s="56">
        <v>1733</v>
      </c>
      <c r="C285" s="56">
        <v>1733</v>
      </c>
      <c r="D285" s="56" t="s">
        <v>1471</v>
      </c>
      <c r="F285" s="58" t="s">
        <v>1183</v>
      </c>
      <c r="G285" s="58">
        <v>12</v>
      </c>
      <c r="H285" s="56">
        <v>1</v>
      </c>
      <c r="I285" s="56">
        <v>6000</v>
      </c>
      <c r="J285" s="59" t="s">
        <v>1181</v>
      </c>
      <c r="K285" s="59">
        <v>1</v>
      </c>
      <c r="L285" s="59">
        <f t="shared" si="4"/>
        <v>6000</v>
      </c>
      <c r="M285" s="59"/>
    </row>
    <row r="286" spans="1:13" ht="30">
      <c r="A286" s="56">
        <v>1747</v>
      </c>
      <c r="B286" s="56">
        <v>1747</v>
      </c>
      <c r="C286" s="56">
        <v>1747</v>
      </c>
      <c r="D286" s="56" t="s">
        <v>1472</v>
      </c>
      <c r="F286" s="58" t="s">
        <v>1183</v>
      </c>
      <c r="G286" s="58">
        <v>12</v>
      </c>
      <c r="H286" s="56">
        <v>1</v>
      </c>
      <c r="I286" s="56">
        <v>600</v>
      </c>
      <c r="J286" s="59" t="s">
        <v>1181</v>
      </c>
      <c r="K286" s="59">
        <v>1</v>
      </c>
      <c r="L286" s="59">
        <f t="shared" si="4"/>
        <v>600</v>
      </c>
      <c r="M286" s="59"/>
    </row>
    <row r="287" spans="1:13" ht="30">
      <c r="A287" s="56">
        <v>1751</v>
      </c>
      <c r="B287" s="56">
        <v>1751</v>
      </c>
      <c r="C287" s="56">
        <v>1751</v>
      </c>
      <c r="D287" s="56" t="s">
        <v>1473</v>
      </c>
      <c r="F287" s="58" t="s">
        <v>1183</v>
      </c>
      <c r="G287" s="58">
        <v>12</v>
      </c>
      <c r="H287" s="56">
        <v>1</v>
      </c>
      <c r="I287" s="56">
        <v>900</v>
      </c>
      <c r="J287" s="59" t="s">
        <v>1181</v>
      </c>
      <c r="K287" s="59">
        <v>1</v>
      </c>
      <c r="L287" s="59">
        <f t="shared" si="4"/>
        <v>900</v>
      </c>
      <c r="M287" s="59"/>
    </row>
    <row r="288" spans="1:13" ht="30">
      <c r="A288" s="56">
        <v>1803</v>
      </c>
      <c r="B288" s="56">
        <v>1803</v>
      </c>
      <c r="C288" s="56">
        <v>1803</v>
      </c>
      <c r="D288" s="56" t="s">
        <v>1475</v>
      </c>
      <c r="F288" s="58" t="s">
        <v>1183</v>
      </c>
      <c r="G288" s="58">
        <v>12</v>
      </c>
      <c r="H288" s="56">
        <v>1</v>
      </c>
      <c r="I288" s="56">
        <v>2160</v>
      </c>
      <c r="J288" s="59" t="s">
        <v>1181</v>
      </c>
      <c r="K288" s="59">
        <v>1</v>
      </c>
      <c r="L288" s="59">
        <f t="shared" si="4"/>
        <v>2160</v>
      </c>
      <c r="M288" s="59"/>
    </row>
    <row r="289" spans="1:13" ht="30">
      <c r="A289" s="56">
        <v>1808</v>
      </c>
      <c r="B289" s="56">
        <v>1808</v>
      </c>
      <c r="C289" s="56">
        <v>1808</v>
      </c>
      <c r="D289" s="56" t="s">
        <v>1480</v>
      </c>
      <c r="F289" s="58" t="s">
        <v>1183</v>
      </c>
      <c r="G289" s="58">
        <v>12</v>
      </c>
      <c r="H289" s="56">
        <v>1</v>
      </c>
      <c r="I289" s="56">
        <v>1200</v>
      </c>
      <c r="J289" s="59" t="s">
        <v>1181</v>
      </c>
      <c r="K289" s="59">
        <v>1</v>
      </c>
      <c r="L289" s="59">
        <f t="shared" si="4"/>
        <v>1200</v>
      </c>
      <c r="M289" s="59"/>
    </row>
    <row r="290" spans="1:13" ht="30">
      <c r="A290" s="56">
        <v>1815</v>
      </c>
      <c r="B290" s="56">
        <v>1815</v>
      </c>
      <c r="C290" s="56">
        <v>1815</v>
      </c>
      <c r="D290" s="56" t="s">
        <v>1481</v>
      </c>
      <c r="F290" s="58" t="s">
        <v>1183</v>
      </c>
      <c r="G290" s="58">
        <v>12</v>
      </c>
      <c r="H290" s="56">
        <v>1</v>
      </c>
      <c r="I290" s="56">
        <v>7800</v>
      </c>
      <c r="J290" s="59" t="s">
        <v>1181</v>
      </c>
      <c r="K290" s="59">
        <v>1</v>
      </c>
      <c r="L290" s="59">
        <f t="shared" si="4"/>
        <v>7800</v>
      </c>
      <c r="M290" s="59"/>
    </row>
    <row r="291" spans="1:13" ht="30">
      <c r="A291" s="56">
        <v>1818</v>
      </c>
      <c r="B291" s="56">
        <v>1818</v>
      </c>
      <c r="C291" s="56">
        <v>1818</v>
      </c>
      <c r="D291" s="56" t="s">
        <v>1482</v>
      </c>
      <c r="F291" s="58" t="s">
        <v>1183</v>
      </c>
      <c r="G291" s="58">
        <v>12</v>
      </c>
      <c r="H291" s="56">
        <v>1</v>
      </c>
      <c r="I291" s="56">
        <v>1104</v>
      </c>
      <c r="J291" s="59" t="s">
        <v>1181</v>
      </c>
      <c r="K291" s="59">
        <v>1</v>
      </c>
      <c r="L291" s="59">
        <f t="shared" si="4"/>
        <v>1104</v>
      </c>
      <c r="M291" s="59"/>
    </row>
    <row r="292" spans="1:13" ht="30">
      <c r="A292" s="56">
        <v>1824</v>
      </c>
      <c r="B292" s="56">
        <v>1824</v>
      </c>
      <c r="C292" s="56">
        <v>1824</v>
      </c>
      <c r="D292" s="56" t="s">
        <v>1484</v>
      </c>
      <c r="F292" s="58" t="s">
        <v>1183</v>
      </c>
      <c r="G292" s="58">
        <v>12</v>
      </c>
      <c r="H292" s="56">
        <v>1</v>
      </c>
      <c r="I292" s="56">
        <v>3168</v>
      </c>
      <c r="J292" s="59" t="s">
        <v>1181</v>
      </c>
      <c r="K292" s="59">
        <v>1</v>
      </c>
      <c r="L292" s="59">
        <f t="shared" si="4"/>
        <v>3168</v>
      </c>
      <c r="M292" s="59"/>
    </row>
    <row r="293" spans="1:13" ht="30">
      <c r="A293" s="56">
        <v>791</v>
      </c>
      <c r="B293" s="56">
        <v>791</v>
      </c>
      <c r="C293" s="56">
        <v>791</v>
      </c>
      <c r="D293" s="56" t="s">
        <v>1495</v>
      </c>
      <c r="F293" s="58" t="s">
        <v>1272</v>
      </c>
      <c r="G293" s="58">
        <v>10</v>
      </c>
      <c r="H293" s="56">
        <v>1</v>
      </c>
      <c r="I293" s="56">
        <v>750</v>
      </c>
      <c r="J293" s="59" t="s">
        <v>1181</v>
      </c>
      <c r="K293" s="59">
        <v>1</v>
      </c>
      <c r="L293" s="59">
        <f t="shared" si="4"/>
        <v>750</v>
      </c>
      <c r="M293" s="59"/>
    </row>
    <row r="294" spans="1:13" ht="30">
      <c r="A294" s="56">
        <v>831</v>
      </c>
      <c r="B294" s="56">
        <v>831</v>
      </c>
      <c r="C294" s="56">
        <v>831</v>
      </c>
      <c r="D294" s="56" t="s">
        <v>1498</v>
      </c>
      <c r="F294" s="58" t="s">
        <v>1185</v>
      </c>
      <c r="G294" s="58">
        <v>10</v>
      </c>
      <c r="H294" s="56">
        <v>1</v>
      </c>
      <c r="I294" s="56">
        <v>857</v>
      </c>
      <c r="J294" s="59" t="s">
        <v>1181</v>
      </c>
      <c r="K294" s="59">
        <v>1</v>
      </c>
      <c r="L294" s="59">
        <f t="shared" si="4"/>
        <v>857</v>
      </c>
      <c r="M294" s="59"/>
    </row>
    <row r="295" spans="1:13" ht="30">
      <c r="A295" s="56">
        <v>851</v>
      </c>
      <c r="B295" s="56">
        <v>851</v>
      </c>
      <c r="C295" s="56">
        <v>851</v>
      </c>
      <c r="D295" s="56" t="s">
        <v>1502</v>
      </c>
      <c r="F295" s="58" t="s">
        <v>1185</v>
      </c>
      <c r="G295" s="58">
        <v>10</v>
      </c>
      <c r="H295" s="56">
        <v>1</v>
      </c>
      <c r="I295" s="56">
        <v>1200</v>
      </c>
      <c r="J295" s="59" t="s">
        <v>1181</v>
      </c>
      <c r="K295" s="59">
        <v>1</v>
      </c>
      <c r="L295" s="59">
        <f t="shared" si="4"/>
        <v>1200</v>
      </c>
      <c r="M295" s="59"/>
    </row>
    <row r="296" spans="1:13" ht="30">
      <c r="A296" s="56">
        <v>927</v>
      </c>
      <c r="B296" s="56">
        <v>927</v>
      </c>
      <c r="C296" s="56">
        <v>927</v>
      </c>
      <c r="D296" s="56" t="s">
        <v>1504</v>
      </c>
      <c r="F296" s="58" t="s">
        <v>1185</v>
      </c>
      <c r="G296" s="58">
        <v>10</v>
      </c>
      <c r="H296" s="56">
        <v>1</v>
      </c>
      <c r="I296" s="56">
        <v>700</v>
      </c>
      <c r="J296" s="59" t="s">
        <v>1181</v>
      </c>
      <c r="K296" s="59">
        <v>1</v>
      </c>
      <c r="L296" s="59">
        <f t="shared" si="4"/>
        <v>700</v>
      </c>
      <c r="M296" s="59"/>
    </row>
    <row r="297" spans="1:13" ht="30">
      <c r="A297" s="56">
        <v>938</v>
      </c>
      <c r="B297" s="56">
        <v>938</v>
      </c>
      <c r="C297" s="56">
        <v>938</v>
      </c>
      <c r="D297" s="56" t="s">
        <v>1505</v>
      </c>
      <c r="F297" s="58" t="s">
        <v>1185</v>
      </c>
      <c r="G297" s="58">
        <v>10</v>
      </c>
      <c r="H297" s="56">
        <v>1</v>
      </c>
      <c r="I297" s="56">
        <v>900</v>
      </c>
      <c r="J297" s="59" t="s">
        <v>1181</v>
      </c>
      <c r="K297" s="59">
        <v>1</v>
      </c>
      <c r="L297" s="59">
        <f t="shared" si="4"/>
        <v>900</v>
      </c>
      <c r="M297" s="59"/>
    </row>
    <row r="298" spans="1:13" ht="30">
      <c r="A298" s="56">
        <v>945</v>
      </c>
      <c r="B298" s="56">
        <v>945</v>
      </c>
      <c r="C298" s="56">
        <v>945</v>
      </c>
      <c r="D298" s="56" t="s">
        <v>1507</v>
      </c>
      <c r="F298" s="58" t="s">
        <v>1185</v>
      </c>
      <c r="G298" s="58">
        <v>10</v>
      </c>
      <c r="H298" s="56">
        <v>1</v>
      </c>
      <c r="I298" s="56">
        <v>2210</v>
      </c>
      <c r="J298" s="59" t="s">
        <v>1181</v>
      </c>
      <c r="K298" s="59">
        <v>1</v>
      </c>
      <c r="L298" s="59">
        <f t="shared" si="4"/>
        <v>2210</v>
      </c>
      <c r="M298" s="59"/>
    </row>
    <row r="299" spans="1:13" ht="30">
      <c r="A299" s="56">
        <v>792</v>
      </c>
      <c r="B299" s="56">
        <v>792</v>
      </c>
      <c r="C299" s="56">
        <v>792</v>
      </c>
      <c r="D299" s="56" t="s">
        <v>1513</v>
      </c>
      <c r="F299" s="58" t="s">
        <v>1272</v>
      </c>
      <c r="G299" s="58">
        <v>8</v>
      </c>
      <c r="H299" s="56">
        <v>1</v>
      </c>
      <c r="I299" s="56">
        <v>400</v>
      </c>
      <c r="J299" s="59" t="s">
        <v>1181</v>
      </c>
      <c r="K299" s="59">
        <v>1</v>
      </c>
      <c r="L299" s="59">
        <f t="shared" si="4"/>
        <v>400</v>
      </c>
      <c r="M299" s="59"/>
    </row>
    <row r="300" spans="1:13" ht="30">
      <c r="A300" s="56">
        <v>793</v>
      </c>
      <c r="B300" s="56">
        <v>793</v>
      </c>
      <c r="C300" s="56">
        <v>793</v>
      </c>
      <c r="D300" s="56" t="s">
        <v>1514</v>
      </c>
      <c r="F300" s="58" t="s">
        <v>1272</v>
      </c>
      <c r="G300" s="58">
        <v>8</v>
      </c>
      <c r="H300" s="56">
        <v>1</v>
      </c>
      <c r="I300" s="56">
        <v>470</v>
      </c>
      <c r="J300" s="59" t="s">
        <v>1181</v>
      </c>
      <c r="K300" s="59">
        <v>1</v>
      </c>
      <c r="L300" s="59">
        <f t="shared" si="4"/>
        <v>470</v>
      </c>
      <c r="M300" s="59"/>
    </row>
    <row r="301" spans="1:13" ht="30">
      <c r="A301" s="56">
        <v>795</v>
      </c>
      <c r="B301" s="56">
        <v>795</v>
      </c>
      <c r="C301" s="56">
        <v>795</v>
      </c>
      <c r="D301" s="56" t="s">
        <v>1519</v>
      </c>
      <c r="F301" s="58" t="s">
        <v>1272</v>
      </c>
      <c r="G301" s="58">
        <v>5</v>
      </c>
      <c r="H301" s="56">
        <v>1</v>
      </c>
      <c r="I301" s="56">
        <v>560</v>
      </c>
      <c r="J301" s="59" t="s">
        <v>1181</v>
      </c>
      <c r="K301" s="59">
        <v>1</v>
      </c>
      <c r="L301" s="59">
        <f t="shared" si="4"/>
        <v>560</v>
      </c>
      <c r="M301" s="59"/>
    </row>
    <row r="302" spans="1:13" ht="30">
      <c r="A302" s="56">
        <v>937</v>
      </c>
      <c r="B302" s="56">
        <v>937</v>
      </c>
      <c r="C302" s="56">
        <v>937</v>
      </c>
      <c r="D302" s="56" t="s">
        <v>1520</v>
      </c>
      <c r="F302" s="58" t="s">
        <v>1185</v>
      </c>
      <c r="G302" s="58">
        <v>5</v>
      </c>
      <c r="H302" s="56">
        <v>1</v>
      </c>
      <c r="I302" s="56">
        <v>930</v>
      </c>
      <c r="J302" s="59" t="s">
        <v>1181</v>
      </c>
      <c r="K302" s="59">
        <v>1</v>
      </c>
      <c r="L302" s="59">
        <f t="shared" si="4"/>
        <v>930</v>
      </c>
      <c r="M302" s="59"/>
    </row>
    <row r="303" spans="1:13" ht="30">
      <c r="A303" s="56">
        <v>939</v>
      </c>
      <c r="B303" s="56">
        <v>939</v>
      </c>
      <c r="C303" s="56">
        <v>939</v>
      </c>
      <c r="D303" s="56" t="s">
        <v>1521</v>
      </c>
      <c r="F303" s="58" t="s">
        <v>1185</v>
      </c>
      <c r="G303" s="58">
        <v>5</v>
      </c>
      <c r="H303" s="56">
        <v>1</v>
      </c>
      <c r="I303" s="56">
        <v>900</v>
      </c>
      <c r="J303" s="59" t="s">
        <v>1181</v>
      </c>
      <c r="K303" s="59">
        <v>1</v>
      </c>
      <c r="L303" s="59">
        <f t="shared" si="4"/>
        <v>900</v>
      </c>
      <c r="M303" s="59"/>
    </row>
    <row r="304" spans="1:13" ht="30">
      <c r="A304" s="56">
        <v>947</v>
      </c>
      <c r="B304" s="56">
        <v>947</v>
      </c>
      <c r="C304" s="56">
        <v>947</v>
      </c>
      <c r="D304" s="56" t="s">
        <v>1523</v>
      </c>
      <c r="F304" s="58" t="s">
        <v>1185</v>
      </c>
      <c r="G304" s="58">
        <v>4</v>
      </c>
      <c r="H304" s="56">
        <v>1</v>
      </c>
      <c r="I304" s="56">
        <v>520</v>
      </c>
      <c r="J304" s="59" t="s">
        <v>1181</v>
      </c>
      <c r="K304" s="59">
        <v>1</v>
      </c>
      <c r="L304" s="59">
        <f t="shared" si="4"/>
        <v>520</v>
      </c>
      <c r="M304" s="59"/>
    </row>
    <row r="305" spans="1:13" ht="30">
      <c r="A305" s="56">
        <v>8</v>
      </c>
      <c r="B305" s="56">
        <v>8</v>
      </c>
      <c r="C305" s="56">
        <v>8</v>
      </c>
      <c r="D305" s="56" t="s">
        <v>1531</v>
      </c>
      <c r="F305" s="56" t="s">
        <v>24</v>
      </c>
      <c r="G305" s="56">
        <v>1</v>
      </c>
      <c r="H305" s="56">
        <v>1</v>
      </c>
      <c r="I305" s="56">
        <v>2200</v>
      </c>
      <c r="J305" s="59" t="s">
        <v>1181</v>
      </c>
      <c r="K305" s="59">
        <v>1</v>
      </c>
      <c r="L305" s="59">
        <f t="shared" si="4"/>
        <v>2200</v>
      </c>
      <c r="M305" s="59"/>
    </row>
    <row r="306" spans="1:13" ht="30">
      <c r="A306" s="56">
        <v>15</v>
      </c>
      <c r="B306" s="56">
        <v>15</v>
      </c>
      <c r="C306" s="56">
        <v>15</v>
      </c>
      <c r="D306" s="56" t="s">
        <v>1538</v>
      </c>
      <c r="F306" s="56" t="s">
        <v>24</v>
      </c>
      <c r="G306" s="56">
        <v>1</v>
      </c>
      <c r="H306" s="56">
        <v>1</v>
      </c>
      <c r="I306" s="56">
        <v>1700</v>
      </c>
      <c r="J306" s="59" t="s">
        <v>1181</v>
      </c>
      <c r="K306" s="59">
        <v>1</v>
      </c>
      <c r="L306" s="59">
        <f t="shared" si="4"/>
        <v>1700</v>
      </c>
      <c r="M306" s="59"/>
    </row>
    <row r="307" spans="1:13" ht="30">
      <c r="A307" s="56">
        <v>16</v>
      </c>
      <c r="B307" s="56">
        <v>16</v>
      </c>
      <c r="C307" s="56">
        <v>16</v>
      </c>
      <c r="D307" s="56" t="s">
        <v>1539</v>
      </c>
      <c r="F307" s="56" t="s">
        <v>24</v>
      </c>
      <c r="G307" s="56">
        <v>1</v>
      </c>
      <c r="H307" s="56">
        <v>1</v>
      </c>
      <c r="I307" s="56">
        <v>1200</v>
      </c>
      <c r="J307" s="59" t="s">
        <v>1181</v>
      </c>
      <c r="K307" s="59">
        <v>1</v>
      </c>
      <c r="L307" s="59">
        <f t="shared" si="4"/>
        <v>1200</v>
      </c>
      <c r="M307" s="59"/>
    </row>
    <row r="308" spans="1:13" ht="30">
      <c r="A308" s="56">
        <v>18</v>
      </c>
      <c r="B308" s="56">
        <v>18</v>
      </c>
      <c r="C308" s="56">
        <v>18</v>
      </c>
      <c r="D308" s="56" t="s">
        <v>1541</v>
      </c>
      <c r="F308" s="56" t="s">
        <v>24</v>
      </c>
      <c r="G308" s="56">
        <v>1</v>
      </c>
      <c r="H308" s="56">
        <v>1</v>
      </c>
      <c r="I308" s="56">
        <v>1200</v>
      </c>
      <c r="J308" s="59" t="s">
        <v>1181</v>
      </c>
      <c r="K308" s="59">
        <v>1</v>
      </c>
      <c r="L308" s="59">
        <f t="shared" si="4"/>
        <v>1200</v>
      </c>
      <c r="M308" s="59"/>
    </row>
    <row r="309" spans="1:13" ht="30">
      <c r="A309" s="56">
        <v>19</v>
      </c>
      <c r="B309" s="56">
        <v>19</v>
      </c>
      <c r="C309" s="56">
        <v>19</v>
      </c>
      <c r="D309" s="56" t="s">
        <v>1542</v>
      </c>
      <c r="F309" s="56" t="s">
        <v>24</v>
      </c>
      <c r="G309" s="56">
        <v>1</v>
      </c>
      <c r="H309" s="56">
        <v>1</v>
      </c>
      <c r="I309" s="56">
        <v>3500</v>
      </c>
      <c r="J309" s="59" t="s">
        <v>1181</v>
      </c>
      <c r="K309" s="59">
        <v>1</v>
      </c>
      <c r="L309" s="59">
        <f t="shared" si="4"/>
        <v>3500</v>
      </c>
      <c r="M309" s="59"/>
    </row>
    <row r="310" spans="1:13" ht="30">
      <c r="A310" s="56">
        <v>20</v>
      </c>
      <c r="B310" s="56">
        <v>20</v>
      </c>
      <c r="C310" s="56">
        <v>20</v>
      </c>
      <c r="D310" s="56" t="s">
        <v>1543</v>
      </c>
      <c r="F310" s="56" t="s">
        <v>24</v>
      </c>
      <c r="G310" s="56">
        <v>1</v>
      </c>
      <c r="H310" s="56">
        <v>1</v>
      </c>
      <c r="I310" s="56">
        <v>0</v>
      </c>
      <c r="J310" s="59" t="s">
        <v>1181</v>
      </c>
      <c r="K310" s="59">
        <v>1</v>
      </c>
      <c r="L310" s="59">
        <f t="shared" si="4"/>
        <v>0</v>
      </c>
      <c r="M310" s="59"/>
    </row>
    <row r="311" spans="1:13" ht="30">
      <c r="A311" s="56">
        <v>23</v>
      </c>
      <c r="B311" s="56">
        <v>23</v>
      </c>
      <c r="C311" s="56">
        <v>23</v>
      </c>
      <c r="D311" s="56" t="s">
        <v>1546</v>
      </c>
      <c r="F311" s="56" t="s">
        <v>24</v>
      </c>
      <c r="G311" s="56">
        <v>1</v>
      </c>
      <c r="H311" s="56">
        <v>1</v>
      </c>
      <c r="I311" s="56">
        <v>1000</v>
      </c>
      <c r="J311" s="59" t="s">
        <v>1181</v>
      </c>
      <c r="K311" s="59">
        <v>1</v>
      </c>
      <c r="L311" s="59">
        <f t="shared" si="4"/>
        <v>1000</v>
      </c>
      <c r="M311" s="59"/>
    </row>
    <row r="312" spans="1:13" ht="30">
      <c r="A312" s="56">
        <v>25</v>
      </c>
      <c r="B312" s="56">
        <v>25</v>
      </c>
      <c r="C312" s="56">
        <v>25</v>
      </c>
      <c r="D312" s="56" t="s">
        <v>1548</v>
      </c>
      <c r="F312" s="56" t="s">
        <v>24</v>
      </c>
      <c r="G312" s="56">
        <v>1</v>
      </c>
      <c r="H312" s="56">
        <v>1</v>
      </c>
      <c r="I312" s="56">
        <v>1200</v>
      </c>
      <c r="J312" s="59" t="s">
        <v>1181</v>
      </c>
      <c r="K312" s="59">
        <v>1</v>
      </c>
      <c r="L312" s="59">
        <f t="shared" si="4"/>
        <v>1200</v>
      </c>
      <c r="M312" s="59"/>
    </row>
    <row r="313" spans="1:13" ht="30">
      <c r="A313" s="56">
        <v>27</v>
      </c>
      <c r="B313" s="56">
        <v>27</v>
      </c>
      <c r="C313" s="56">
        <v>27</v>
      </c>
      <c r="D313" s="56" t="s">
        <v>1550</v>
      </c>
      <c r="F313" s="56" t="s">
        <v>24</v>
      </c>
      <c r="G313" s="56">
        <v>1</v>
      </c>
      <c r="H313" s="56">
        <v>1</v>
      </c>
      <c r="I313" s="56">
        <v>2700</v>
      </c>
      <c r="J313" s="59" t="s">
        <v>1181</v>
      </c>
      <c r="K313" s="59">
        <v>1</v>
      </c>
      <c r="L313" s="59">
        <f t="shared" si="4"/>
        <v>2700</v>
      </c>
      <c r="M313" s="59"/>
    </row>
    <row r="314" spans="1:13" ht="30">
      <c r="A314" s="56">
        <v>33</v>
      </c>
      <c r="B314" s="56">
        <v>33</v>
      </c>
      <c r="C314" s="56">
        <v>33</v>
      </c>
      <c r="D314" s="56" t="s">
        <v>1556</v>
      </c>
      <c r="F314" s="56" t="s">
        <v>24</v>
      </c>
      <c r="G314" s="56">
        <v>1</v>
      </c>
      <c r="H314" s="56">
        <v>1</v>
      </c>
      <c r="I314" s="56">
        <v>1600</v>
      </c>
      <c r="J314" s="59" t="s">
        <v>1181</v>
      </c>
      <c r="K314" s="59">
        <v>1</v>
      </c>
      <c r="L314" s="59">
        <f t="shared" si="4"/>
        <v>1600</v>
      </c>
      <c r="M314" s="59"/>
    </row>
    <row r="315" spans="1:13" ht="30">
      <c r="A315" s="56">
        <v>41</v>
      </c>
      <c r="B315" s="56">
        <v>41</v>
      </c>
      <c r="C315" s="56">
        <v>41</v>
      </c>
      <c r="D315" s="56" t="s">
        <v>1564</v>
      </c>
      <c r="F315" s="56" t="s">
        <v>24</v>
      </c>
      <c r="G315" s="56">
        <v>1</v>
      </c>
      <c r="H315" s="56">
        <v>1</v>
      </c>
      <c r="I315" s="56">
        <v>2000</v>
      </c>
      <c r="J315" s="59" t="s">
        <v>1181</v>
      </c>
      <c r="K315" s="59">
        <v>1</v>
      </c>
      <c r="L315" s="59">
        <f t="shared" si="4"/>
        <v>2000</v>
      </c>
      <c r="M315" s="59"/>
    </row>
    <row r="316" spans="1:13" ht="30">
      <c r="A316" s="56">
        <v>43</v>
      </c>
      <c r="B316" s="56">
        <v>43</v>
      </c>
      <c r="C316" s="56">
        <v>43</v>
      </c>
      <c r="D316" s="56" t="s">
        <v>1566</v>
      </c>
      <c r="F316" s="56" t="s">
        <v>24</v>
      </c>
      <c r="G316" s="56">
        <v>1</v>
      </c>
      <c r="H316" s="56">
        <v>1</v>
      </c>
      <c r="I316" s="56">
        <v>1800</v>
      </c>
      <c r="J316" s="59" t="s">
        <v>1181</v>
      </c>
      <c r="K316" s="59">
        <v>1</v>
      </c>
      <c r="L316" s="59">
        <f t="shared" si="4"/>
        <v>1800</v>
      </c>
      <c r="M316" s="59"/>
    </row>
    <row r="317" spans="1:13" ht="30">
      <c r="A317" s="56">
        <v>44</v>
      </c>
      <c r="B317" s="56">
        <v>44</v>
      </c>
      <c r="C317" s="56">
        <v>44</v>
      </c>
      <c r="D317" s="56" t="s">
        <v>1567</v>
      </c>
      <c r="F317" s="56" t="s">
        <v>24</v>
      </c>
      <c r="G317" s="56">
        <v>1</v>
      </c>
      <c r="H317" s="56">
        <v>1</v>
      </c>
      <c r="I317" s="56">
        <v>2700</v>
      </c>
      <c r="J317" s="59" t="s">
        <v>1181</v>
      </c>
      <c r="K317" s="59">
        <v>1</v>
      </c>
      <c r="L317" s="59">
        <f t="shared" si="4"/>
        <v>2700</v>
      </c>
      <c r="M317" s="59"/>
    </row>
    <row r="318" spans="1:13" ht="30">
      <c r="A318" s="56">
        <v>45</v>
      </c>
      <c r="B318" s="56">
        <v>45</v>
      </c>
      <c r="C318" s="56">
        <v>45</v>
      </c>
      <c r="D318" s="56" t="s">
        <v>1568</v>
      </c>
      <c r="F318" s="56" t="s">
        <v>24</v>
      </c>
      <c r="G318" s="56">
        <v>1</v>
      </c>
      <c r="H318" s="56">
        <v>1</v>
      </c>
      <c r="I318" s="56">
        <v>2500</v>
      </c>
      <c r="J318" s="59" t="s">
        <v>1181</v>
      </c>
      <c r="K318" s="59">
        <v>1</v>
      </c>
      <c r="L318" s="59">
        <f t="shared" si="4"/>
        <v>2500</v>
      </c>
      <c r="M318" s="59"/>
    </row>
    <row r="319" spans="1:13" ht="30">
      <c r="A319" s="56">
        <v>47</v>
      </c>
      <c r="B319" s="56">
        <v>47</v>
      </c>
      <c r="C319" s="56">
        <v>47</v>
      </c>
      <c r="D319" s="56" t="s">
        <v>1570</v>
      </c>
      <c r="F319" s="56" t="s">
        <v>24</v>
      </c>
      <c r="G319" s="56">
        <v>1</v>
      </c>
      <c r="H319" s="56">
        <v>1</v>
      </c>
      <c r="I319" s="56">
        <v>2700</v>
      </c>
      <c r="J319" s="59" t="s">
        <v>1181</v>
      </c>
      <c r="K319" s="59">
        <v>1</v>
      </c>
      <c r="L319" s="59">
        <f t="shared" si="4"/>
        <v>2700</v>
      </c>
      <c r="M319" s="59"/>
    </row>
    <row r="320" spans="1:13" ht="30">
      <c r="A320" s="56">
        <v>48</v>
      </c>
      <c r="B320" s="56">
        <v>48</v>
      </c>
      <c r="C320" s="56">
        <v>48</v>
      </c>
      <c r="D320" s="56" t="s">
        <v>1571</v>
      </c>
      <c r="F320" s="56" t="s">
        <v>24</v>
      </c>
      <c r="G320" s="56">
        <v>1</v>
      </c>
      <c r="H320" s="56">
        <v>1</v>
      </c>
      <c r="I320" s="56">
        <v>2250</v>
      </c>
      <c r="J320" s="59" t="s">
        <v>1181</v>
      </c>
      <c r="K320" s="59">
        <v>1</v>
      </c>
      <c r="L320" s="59">
        <f t="shared" si="4"/>
        <v>2250</v>
      </c>
      <c r="M320" s="59"/>
    </row>
    <row r="321" spans="1:13" ht="30">
      <c r="A321" s="56">
        <v>52</v>
      </c>
      <c r="B321" s="56">
        <v>52</v>
      </c>
      <c r="C321" s="56">
        <v>52</v>
      </c>
      <c r="D321" s="56" t="s">
        <v>1574</v>
      </c>
      <c r="F321" s="56" t="s">
        <v>24</v>
      </c>
      <c r="G321" s="56">
        <v>1</v>
      </c>
      <c r="H321" s="56">
        <v>1</v>
      </c>
      <c r="I321" s="56">
        <v>1700</v>
      </c>
      <c r="J321" s="59" t="s">
        <v>1181</v>
      </c>
      <c r="K321" s="59">
        <v>1</v>
      </c>
      <c r="L321" s="59">
        <f t="shared" si="4"/>
        <v>1700</v>
      </c>
      <c r="M321" s="59"/>
    </row>
    <row r="322" spans="1:13" ht="30">
      <c r="A322" s="56">
        <v>55</v>
      </c>
      <c r="B322" s="56">
        <v>55</v>
      </c>
      <c r="C322" s="56">
        <v>55</v>
      </c>
      <c r="D322" s="56" t="s">
        <v>1577</v>
      </c>
      <c r="F322" s="56" t="s">
        <v>24</v>
      </c>
      <c r="G322" s="56">
        <v>1</v>
      </c>
      <c r="H322" s="56">
        <v>1</v>
      </c>
      <c r="I322" s="56">
        <v>2900</v>
      </c>
      <c r="J322" s="59" t="s">
        <v>1181</v>
      </c>
      <c r="K322" s="59">
        <v>1</v>
      </c>
      <c r="L322" s="59">
        <f t="shared" ref="L322:L385" si="5">H322*I322</f>
        <v>2900</v>
      </c>
      <c r="M322" s="59"/>
    </row>
    <row r="323" spans="1:13" ht="30">
      <c r="A323" s="56">
        <v>56</v>
      </c>
      <c r="B323" s="56">
        <v>56</v>
      </c>
      <c r="C323" s="56">
        <v>56</v>
      </c>
      <c r="D323" s="56" t="s">
        <v>1578</v>
      </c>
      <c r="F323" s="56" t="s">
        <v>24</v>
      </c>
      <c r="G323" s="56">
        <v>1</v>
      </c>
      <c r="H323" s="56">
        <v>1</v>
      </c>
      <c r="I323" s="56">
        <v>1200</v>
      </c>
      <c r="J323" s="59" t="s">
        <v>1181</v>
      </c>
      <c r="K323" s="59">
        <v>1</v>
      </c>
      <c r="L323" s="59">
        <f t="shared" si="5"/>
        <v>1200</v>
      </c>
      <c r="M323" s="59"/>
    </row>
    <row r="324" spans="1:13" ht="30">
      <c r="A324" s="56">
        <v>58</v>
      </c>
      <c r="B324" s="56">
        <v>58</v>
      </c>
      <c r="C324" s="56">
        <v>58</v>
      </c>
      <c r="D324" s="56" t="s">
        <v>1580</v>
      </c>
      <c r="F324" s="56" t="s">
        <v>24</v>
      </c>
      <c r="G324" s="56">
        <v>1</v>
      </c>
      <c r="H324" s="56">
        <v>1</v>
      </c>
      <c r="I324" s="56">
        <v>3800</v>
      </c>
      <c r="J324" s="59" t="s">
        <v>1181</v>
      </c>
      <c r="K324" s="59">
        <v>1</v>
      </c>
      <c r="L324" s="59">
        <f t="shared" si="5"/>
        <v>3800</v>
      </c>
      <c r="M324" s="59"/>
    </row>
    <row r="325" spans="1:13" ht="30">
      <c r="A325" s="56">
        <v>59</v>
      </c>
      <c r="B325" s="56">
        <v>59</v>
      </c>
      <c r="C325" s="56">
        <v>59</v>
      </c>
      <c r="D325" s="56" t="s">
        <v>27</v>
      </c>
      <c r="F325" s="56" t="s">
        <v>24</v>
      </c>
      <c r="G325" s="56">
        <v>1</v>
      </c>
      <c r="H325" s="56">
        <v>1</v>
      </c>
      <c r="I325" s="56">
        <v>0</v>
      </c>
      <c r="J325" s="59" t="s">
        <v>1181</v>
      </c>
      <c r="K325" s="59">
        <v>1</v>
      </c>
      <c r="L325" s="59">
        <f t="shared" si="5"/>
        <v>0</v>
      </c>
      <c r="M325" s="59"/>
    </row>
    <row r="326" spans="1:13" ht="30">
      <c r="A326" s="56">
        <v>60</v>
      </c>
      <c r="B326" s="56">
        <v>60</v>
      </c>
      <c r="C326" s="56">
        <v>60</v>
      </c>
      <c r="D326" s="56" t="s">
        <v>1581</v>
      </c>
      <c r="F326" s="56" t="s">
        <v>24</v>
      </c>
      <c r="G326" s="56">
        <v>1</v>
      </c>
      <c r="H326" s="56">
        <v>1</v>
      </c>
      <c r="I326" s="56">
        <v>3500</v>
      </c>
      <c r="J326" s="59" t="s">
        <v>1181</v>
      </c>
      <c r="K326" s="59">
        <v>1</v>
      </c>
      <c r="L326" s="59">
        <f t="shared" si="5"/>
        <v>3500</v>
      </c>
      <c r="M326" s="59"/>
    </row>
    <row r="327" spans="1:13" ht="30">
      <c r="A327" s="56">
        <v>61</v>
      </c>
      <c r="B327" s="56">
        <v>61</v>
      </c>
      <c r="C327" s="56">
        <v>61</v>
      </c>
      <c r="D327" s="56" t="s">
        <v>1582</v>
      </c>
      <c r="F327" s="56" t="s">
        <v>24</v>
      </c>
      <c r="G327" s="56">
        <v>1</v>
      </c>
      <c r="H327" s="56">
        <v>1</v>
      </c>
      <c r="I327" s="56">
        <v>4500</v>
      </c>
      <c r="J327" s="59" t="s">
        <v>1181</v>
      </c>
      <c r="K327" s="59">
        <v>1</v>
      </c>
      <c r="L327" s="59">
        <f t="shared" si="5"/>
        <v>4500</v>
      </c>
      <c r="M327" s="59"/>
    </row>
    <row r="328" spans="1:13" ht="30">
      <c r="A328" s="56">
        <v>66</v>
      </c>
      <c r="B328" s="56">
        <v>66</v>
      </c>
      <c r="C328" s="56">
        <v>66</v>
      </c>
      <c r="D328" s="56" t="s">
        <v>1587</v>
      </c>
      <c r="F328" s="56" t="s">
        <v>24</v>
      </c>
      <c r="G328" s="56">
        <v>1</v>
      </c>
      <c r="H328" s="56">
        <v>1</v>
      </c>
      <c r="I328" s="56">
        <v>4300</v>
      </c>
      <c r="J328" s="59" t="s">
        <v>1181</v>
      </c>
      <c r="K328" s="59">
        <v>1</v>
      </c>
      <c r="L328" s="59">
        <f t="shared" si="5"/>
        <v>4300</v>
      </c>
      <c r="M328" s="59"/>
    </row>
    <row r="329" spans="1:13" ht="30">
      <c r="A329" s="56">
        <v>67</v>
      </c>
      <c r="B329" s="56">
        <v>67</v>
      </c>
      <c r="C329" s="56">
        <v>67</v>
      </c>
      <c r="D329" s="56" t="s">
        <v>1588</v>
      </c>
      <c r="F329" s="56" t="s">
        <v>24</v>
      </c>
      <c r="G329" s="56">
        <v>1</v>
      </c>
      <c r="H329" s="56">
        <v>1</v>
      </c>
      <c r="I329" s="56">
        <v>4500</v>
      </c>
      <c r="J329" s="59" t="s">
        <v>1181</v>
      </c>
      <c r="K329" s="59">
        <v>1</v>
      </c>
      <c r="L329" s="59">
        <f t="shared" si="5"/>
        <v>4500</v>
      </c>
      <c r="M329" s="59"/>
    </row>
    <row r="330" spans="1:13" ht="30">
      <c r="A330" s="56">
        <v>68</v>
      </c>
      <c r="B330" s="56">
        <v>68</v>
      </c>
      <c r="C330" s="56">
        <v>68</v>
      </c>
      <c r="D330" s="56" t="s">
        <v>1589</v>
      </c>
      <c r="F330" s="56" t="s">
        <v>24</v>
      </c>
      <c r="G330" s="56">
        <v>1</v>
      </c>
      <c r="H330" s="56">
        <v>1</v>
      </c>
      <c r="I330" s="56">
        <v>6300</v>
      </c>
      <c r="J330" s="59" t="s">
        <v>1181</v>
      </c>
      <c r="K330" s="59">
        <v>1</v>
      </c>
      <c r="L330" s="59">
        <f t="shared" si="5"/>
        <v>6300</v>
      </c>
      <c r="M330" s="59"/>
    </row>
    <row r="331" spans="1:13" ht="30">
      <c r="A331" s="56">
        <v>69</v>
      </c>
      <c r="B331" s="56">
        <v>69</v>
      </c>
      <c r="C331" s="56">
        <v>69</v>
      </c>
      <c r="D331" s="56" t="s">
        <v>1590</v>
      </c>
      <c r="F331" s="56" t="s">
        <v>24</v>
      </c>
      <c r="G331" s="56">
        <v>1</v>
      </c>
      <c r="H331" s="56">
        <v>1</v>
      </c>
      <c r="I331" s="56">
        <v>4300</v>
      </c>
      <c r="J331" s="59" t="s">
        <v>1181</v>
      </c>
      <c r="K331" s="59">
        <v>1</v>
      </c>
      <c r="L331" s="59">
        <f t="shared" si="5"/>
        <v>4300</v>
      </c>
      <c r="M331" s="59"/>
    </row>
    <row r="332" spans="1:13" ht="30">
      <c r="A332" s="56">
        <v>70</v>
      </c>
      <c r="B332" s="56">
        <v>70</v>
      </c>
      <c r="C332" s="56">
        <v>70</v>
      </c>
      <c r="D332" s="56" t="s">
        <v>1591</v>
      </c>
      <c r="F332" s="56" t="s">
        <v>24</v>
      </c>
      <c r="G332" s="56">
        <v>1</v>
      </c>
      <c r="H332" s="56">
        <v>1</v>
      </c>
      <c r="I332" s="56">
        <v>4500</v>
      </c>
      <c r="J332" s="59" t="s">
        <v>1181</v>
      </c>
      <c r="K332" s="59">
        <v>1</v>
      </c>
      <c r="L332" s="59">
        <f t="shared" si="5"/>
        <v>4500</v>
      </c>
      <c r="M332" s="59"/>
    </row>
    <row r="333" spans="1:13" ht="30">
      <c r="A333" s="56">
        <v>71</v>
      </c>
      <c r="B333" s="56">
        <v>71</v>
      </c>
      <c r="C333" s="56">
        <v>71</v>
      </c>
      <c r="D333" s="56" t="s">
        <v>1592</v>
      </c>
      <c r="F333" s="56" t="s">
        <v>24</v>
      </c>
      <c r="G333" s="56">
        <v>1</v>
      </c>
      <c r="H333" s="56">
        <v>1</v>
      </c>
      <c r="I333" s="56">
        <v>5500</v>
      </c>
      <c r="J333" s="59" t="s">
        <v>1181</v>
      </c>
      <c r="K333" s="59">
        <v>1</v>
      </c>
      <c r="L333" s="59">
        <f t="shared" si="5"/>
        <v>5500</v>
      </c>
      <c r="M333" s="59"/>
    </row>
    <row r="334" spans="1:13" ht="30">
      <c r="A334" s="56">
        <v>73</v>
      </c>
      <c r="B334" s="56">
        <v>73</v>
      </c>
      <c r="C334" s="56">
        <v>73</v>
      </c>
      <c r="D334" s="56" t="s">
        <v>1594</v>
      </c>
      <c r="F334" s="56" t="s">
        <v>24</v>
      </c>
      <c r="G334" s="56">
        <v>1</v>
      </c>
      <c r="H334" s="56">
        <v>1</v>
      </c>
      <c r="I334" s="56">
        <v>667</v>
      </c>
      <c r="J334" s="59" t="s">
        <v>1181</v>
      </c>
      <c r="K334" s="59">
        <v>1</v>
      </c>
      <c r="L334" s="59">
        <f t="shared" si="5"/>
        <v>667</v>
      </c>
      <c r="M334" s="59"/>
    </row>
    <row r="335" spans="1:13" ht="30">
      <c r="A335" s="56">
        <v>74</v>
      </c>
      <c r="B335" s="56">
        <v>74</v>
      </c>
      <c r="C335" s="56">
        <v>74</v>
      </c>
      <c r="D335" s="56" t="s">
        <v>1595</v>
      </c>
      <c r="F335" s="56" t="s">
        <v>24</v>
      </c>
      <c r="G335" s="56">
        <v>1</v>
      </c>
      <c r="H335" s="56">
        <v>1</v>
      </c>
      <c r="I335" s="56">
        <v>700</v>
      </c>
      <c r="J335" s="59" t="s">
        <v>1181</v>
      </c>
      <c r="K335" s="59">
        <v>1</v>
      </c>
      <c r="L335" s="59">
        <f t="shared" si="5"/>
        <v>700</v>
      </c>
      <c r="M335" s="59"/>
    </row>
    <row r="336" spans="1:13" ht="30">
      <c r="A336" s="56">
        <v>75</v>
      </c>
      <c r="B336" s="56">
        <v>75</v>
      </c>
      <c r="C336" s="56">
        <v>75</v>
      </c>
      <c r="D336" s="56" t="s">
        <v>1596</v>
      </c>
      <c r="F336" s="56" t="s">
        <v>24</v>
      </c>
      <c r="G336" s="56">
        <v>1</v>
      </c>
      <c r="H336" s="56">
        <v>1</v>
      </c>
      <c r="I336" s="56">
        <v>700</v>
      </c>
      <c r="J336" s="59" t="s">
        <v>1181</v>
      </c>
      <c r="K336" s="59">
        <v>1</v>
      </c>
      <c r="L336" s="59">
        <f t="shared" si="5"/>
        <v>700</v>
      </c>
      <c r="M336" s="59"/>
    </row>
    <row r="337" spans="1:13" ht="30">
      <c r="A337" s="56">
        <v>76</v>
      </c>
      <c r="B337" s="56">
        <v>76</v>
      </c>
      <c r="C337" s="56">
        <v>76</v>
      </c>
      <c r="D337" s="56" t="s">
        <v>1597</v>
      </c>
      <c r="F337" s="56" t="s">
        <v>24</v>
      </c>
      <c r="G337" s="56">
        <v>1</v>
      </c>
      <c r="H337" s="56">
        <v>1</v>
      </c>
      <c r="I337" s="56">
        <v>1400</v>
      </c>
      <c r="J337" s="59" t="s">
        <v>1181</v>
      </c>
      <c r="K337" s="59">
        <v>1</v>
      </c>
      <c r="L337" s="59">
        <f t="shared" si="5"/>
        <v>1400</v>
      </c>
      <c r="M337" s="59"/>
    </row>
    <row r="338" spans="1:13" ht="30">
      <c r="A338" s="56">
        <v>82</v>
      </c>
      <c r="B338" s="56">
        <v>82</v>
      </c>
      <c r="C338" s="56">
        <v>82</v>
      </c>
      <c r="D338" s="56" t="s">
        <v>1603</v>
      </c>
      <c r="F338" s="56" t="s">
        <v>24</v>
      </c>
      <c r="G338" s="56">
        <v>1</v>
      </c>
      <c r="H338" s="56">
        <v>1</v>
      </c>
      <c r="I338" s="56">
        <v>1600</v>
      </c>
      <c r="J338" s="59" t="s">
        <v>1181</v>
      </c>
      <c r="K338" s="59">
        <v>1</v>
      </c>
      <c r="L338" s="59">
        <f t="shared" si="5"/>
        <v>1600</v>
      </c>
      <c r="M338" s="59"/>
    </row>
    <row r="339" spans="1:13" ht="30">
      <c r="A339" s="56">
        <v>83</v>
      </c>
      <c r="B339" s="56">
        <v>83</v>
      </c>
      <c r="C339" s="56">
        <v>83</v>
      </c>
      <c r="D339" s="56" t="s">
        <v>1604</v>
      </c>
      <c r="F339" s="56" t="s">
        <v>24</v>
      </c>
      <c r="G339" s="56">
        <v>1</v>
      </c>
      <c r="H339" s="56">
        <v>1</v>
      </c>
      <c r="I339" s="56">
        <v>3400</v>
      </c>
      <c r="J339" s="59" t="s">
        <v>1181</v>
      </c>
      <c r="K339" s="59">
        <v>1</v>
      </c>
      <c r="L339" s="59">
        <f t="shared" si="5"/>
        <v>3400</v>
      </c>
      <c r="M339" s="59"/>
    </row>
    <row r="340" spans="1:13" ht="30">
      <c r="A340" s="56">
        <v>84</v>
      </c>
      <c r="B340" s="56">
        <v>84</v>
      </c>
      <c r="C340" s="56">
        <v>84</v>
      </c>
      <c r="D340" s="56" t="s">
        <v>1605</v>
      </c>
      <c r="F340" s="56" t="s">
        <v>24</v>
      </c>
      <c r="G340" s="56">
        <v>1</v>
      </c>
      <c r="H340" s="56">
        <v>1</v>
      </c>
      <c r="I340" s="56">
        <v>1500</v>
      </c>
      <c r="J340" s="59" t="s">
        <v>1181</v>
      </c>
      <c r="K340" s="59">
        <v>1</v>
      </c>
      <c r="L340" s="59">
        <f t="shared" si="5"/>
        <v>1500</v>
      </c>
      <c r="M340" s="59"/>
    </row>
    <row r="341" spans="1:13" ht="30">
      <c r="A341" s="56">
        <v>85</v>
      </c>
      <c r="B341" s="56">
        <v>85</v>
      </c>
      <c r="C341" s="56">
        <v>85</v>
      </c>
      <c r="D341" s="56" t="s">
        <v>1606</v>
      </c>
      <c r="F341" s="56" t="s">
        <v>24</v>
      </c>
      <c r="G341" s="56">
        <v>1</v>
      </c>
      <c r="H341" s="56">
        <v>1</v>
      </c>
      <c r="I341" s="56">
        <v>2500</v>
      </c>
      <c r="J341" s="59" t="s">
        <v>1181</v>
      </c>
      <c r="K341" s="59">
        <v>1</v>
      </c>
      <c r="L341" s="59">
        <f t="shared" si="5"/>
        <v>2500</v>
      </c>
      <c r="M341" s="59"/>
    </row>
    <row r="342" spans="1:13" ht="30">
      <c r="A342" s="56">
        <v>86</v>
      </c>
      <c r="B342" s="56">
        <v>86</v>
      </c>
      <c r="C342" s="56">
        <v>86</v>
      </c>
      <c r="D342" s="56" t="s">
        <v>1607</v>
      </c>
      <c r="F342" s="56" t="s">
        <v>24</v>
      </c>
      <c r="G342" s="56">
        <v>1</v>
      </c>
      <c r="H342" s="56">
        <v>1</v>
      </c>
      <c r="I342" s="56">
        <v>1700</v>
      </c>
      <c r="J342" s="59" t="s">
        <v>1181</v>
      </c>
      <c r="K342" s="59">
        <v>1</v>
      </c>
      <c r="L342" s="59">
        <f t="shared" si="5"/>
        <v>1700</v>
      </c>
      <c r="M342" s="59"/>
    </row>
    <row r="343" spans="1:13" ht="30">
      <c r="A343" s="56">
        <v>89</v>
      </c>
      <c r="B343" s="56">
        <v>89</v>
      </c>
      <c r="C343" s="56">
        <v>89</v>
      </c>
      <c r="D343" s="56" t="s">
        <v>1610</v>
      </c>
      <c r="F343" s="56" t="s">
        <v>24</v>
      </c>
      <c r="G343" s="56">
        <v>1</v>
      </c>
      <c r="H343" s="56">
        <v>1</v>
      </c>
      <c r="I343" s="56">
        <v>1500</v>
      </c>
      <c r="J343" s="59" t="s">
        <v>1181</v>
      </c>
      <c r="K343" s="59">
        <v>1</v>
      </c>
      <c r="L343" s="59">
        <f t="shared" si="5"/>
        <v>1500</v>
      </c>
      <c r="M343" s="59"/>
    </row>
    <row r="344" spans="1:13" ht="30">
      <c r="A344" s="56">
        <v>90</v>
      </c>
      <c r="B344" s="56">
        <v>90</v>
      </c>
      <c r="C344" s="56">
        <v>90</v>
      </c>
      <c r="D344" s="56" t="s">
        <v>1611</v>
      </c>
      <c r="F344" s="56" t="s">
        <v>24</v>
      </c>
      <c r="G344" s="56">
        <v>1</v>
      </c>
      <c r="H344" s="56">
        <v>1</v>
      </c>
      <c r="I344" s="56">
        <v>3700</v>
      </c>
      <c r="J344" s="59" t="s">
        <v>1181</v>
      </c>
      <c r="K344" s="59">
        <v>1</v>
      </c>
      <c r="L344" s="59">
        <f t="shared" si="5"/>
        <v>3700</v>
      </c>
      <c r="M344" s="59"/>
    </row>
    <row r="345" spans="1:13" ht="30">
      <c r="A345" s="56">
        <v>92</v>
      </c>
      <c r="B345" s="56">
        <v>92</v>
      </c>
      <c r="C345" s="56">
        <v>92</v>
      </c>
      <c r="D345" s="56" t="s">
        <v>1612</v>
      </c>
      <c r="F345" s="56" t="s">
        <v>24</v>
      </c>
      <c r="G345" s="56">
        <v>1</v>
      </c>
      <c r="H345" s="56">
        <v>1</v>
      </c>
      <c r="I345" s="56">
        <v>2500</v>
      </c>
      <c r="J345" s="59" t="s">
        <v>1181</v>
      </c>
      <c r="K345" s="59">
        <v>1</v>
      </c>
      <c r="L345" s="59">
        <f t="shared" si="5"/>
        <v>2500</v>
      </c>
      <c r="M345" s="59"/>
    </row>
    <row r="346" spans="1:13" ht="30">
      <c r="A346" s="56">
        <v>93</v>
      </c>
      <c r="B346" s="56">
        <v>93</v>
      </c>
      <c r="C346" s="56">
        <v>93</v>
      </c>
      <c r="D346" s="56" t="s">
        <v>1613</v>
      </c>
      <c r="F346" s="56" t="s">
        <v>24</v>
      </c>
      <c r="G346" s="56">
        <v>1</v>
      </c>
      <c r="H346" s="56">
        <v>1</v>
      </c>
      <c r="I346" s="56">
        <v>2300</v>
      </c>
      <c r="J346" s="59" t="s">
        <v>1181</v>
      </c>
      <c r="K346" s="59">
        <v>1</v>
      </c>
      <c r="L346" s="59">
        <f t="shared" si="5"/>
        <v>2300</v>
      </c>
      <c r="M346" s="59"/>
    </row>
    <row r="347" spans="1:13" ht="30">
      <c r="A347" s="56">
        <v>95</v>
      </c>
      <c r="B347" s="56">
        <v>95</v>
      </c>
      <c r="C347" s="56">
        <v>95</v>
      </c>
      <c r="D347" s="56" t="s">
        <v>1615</v>
      </c>
      <c r="F347" s="56" t="s">
        <v>24</v>
      </c>
      <c r="G347" s="56">
        <v>1</v>
      </c>
      <c r="H347" s="56">
        <v>1</v>
      </c>
      <c r="I347" s="56">
        <v>1800</v>
      </c>
      <c r="J347" s="59" t="s">
        <v>1181</v>
      </c>
      <c r="K347" s="59">
        <v>1</v>
      </c>
      <c r="L347" s="59">
        <f t="shared" si="5"/>
        <v>1800</v>
      </c>
      <c r="M347" s="59"/>
    </row>
    <row r="348" spans="1:13" ht="30">
      <c r="A348" s="56">
        <v>102</v>
      </c>
      <c r="B348" s="56">
        <v>102</v>
      </c>
      <c r="C348" s="56">
        <v>102</v>
      </c>
      <c r="D348" s="56" t="s">
        <v>1620</v>
      </c>
      <c r="F348" s="56" t="s">
        <v>24</v>
      </c>
      <c r="G348" s="56">
        <v>1</v>
      </c>
      <c r="H348" s="56">
        <v>1</v>
      </c>
      <c r="I348" s="56">
        <v>1000</v>
      </c>
      <c r="J348" s="59" t="s">
        <v>1181</v>
      </c>
      <c r="K348" s="59">
        <v>1</v>
      </c>
      <c r="L348" s="59">
        <f t="shared" si="5"/>
        <v>1000</v>
      </c>
      <c r="M348" s="59"/>
    </row>
    <row r="349" spans="1:13" ht="30">
      <c r="A349" s="56">
        <v>107</v>
      </c>
      <c r="B349" s="56">
        <v>107</v>
      </c>
      <c r="C349" s="56">
        <v>107</v>
      </c>
      <c r="D349" s="56" t="s">
        <v>1624</v>
      </c>
      <c r="F349" s="56" t="s">
        <v>24</v>
      </c>
      <c r="G349" s="56">
        <v>1</v>
      </c>
      <c r="H349" s="56">
        <v>1</v>
      </c>
      <c r="I349" s="56">
        <v>1400</v>
      </c>
      <c r="J349" s="59" t="s">
        <v>1181</v>
      </c>
      <c r="K349" s="59">
        <v>1</v>
      </c>
      <c r="L349" s="59">
        <f t="shared" si="5"/>
        <v>1400</v>
      </c>
      <c r="M349" s="59"/>
    </row>
    <row r="350" spans="1:13" ht="30">
      <c r="A350" s="56">
        <v>109</v>
      </c>
      <c r="B350" s="56">
        <v>109</v>
      </c>
      <c r="C350" s="56">
        <v>109</v>
      </c>
      <c r="D350" s="56" t="s">
        <v>1625</v>
      </c>
      <c r="F350" s="56" t="s">
        <v>24</v>
      </c>
      <c r="G350" s="56">
        <v>1</v>
      </c>
      <c r="H350" s="56">
        <v>1</v>
      </c>
      <c r="I350" s="56">
        <v>2400</v>
      </c>
      <c r="J350" s="59" t="s">
        <v>1181</v>
      </c>
      <c r="K350" s="59">
        <v>1</v>
      </c>
      <c r="L350" s="59">
        <f t="shared" si="5"/>
        <v>2400</v>
      </c>
      <c r="M350" s="59"/>
    </row>
    <row r="351" spans="1:13" ht="30">
      <c r="A351" s="56">
        <v>112</v>
      </c>
      <c r="B351" s="56">
        <v>112</v>
      </c>
      <c r="C351" s="56">
        <v>112</v>
      </c>
      <c r="D351" s="56" t="s">
        <v>1627</v>
      </c>
      <c r="F351" s="56" t="s">
        <v>24</v>
      </c>
      <c r="G351" s="56">
        <v>1</v>
      </c>
      <c r="H351" s="56">
        <v>1</v>
      </c>
      <c r="I351" s="56">
        <v>1700</v>
      </c>
      <c r="J351" s="59" t="s">
        <v>1181</v>
      </c>
      <c r="K351" s="59">
        <v>1</v>
      </c>
      <c r="L351" s="59">
        <f t="shared" si="5"/>
        <v>1700</v>
      </c>
      <c r="M351" s="59"/>
    </row>
    <row r="352" spans="1:13" ht="30">
      <c r="A352" s="56">
        <v>115</v>
      </c>
      <c r="B352" s="56">
        <v>115</v>
      </c>
      <c r="C352" s="56">
        <v>115</v>
      </c>
      <c r="D352" s="56" t="s">
        <v>1629</v>
      </c>
      <c r="F352" s="56" t="s">
        <v>24</v>
      </c>
      <c r="G352" s="56">
        <v>1</v>
      </c>
      <c r="H352" s="56">
        <v>1</v>
      </c>
      <c r="I352" s="56">
        <v>2200</v>
      </c>
      <c r="J352" s="59" t="s">
        <v>1181</v>
      </c>
      <c r="K352" s="59">
        <v>1</v>
      </c>
      <c r="L352" s="59">
        <f t="shared" si="5"/>
        <v>2200</v>
      </c>
      <c r="M352" s="59"/>
    </row>
    <row r="353" spans="1:13" ht="30">
      <c r="A353" s="56">
        <v>117</v>
      </c>
      <c r="B353" s="56">
        <v>117</v>
      </c>
      <c r="C353" s="56">
        <v>117</v>
      </c>
      <c r="D353" s="56" t="s">
        <v>1631</v>
      </c>
      <c r="F353" s="56" t="s">
        <v>24</v>
      </c>
      <c r="G353" s="56">
        <v>1</v>
      </c>
      <c r="H353" s="56">
        <v>1</v>
      </c>
      <c r="I353" s="56">
        <v>1800</v>
      </c>
      <c r="J353" s="59" t="s">
        <v>1181</v>
      </c>
      <c r="K353" s="59">
        <v>1</v>
      </c>
      <c r="L353" s="59">
        <f t="shared" si="5"/>
        <v>1800</v>
      </c>
      <c r="M353" s="59"/>
    </row>
    <row r="354" spans="1:13" ht="30">
      <c r="A354" s="56">
        <v>118</v>
      </c>
      <c r="B354" s="56">
        <v>118</v>
      </c>
      <c r="C354" s="56">
        <v>118</v>
      </c>
      <c r="D354" s="56" t="s">
        <v>1632</v>
      </c>
      <c r="F354" s="56" t="s">
        <v>24</v>
      </c>
      <c r="G354" s="56">
        <v>1</v>
      </c>
      <c r="H354" s="56">
        <v>1</v>
      </c>
      <c r="I354" s="56">
        <v>1800</v>
      </c>
      <c r="J354" s="59" t="s">
        <v>1181</v>
      </c>
      <c r="K354" s="59">
        <v>1</v>
      </c>
      <c r="L354" s="59">
        <f t="shared" si="5"/>
        <v>1800</v>
      </c>
      <c r="M354" s="59"/>
    </row>
    <row r="355" spans="1:13" ht="30">
      <c r="A355" s="56">
        <v>119</v>
      </c>
      <c r="B355" s="56">
        <v>119</v>
      </c>
      <c r="C355" s="56">
        <v>119</v>
      </c>
      <c r="D355" s="56" t="s">
        <v>1633</v>
      </c>
      <c r="F355" s="56" t="s">
        <v>24</v>
      </c>
      <c r="G355" s="56">
        <v>1</v>
      </c>
      <c r="H355" s="56">
        <v>1</v>
      </c>
      <c r="I355" s="56">
        <v>2500</v>
      </c>
      <c r="J355" s="59" t="s">
        <v>1181</v>
      </c>
      <c r="K355" s="59">
        <v>1</v>
      </c>
      <c r="L355" s="59">
        <f t="shared" si="5"/>
        <v>2500</v>
      </c>
      <c r="M355" s="59"/>
    </row>
    <row r="356" spans="1:13" ht="30">
      <c r="A356" s="56">
        <v>121</v>
      </c>
      <c r="B356" s="56">
        <v>121</v>
      </c>
      <c r="C356" s="56">
        <v>121</v>
      </c>
      <c r="D356" s="56" t="s">
        <v>1635</v>
      </c>
      <c r="F356" s="56" t="s">
        <v>24</v>
      </c>
      <c r="G356" s="56">
        <v>1</v>
      </c>
      <c r="H356" s="56">
        <v>1</v>
      </c>
      <c r="I356" s="56">
        <v>2300</v>
      </c>
      <c r="J356" s="59" t="s">
        <v>1181</v>
      </c>
      <c r="K356" s="59">
        <v>1</v>
      </c>
      <c r="L356" s="59">
        <f t="shared" si="5"/>
        <v>2300</v>
      </c>
      <c r="M356" s="59"/>
    </row>
    <row r="357" spans="1:13" ht="30">
      <c r="A357" s="56">
        <v>123</v>
      </c>
      <c r="B357" s="56">
        <v>123</v>
      </c>
      <c r="C357" s="56">
        <v>123</v>
      </c>
      <c r="D357" s="56" t="s">
        <v>1637</v>
      </c>
      <c r="F357" s="56" t="s">
        <v>24</v>
      </c>
      <c r="G357" s="56">
        <v>1</v>
      </c>
      <c r="H357" s="56">
        <v>1</v>
      </c>
      <c r="I357" s="56">
        <v>1800</v>
      </c>
      <c r="J357" s="59" t="s">
        <v>1181</v>
      </c>
      <c r="K357" s="59">
        <v>1</v>
      </c>
      <c r="L357" s="59">
        <f t="shared" si="5"/>
        <v>1800</v>
      </c>
      <c r="M357" s="59"/>
    </row>
    <row r="358" spans="1:13" ht="30">
      <c r="A358" s="56">
        <v>124</v>
      </c>
      <c r="B358" s="56">
        <v>124</v>
      </c>
      <c r="C358" s="56">
        <v>124</v>
      </c>
      <c r="D358" s="56" t="s">
        <v>1638</v>
      </c>
      <c r="F358" s="56" t="s">
        <v>24</v>
      </c>
      <c r="G358" s="56">
        <v>1</v>
      </c>
      <c r="H358" s="56">
        <v>1</v>
      </c>
      <c r="I358" s="56">
        <v>2000</v>
      </c>
      <c r="J358" s="59" t="s">
        <v>1181</v>
      </c>
      <c r="K358" s="59">
        <v>1</v>
      </c>
      <c r="L358" s="59">
        <f t="shared" si="5"/>
        <v>2000</v>
      </c>
      <c r="M358" s="59"/>
    </row>
    <row r="359" spans="1:13" ht="30">
      <c r="A359" s="56">
        <v>125</v>
      </c>
      <c r="B359" s="56">
        <v>125</v>
      </c>
      <c r="C359" s="56">
        <v>125</v>
      </c>
      <c r="D359" s="56" t="s">
        <v>1639</v>
      </c>
      <c r="F359" s="56" t="s">
        <v>24</v>
      </c>
      <c r="G359" s="56">
        <v>1</v>
      </c>
      <c r="H359" s="56">
        <v>1</v>
      </c>
      <c r="I359" s="56">
        <v>3800</v>
      </c>
      <c r="J359" s="59" t="s">
        <v>1181</v>
      </c>
      <c r="K359" s="59">
        <v>1</v>
      </c>
      <c r="L359" s="59">
        <f t="shared" si="5"/>
        <v>3800</v>
      </c>
      <c r="M359" s="59"/>
    </row>
    <row r="360" spans="1:13" ht="30">
      <c r="A360" s="56">
        <v>126</v>
      </c>
      <c r="B360" s="56">
        <v>126</v>
      </c>
      <c r="C360" s="56">
        <v>126</v>
      </c>
      <c r="D360" s="56" t="s">
        <v>1640</v>
      </c>
      <c r="F360" s="56" t="s">
        <v>24</v>
      </c>
      <c r="G360" s="56">
        <v>1</v>
      </c>
      <c r="H360" s="56">
        <v>1</v>
      </c>
      <c r="I360" s="56">
        <v>2400</v>
      </c>
      <c r="J360" s="59" t="s">
        <v>1181</v>
      </c>
      <c r="K360" s="59">
        <v>1</v>
      </c>
      <c r="L360" s="59">
        <f t="shared" si="5"/>
        <v>2400</v>
      </c>
      <c r="M360" s="59"/>
    </row>
    <row r="361" spans="1:13" ht="30">
      <c r="A361" s="56">
        <v>127</v>
      </c>
      <c r="B361" s="56">
        <v>127</v>
      </c>
      <c r="C361" s="56">
        <v>127</v>
      </c>
      <c r="D361" s="56" t="s">
        <v>1641</v>
      </c>
      <c r="F361" s="56" t="s">
        <v>24</v>
      </c>
      <c r="G361" s="56">
        <v>1</v>
      </c>
      <c r="H361" s="56">
        <v>1</v>
      </c>
      <c r="I361" s="56">
        <v>800</v>
      </c>
      <c r="J361" s="59" t="s">
        <v>1181</v>
      </c>
      <c r="K361" s="59">
        <v>1</v>
      </c>
      <c r="L361" s="59">
        <f t="shared" si="5"/>
        <v>800</v>
      </c>
      <c r="M361" s="59"/>
    </row>
    <row r="362" spans="1:13" ht="30">
      <c r="A362" s="56">
        <v>130</v>
      </c>
      <c r="B362" s="56">
        <v>130</v>
      </c>
      <c r="C362" s="56">
        <v>130</v>
      </c>
      <c r="D362" s="56" t="s">
        <v>33</v>
      </c>
      <c r="F362" s="56" t="s">
        <v>24</v>
      </c>
      <c r="G362" s="56">
        <v>1</v>
      </c>
      <c r="H362" s="56">
        <v>1</v>
      </c>
      <c r="I362" s="56">
        <v>1500</v>
      </c>
      <c r="J362" s="59" t="s">
        <v>1181</v>
      </c>
      <c r="K362" s="59">
        <v>1</v>
      </c>
      <c r="L362" s="59">
        <f t="shared" si="5"/>
        <v>1500</v>
      </c>
      <c r="M362" s="59"/>
    </row>
    <row r="363" spans="1:13" ht="30">
      <c r="A363" s="56">
        <v>132</v>
      </c>
      <c r="B363" s="56">
        <v>132</v>
      </c>
      <c r="C363" s="56">
        <v>132</v>
      </c>
      <c r="D363" s="56" t="s">
        <v>1645</v>
      </c>
      <c r="F363" s="56" t="s">
        <v>24</v>
      </c>
      <c r="G363" s="56">
        <v>1</v>
      </c>
      <c r="H363" s="56">
        <v>1</v>
      </c>
      <c r="I363" s="56">
        <v>3800</v>
      </c>
      <c r="J363" s="59" t="s">
        <v>1181</v>
      </c>
      <c r="K363" s="59">
        <v>1</v>
      </c>
      <c r="L363" s="59">
        <f t="shared" si="5"/>
        <v>3800</v>
      </c>
      <c r="M363" s="59"/>
    </row>
    <row r="364" spans="1:13" ht="30">
      <c r="A364" s="56">
        <v>135</v>
      </c>
      <c r="B364" s="56">
        <v>135</v>
      </c>
      <c r="C364" s="56">
        <v>135</v>
      </c>
      <c r="D364" s="56" t="s">
        <v>1648</v>
      </c>
      <c r="F364" s="56" t="s">
        <v>24</v>
      </c>
      <c r="G364" s="56">
        <v>1</v>
      </c>
      <c r="H364" s="56">
        <v>1</v>
      </c>
      <c r="I364" s="56">
        <v>2200</v>
      </c>
      <c r="J364" s="59" t="s">
        <v>1181</v>
      </c>
      <c r="K364" s="59">
        <v>1</v>
      </c>
      <c r="L364" s="59">
        <f t="shared" si="5"/>
        <v>2200</v>
      </c>
      <c r="M364" s="59"/>
    </row>
    <row r="365" spans="1:13" ht="30">
      <c r="A365" s="56">
        <v>140</v>
      </c>
      <c r="B365" s="56">
        <v>140</v>
      </c>
      <c r="C365" s="56">
        <v>140</v>
      </c>
      <c r="D365" s="56" t="s">
        <v>1651</v>
      </c>
      <c r="F365" s="56" t="s">
        <v>24</v>
      </c>
      <c r="G365" s="56">
        <v>1</v>
      </c>
      <c r="H365" s="56">
        <v>1</v>
      </c>
      <c r="I365" s="56">
        <v>3700</v>
      </c>
      <c r="J365" s="59" t="s">
        <v>1181</v>
      </c>
      <c r="K365" s="59">
        <v>1</v>
      </c>
      <c r="L365" s="59">
        <f t="shared" si="5"/>
        <v>3700</v>
      </c>
      <c r="M365" s="59"/>
    </row>
    <row r="366" spans="1:13" ht="30">
      <c r="A366" s="56">
        <v>141</v>
      </c>
      <c r="B366" s="56">
        <v>141</v>
      </c>
      <c r="C366" s="56">
        <v>141</v>
      </c>
      <c r="D366" s="56" t="s">
        <v>1652</v>
      </c>
      <c r="F366" s="56" t="s">
        <v>24</v>
      </c>
      <c r="G366" s="56">
        <v>1</v>
      </c>
      <c r="H366" s="56">
        <v>1</v>
      </c>
      <c r="I366" s="56">
        <v>2200</v>
      </c>
      <c r="J366" s="59" t="s">
        <v>1181</v>
      </c>
      <c r="K366" s="59">
        <v>1</v>
      </c>
      <c r="L366" s="59">
        <f t="shared" si="5"/>
        <v>2200</v>
      </c>
      <c r="M366" s="59"/>
    </row>
    <row r="367" spans="1:13" ht="30">
      <c r="A367" s="56">
        <v>142</v>
      </c>
      <c r="B367" s="56">
        <v>142</v>
      </c>
      <c r="C367" s="56">
        <v>142</v>
      </c>
      <c r="D367" s="56" t="s">
        <v>1653</v>
      </c>
      <c r="F367" s="56" t="s">
        <v>24</v>
      </c>
      <c r="G367" s="56">
        <v>1</v>
      </c>
      <c r="H367" s="56">
        <v>1</v>
      </c>
      <c r="I367" s="56">
        <v>1800</v>
      </c>
      <c r="J367" s="59" t="s">
        <v>1181</v>
      </c>
      <c r="K367" s="59">
        <v>1</v>
      </c>
      <c r="L367" s="59">
        <f t="shared" si="5"/>
        <v>1800</v>
      </c>
      <c r="M367" s="59"/>
    </row>
    <row r="368" spans="1:13" ht="30">
      <c r="A368" s="56">
        <v>143</v>
      </c>
      <c r="B368" s="56">
        <v>143</v>
      </c>
      <c r="C368" s="56">
        <v>143</v>
      </c>
      <c r="D368" s="56" t="s">
        <v>1654</v>
      </c>
      <c r="F368" s="56" t="s">
        <v>24</v>
      </c>
      <c r="G368" s="56">
        <v>1</v>
      </c>
      <c r="H368" s="56">
        <v>1</v>
      </c>
      <c r="I368" s="56">
        <v>1400</v>
      </c>
      <c r="J368" s="59" t="s">
        <v>1181</v>
      </c>
      <c r="K368" s="59">
        <v>1</v>
      </c>
      <c r="L368" s="59">
        <f t="shared" si="5"/>
        <v>1400</v>
      </c>
      <c r="M368" s="59"/>
    </row>
    <row r="369" spans="1:13" ht="30">
      <c r="A369" s="56">
        <v>145</v>
      </c>
      <c r="B369" s="56">
        <v>145</v>
      </c>
      <c r="C369" s="56">
        <v>145</v>
      </c>
      <c r="D369" s="56" t="s">
        <v>1656</v>
      </c>
      <c r="F369" s="56" t="s">
        <v>24</v>
      </c>
      <c r="G369" s="56">
        <v>1</v>
      </c>
      <c r="H369" s="56">
        <v>1</v>
      </c>
      <c r="I369" s="56">
        <v>2600</v>
      </c>
      <c r="J369" s="59" t="s">
        <v>1181</v>
      </c>
      <c r="K369" s="59">
        <v>1</v>
      </c>
      <c r="L369" s="59">
        <f t="shared" si="5"/>
        <v>2600</v>
      </c>
      <c r="M369" s="59"/>
    </row>
    <row r="370" spans="1:13" ht="30">
      <c r="A370" s="56">
        <v>146</v>
      </c>
      <c r="B370" s="56">
        <v>146</v>
      </c>
      <c r="C370" s="56">
        <v>146</v>
      </c>
      <c r="D370" s="56" t="s">
        <v>1657</v>
      </c>
      <c r="F370" s="56" t="s">
        <v>24</v>
      </c>
      <c r="G370" s="56">
        <v>1</v>
      </c>
      <c r="H370" s="56">
        <v>1</v>
      </c>
      <c r="I370" s="56">
        <v>2700</v>
      </c>
      <c r="J370" s="59" t="s">
        <v>1181</v>
      </c>
      <c r="K370" s="59">
        <v>1</v>
      </c>
      <c r="L370" s="59">
        <f t="shared" si="5"/>
        <v>2700</v>
      </c>
      <c r="M370" s="59"/>
    </row>
    <row r="371" spans="1:13" ht="30">
      <c r="A371" s="56">
        <v>147</v>
      </c>
      <c r="B371" s="56">
        <v>147</v>
      </c>
      <c r="C371" s="56">
        <v>147</v>
      </c>
      <c r="D371" s="56" t="s">
        <v>1658</v>
      </c>
      <c r="F371" s="56" t="s">
        <v>24</v>
      </c>
      <c r="G371" s="56">
        <v>1</v>
      </c>
      <c r="H371" s="56">
        <v>1</v>
      </c>
      <c r="I371" s="56">
        <v>2700</v>
      </c>
      <c r="J371" s="59" t="s">
        <v>1181</v>
      </c>
      <c r="K371" s="59">
        <v>1</v>
      </c>
      <c r="L371" s="59">
        <f t="shared" si="5"/>
        <v>2700</v>
      </c>
      <c r="M371" s="59"/>
    </row>
    <row r="372" spans="1:13" ht="30">
      <c r="A372" s="56">
        <v>148</v>
      </c>
      <c r="B372" s="56">
        <v>148</v>
      </c>
      <c r="C372" s="56">
        <v>148</v>
      </c>
      <c r="D372" s="56" t="s">
        <v>1659</v>
      </c>
      <c r="F372" s="56" t="s">
        <v>24</v>
      </c>
      <c r="G372" s="56">
        <v>1</v>
      </c>
      <c r="H372" s="56">
        <v>1</v>
      </c>
      <c r="I372" s="56">
        <v>2700</v>
      </c>
      <c r="J372" s="59" t="s">
        <v>1181</v>
      </c>
      <c r="K372" s="59">
        <v>1</v>
      </c>
      <c r="L372" s="59">
        <f t="shared" si="5"/>
        <v>2700</v>
      </c>
      <c r="M372" s="59"/>
    </row>
    <row r="373" spans="1:13" ht="30">
      <c r="A373" s="56">
        <v>153</v>
      </c>
      <c r="B373" s="56">
        <v>153</v>
      </c>
      <c r="C373" s="56">
        <v>153</v>
      </c>
      <c r="D373" s="56" t="s">
        <v>1664</v>
      </c>
      <c r="F373" s="56" t="s">
        <v>24</v>
      </c>
      <c r="G373" s="56">
        <v>1</v>
      </c>
      <c r="H373" s="56">
        <v>1</v>
      </c>
      <c r="I373" s="56">
        <v>650</v>
      </c>
      <c r="J373" s="59" t="s">
        <v>1181</v>
      </c>
      <c r="K373" s="59">
        <v>1</v>
      </c>
      <c r="L373" s="59">
        <f t="shared" si="5"/>
        <v>650</v>
      </c>
      <c r="M373" s="59"/>
    </row>
    <row r="374" spans="1:13" ht="30">
      <c r="A374" s="56">
        <v>154</v>
      </c>
      <c r="B374" s="56">
        <v>154</v>
      </c>
      <c r="C374" s="56">
        <v>154</v>
      </c>
      <c r="D374" s="56" t="s">
        <v>37</v>
      </c>
      <c r="F374" s="56" t="s">
        <v>24</v>
      </c>
      <c r="G374" s="56">
        <v>1</v>
      </c>
      <c r="H374" s="56">
        <v>1</v>
      </c>
      <c r="I374" s="56">
        <v>1200</v>
      </c>
      <c r="J374" s="59" t="s">
        <v>1181</v>
      </c>
      <c r="K374" s="59">
        <v>1</v>
      </c>
      <c r="L374" s="59">
        <f t="shared" si="5"/>
        <v>1200</v>
      </c>
      <c r="M374" s="59"/>
    </row>
    <row r="375" spans="1:13" ht="30">
      <c r="A375" s="56">
        <v>155</v>
      </c>
      <c r="B375" s="56">
        <v>155</v>
      </c>
      <c r="C375" s="56">
        <v>155</v>
      </c>
      <c r="D375" s="56" t="s">
        <v>1665</v>
      </c>
      <c r="F375" s="56" t="s">
        <v>24</v>
      </c>
      <c r="G375" s="56">
        <v>1</v>
      </c>
      <c r="H375" s="56">
        <v>1</v>
      </c>
      <c r="I375" s="56">
        <v>650</v>
      </c>
      <c r="J375" s="59" t="s">
        <v>1181</v>
      </c>
      <c r="K375" s="59">
        <v>1</v>
      </c>
      <c r="L375" s="59">
        <f t="shared" si="5"/>
        <v>650</v>
      </c>
      <c r="M375" s="59"/>
    </row>
    <row r="376" spans="1:13" ht="30">
      <c r="A376" s="56">
        <v>156</v>
      </c>
      <c r="B376" s="56">
        <v>156</v>
      </c>
      <c r="C376" s="56">
        <v>156</v>
      </c>
      <c r="D376" s="56" t="s">
        <v>38</v>
      </c>
      <c r="F376" s="56" t="s">
        <v>24</v>
      </c>
      <c r="G376" s="56">
        <v>1</v>
      </c>
      <c r="H376" s="56">
        <v>1</v>
      </c>
      <c r="I376" s="56">
        <v>1100</v>
      </c>
      <c r="J376" s="59" t="s">
        <v>1181</v>
      </c>
      <c r="K376" s="59">
        <v>1</v>
      </c>
      <c r="L376" s="59">
        <f t="shared" si="5"/>
        <v>1100</v>
      </c>
      <c r="M376" s="59"/>
    </row>
    <row r="377" spans="1:13" ht="30">
      <c r="A377" s="56">
        <v>157</v>
      </c>
      <c r="B377" s="56">
        <v>157</v>
      </c>
      <c r="C377" s="56">
        <v>157</v>
      </c>
      <c r="D377" s="56" t="s">
        <v>39</v>
      </c>
      <c r="F377" s="56" t="s">
        <v>24</v>
      </c>
      <c r="G377" s="56">
        <v>1</v>
      </c>
      <c r="H377" s="56">
        <v>1</v>
      </c>
      <c r="I377" s="56">
        <v>1400</v>
      </c>
      <c r="J377" s="59" t="s">
        <v>1181</v>
      </c>
      <c r="K377" s="59">
        <v>1</v>
      </c>
      <c r="L377" s="59">
        <f t="shared" si="5"/>
        <v>1400</v>
      </c>
      <c r="M377" s="59"/>
    </row>
    <row r="378" spans="1:13" ht="30">
      <c r="A378" s="56">
        <v>158</v>
      </c>
      <c r="B378" s="56">
        <v>158</v>
      </c>
      <c r="C378" s="56">
        <v>158</v>
      </c>
      <c r="D378" s="56" t="s">
        <v>40</v>
      </c>
      <c r="F378" s="56" t="s">
        <v>24</v>
      </c>
      <c r="G378" s="56">
        <v>1</v>
      </c>
      <c r="H378" s="56">
        <v>1</v>
      </c>
      <c r="I378" s="56">
        <v>1800</v>
      </c>
      <c r="J378" s="59" t="s">
        <v>1181</v>
      </c>
      <c r="K378" s="59">
        <v>1</v>
      </c>
      <c r="L378" s="59">
        <f t="shared" si="5"/>
        <v>1800</v>
      </c>
      <c r="M378" s="59"/>
    </row>
    <row r="379" spans="1:13" ht="30">
      <c r="A379" s="56">
        <v>159</v>
      </c>
      <c r="B379" s="56">
        <v>159</v>
      </c>
      <c r="C379" s="56">
        <v>159</v>
      </c>
      <c r="D379" s="56" t="s">
        <v>1666</v>
      </c>
      <c r="F379" s="56" t="s">
        <v>24</v>
      </c>
      <c r="G379" s="56">
        <v>1</v>
      </c>
      <c r="H379" s="56">
        <v>1</v>
      </c>
      <c r="I379" s="56">
        <v>1800</v>
      </c>
      <c r="J379" s="59" t="s">
        <v>1181</v>
      </c>
      <c r="K379" s="59">
        <v>1</v>
      </c>
      <c r="L379" s="59">
        <f t="shared" si="5"/>
        <v>1800</v>
      </c>
      <c r="M379" s="59"/>
    </row>
    <row r="380" spans="1:13" ht="30">
      <c r="A380" s="56">
        <v>160</v>
      </c>
      <c r="B380" s="56">
        <v>160</v>
      </c>
      <c r="C380" s="56">
        <v>160</v>
      </c>
      <c r="D380" s="56" t="s">
        <v>1667</v>
      </c>
      <c r="F380" s="56" t="s">
        <v>24</v>
      </c>
      <c r="G380" s="56">
        <v>1</v>
      </c>
      <c r="H380" s="56">
        <v>1</v>
      </c>
      <c r="I380" s="56">
        <v>1500</v>
      </c>
      <c r="J380" s="59" t="s">
        <v>1181</v>
      </c>
      <c r="K380" s="59">
        <v>1</v>
      </c>
      <c r="L380" s="59">
        <f t="shared" si="5"/>
        <v>1500</v>
      </c>
      <c r="M380" s="59"/>
    </row>
    <row r="381" spans="1:13" ht="30">
      <c r="A381" s="56">
        <v>161</v>
      </c>
      <c r="B381" s="56">
        <v>161</v>
      </c>
      <c r="C381" s="56">
        <v>161</v>
      </c>
      <c r="D381" s="56" t="s">
        <v>41</v>
      </c>
      <c r="F381" s="56" t="s">
        <v>24</v>
      </c>
      <c r="G381" s="56">
        <v>1</v>
      </c>
      <c r="H381" s="56">
        <v>1</v>
      </c>
      <c r="I381" s="56">
        <v>1000</v>
      </c>
      <c r="J381" s="59" t="s">
        <v>1181</v>
      </c>
      <c r="K381" s="59">
        <v>1</v>
      </c>
      <c r="L381" s="59">
        <f t="shared" si="5"/>
        <v>1000</v>
      </c>
      <c r="M381" s="59"/>
    </row>
    <row r="382" spans="1:13" ht="30">
      <c r="A382" s="56">
        <v>162</v>
      </c>
      <c r="B382" s="56">
        <v>162</v>
      </c>
      <c r="C382" s="56">
        <v>162</v>
      </c>
      <c r="D382" s="56" t="s">
        <v>42</v>
      </c>
      <c r="F382" s="56" t="s">
        <v>24</v>
      </c>
      <c r="G382" s="56">
        <v>1</v>
      </c>
      <c r="H382" s="56">
        <v>1</v>
      </c>
      <c r="I382" s="56">
        <v>1800</v>
      </c>
      <c r="J382" s="59" t="s">
        <v>1181</v>
      </c>
      <c r="K382" s="59">
        <v>1</v>
      </c>
      <c r="L382" s="59">
        <f t="shared" si="5"/>
        <v>1800</v>
      </c>
      <c r="M382" s="59"/>
    </row>
    <row r="383" spans="1:13" ht="30">
      <c r="A383" s="56">
        <v>163</v>
      </c>
      <c r="B383" s="56">
        <v>163</v>
      </c>
      <c r="C383" s="56">
        <v>163</v>
      </c>
      <c r="D383" s="56" t="s">
        <v>1668</v>
      </c>
      <c r="F383" s="56" t="s">
        <v>24</v>
      </c>
      <c r="G383" s="56">
        <v>1</v>
      </c>
      <c r="H383" s="56">
        <v>1</v>
      </c>
      <c r="I383" s="56">
        <v>1400</v>
      </c>
      <c r="J383" s="59" t="s">
        <v>1181</v>
      </c>
      <c r="K383" s="59">
        <v>1</v>
      </c>
      <c r="L383" s="59">
        <f t="shared" si="5"/>
        <v>1400</v>
      </c>
      <c r="M383" s="59"/>
    </row>
    <row r="384" spans="1:13" ht="30">
      <c r="A384" s="56">
        <v>165</v>
      </c>
      <c r="B384" s="56">
        <v>165</v>
      </c>
      <c r="C384" s="56">
        <v>165</v>
      </c>
      <c r="D384" s="56" t="s">
        <v>43</v>
      </c>
      <c r="F384" s="56" t="s">
        <v>24</v>
      </c>
      <c r="G384" s="56">
        <v>1</v>
      </c>
      <c r="H384" s="56">
        <v>1</v>
      </c>
      <c r="I384" s="56">
        <v>1000</v>
      </c>
      <c r="J384" s="59" t="s">
        <v>1181</v>
      </c>
      <c r="K384" s="59">
        <v>1</v>
      </c>
      <c r="L384" s="59">
        <f t="shared" si="5"/>
        <v>1000</v>
      </c>
      <c r="M384" s="59"/>
    </row>
    <row r="385" spans="1:13" ht="30">
      <c r="A385" s="56">
        <v>166</v>
      </c>
      <c r="B385" s="56">
        <v>166</v>
      </c>
      <c r="C385" s="56">
        <v>166</v>
      </c>
      <c r="D385" s="56" t="s">
        <v>1670</v>
      </c>
      <c r="F385" s="56" t="s">
        <v>24</v>
      </c>
      <c r="G385" s="56">
        <v>1</v>
      </c>
      <c r="H385" s="56">
        <v>1</v>
      </c>
      <c r="I385" s="56">
        <v>1100</v>
      </c>
      <c r="J385" s="59" t="s">
        <v>1181</v>
      </c>
      <c r="K385" s="59">
        <v>1</v>
      </c>
      <c r="L385" s="59">
        <f t="shared" si="5"/>
        <v>1100</v>
      </c>
      <c r="M385" s="59"/>
    </row>
    <row r="386" spans="1:13" ht="30">
      <c r="A386" s="56">
        <v>169</v>
      </c>
      <c r="B386" s="56">
        <v>169</v>
      </c>
      <c r="C386" s="56">
        <v>169</v>
      </c>
      <c r="D386" s="56" t="s">
        <v>1673</v>
      </c>
      <c r="F386" s="56" t="s">
        <v>24</v>
      </c>
      <c r="G386" s="56">
        <v>1</v>
      </c>
      <c r="H386" s="56">
        <v>1</v>
      </c>
      <c r="I386" s="56">
        <v>1200</v>
      </c>
      <c r="J386" s="59" t="s">
        <v>1181</v>
      </c>
      <c r="K386" s="59">
        <v>1</v>
      </c>
      <c r="L386" s="59">
        <f t="shared" ref="L386:L449" si="6">H386*I386</f>
        <v>1200</v>
      </c>
      <c r="M386" s="59"/>
    </row>
    <row r="387" spans="1:13" ht="30">
      <c r="A387" s="56">
        <v>170</v>
      </c>
      <c r="B387" s="56">
        <v>170</v>
      </c>
      <c r="C387" s="56">
        <v>170</v>
      </c>
      <c r="D387" s="56" t="s">
        <v>1674</v>
      </c>
      <c r="F387" s="56" t="s">
        <v>24</v>
      </c>
      <c r="G387" s="56">
        <v>1</v>
      </c>
      <c r="H387" s="56">
        <v>1</v>
      </c>
      <c r="I387" s="56">
        <v>1700</v>
      </c>
      <c r="J387" s="59" t="s">
        <v>1181</v>
      </c>
      <c r="K387" s="59">
        <v>1</v>
      </c>
      <c r="L387" s="59">
        <f t="shared" si="6"/>
        <v>1700</v>
      </c>
      <c r="M387" s="59"/>
    </row>
    <row r="388" spans="1:13" ht="30">
      <c r="A388" s="56">
        <v>171</v>
      </c>
      <c r="B388" s="56">
        <v>171</v>
      </c>
      <c r="C388" s="56">
        <v>171</v>
      </c>
      <c r="D388" s="56" t="s">
        <v>1624</v>
      </c>
      <c r="F388" s="56" t="s">
        <v>24</v>
      </c>
      <c r="G388" s="56">
        <v>1</v>
      </c>
      <c r="H388" s="56">
        <v>1</v>
      </c>
      <c r="I388" s="56">
        <v>1400</v>
      </c>
      <c r="J388" s="59" t="s">
        <v>1181</v>
      </c>
      <c r="K388" s="59">
        <v>1</v>
      </c>
      <c r="L388" s="59">
        <f t="shared" si="6"/>
        <v>1400</v>
      </c>
      <c r="M388" s="59"/>
    </row>
    <row r="389" spans="1:13" ht="30">
      <c r="A389" s="56">
        <v>172</v>
      </c>
      <c r="B389" s="56">
        <v>172</v>
      </c>
      <c r="C389" s="56">
        <v>172</v>
      </c>
      <c r="D389" s="56" t="s">
        <v>1675</v>
      </c>
      <c r="F389" s="56" t="s">
        <v>24</v>
      </c>
      <c r="G389" s="56">
        <v>1</v>
      </c>
      <c r="H389" s="56">
        <v>1</v>
      </c>
      <c r="I389" s="56">
        <v>1500</v>
      </c>
      <c r="J389" s="59" t="s">
        <v>1181</v>
      </c>
      <c r="K389" s="59">
        <v>1</v>
      </c>
      <c r="L389" s="59">
        <f t="shared" si="6"/>
        <v>1500</v>
      </c>
      <c r="M389" s="59"/>
    </row>
    <row r="390" spans="1:13" ht="30">
      <c r="A390" s="56">
        <v>173</v>
      </c>
      <c r="B390" s="56">
        <v>173</v>
      </c>
      <c r="C390" s="56">
        <v>173</v>
      </c>
      <c r="D390" s="56" t="s">
        <v>1612</v>
      </c>
      <c r="F390" s="56" t="s">
        <v>24</v>
      </c>
      <c r="G390" s="56">
        <v>1</v>
      </c>
      <c r="H390" s="56">
        <v>1</v>
      </c>
      <c r="I390" s="56">
        <v>2500</v>
      </c>
      <c r="J390" s="59" t="s">
        <v>1181</v>
      </c>
      <c r="K390" s="59">
        <v>1</v>
      </c>
      <c r="L390" s="59">
        <f t="shared" si="6"/>
        <v>2500</v>
      </c>
      <c r="M390" s="59"/>
    </row>
    <row r="391" spans="1:13" ht="30">
      <c r="A391" s="56">
        <v>174</v>
      </c>
      <c r="B391" s="56">
        <v>174</v>
      </c>
      <c r="C391" s="56">
        <v>174</v>
      </c>
      <c r="D391" s="56" t="s">
        <v>1676</v>
      </c>
      <c r="F391" s="56" t="s">
        <v>24</v>
      </c>
      <c r="G391" s="56">
        <v>1</v>
      </c>
      <c r="H391" s="56">
        <v>1</v>
      </c>
      <c r="I391" s="56">
        <v>2400</v>
      </c>
      <c r="J391" s="59" t="s">
        <v>1181</v>
      </c>
      <c r="K391" s="59">
        <v>1</v>
      </c>
      <c r="L391" s="59">
        <f t="shared" si="6"/>
        <v>2400</v>
      </c>
      <c r="M391" s="59"/>
    </row>
    <row r="392" spans="1:13" ht="30">
      <c r="A392" s="56">
        <v>175</v>
      </c>
      <c r="B392" s="56">
        <v>175</v>
      </c>
      <c r="C392" s="56">
        <v>175</v>
      </c>
      <c r="D392" s="56" t="s">
        <v>44</v>
      </c>
      <c r="F392" s="56" t="s">
        <v>24</v>
      </c>
      <c r="G392" s="56">
        <v>1</v>
      </c>
      <c r="H392" s="56">
        <v>1</v>
      </c>
      <c r="I392" s="56">
        <v>2400</v>
      </c>
      <c r="J392" s="59" t="s">
        <v>1181</v>
      </c>
      <c r="K392" s="59">
        <v>1</v>
      </c>
      <c r="L392" s="59">
        <f t="shared" si="6"/>
        <v>2400</v>
      </c>
      <c r="M392" s="59"/>
    </row>
    <row r="393" spans="1:13" ht="30">
      <c r="A393" s="56">
        <v>176</v>
      </c>
      <c r="B393" s="56">
        <v>176</v>
      </c>
      <c r="C393" s="56">
        <v>176</v>
      </c>
      <c r="D393" s="56" t="s">
        <v>1677</v>
      </c>
      <c r="F393" s="56" t="s">
        <v>24</v>
      </c>
      <c r="G393" s="56">
        <v>1</v>
      </c>
      <c r="H393" s="56">
        <v>1</v>
      </c>
      <c r="I393" s="56">
        <v>1500</v>
      </c>
      <c r="J393" s="59" t="s">
        <v>1181</v>
      </c>
      <c r="K393" s="59">
        <v>1</v>
      </c>
      <c r="L393" s="59">
        <f t="shared" si="6"/>
        <v>1500</v>
      </c>
      <c r="M393" s="59"/>
    </row>
    <row r="394" spans="1:13" ht="30">
      <c r="A394" s="56">
        <v>177</v>
      </c>
      <c r="B394" s="56">
        <v>177</v>
      </c>
      <c r="C394" s="56">
        <v>177</v>
      </c>
      <c r="D394" s="56" t="s">
        <v>1678</v>
      </c>
      <c r="F394" s="56" t="s">
        <v>24</v>
      </c>
      <c r="G394" s="56">
        <v>1</v>
      </c>
      <c r="H394" s="56">
        <v>1</v>
      </c>
      <c r="I394" s="56">
        <v>1200</v>
      </c>
      <c r="J394" s="59" t="s">
        <v>1181</v>
      </c>
      <c r="K394" s="59">
        <v>1</v>
      </c>
      <c r="L394" s="59">
        <f t="shared" si="6"/>
        <v>1200</v>
      </c>
      <c r="M394" s="59"/>
    </row>
    <row r="395" spans="1:13" ht="30">
      <c r="A395" s="56">
        <v>179</v>
      </c>
      <c r="B395" s="56">
        <v>179</v>
      </c>
      <c r="C395" s="56">
        <v>179</v>
      </c>
      <c r="D395" s="56" t="s">
        <v>1680</v>
      </c>
      <c r="F395" s="56" t="s">
        <v>24</v>
      </c>
      <c r="G395" s="56">
        <v>1</v>
      </c>
      <c r="H395" s="56">
        <v>1</v>
      </c>
      <c r="I395" s="56">
        <v>3800</v>
      </c>
      <c r="J395" s="59" t="s">
        <v>1181</v>
      </c>
      <c r="K395" s="59">
        <v>1</v>
      </c>
      <c r="L395" s="59">
        <f t="shared" si="6"/>
        <v>3800</v>
      </c>
      <c r="M395" s="59"/>
    </row>
    <row r="396" spans="1:13" ht="30">
      <c r="A396" s="56">
        <v>180</v>
      </c>
      <c r="B396" s="56">
        <v>180</v>
      </c>
      <c r="C396" s="56">
        <v>180</v>
      </c>
      <c r="D396" s="56" t="s">
        <v>1681</v>
      </c>
      <c r="F396" s="56" t="s">
        <v>24</v>
      </c>
      <c r="G396" s="56">
        <v>1</v>
      </c>
      <c r="H396" s="56">
        <v>1</v>
      </c>
      <c r="I396" s="56">
        <v>1700</v>
      </c>
      <c r="J396" s="59" t="s">
        <v>1181</v>
      </c>
      <c r="K396" s="59">
        <v>1</v>
      </c>
      <c r="L396" s="59">
        <f t="shared" si="6"/>
        <v>1700</v>
      </c>
      <c r="M396" s="59"/>
    </row>
    <row r="397" spans="1:13" ht="30">
      <c r="A397" s="56">
        <v>182</v>
      </c>
      <c r="B397" s="56">
        <v>182</v>
      </c>
      <c r="C397" s="56">
        <v>182</v>
      </c>
      <c r="D397" s="56" t="s">
        <v>45</v>
      </c>
      <c r="F397" s="56" t="s">
        <v>24</v>
      </c>
      <c r="G397" s="56">
        <v>1</v>
      </c>
      <c r="H397" s="56">
        <v>1</v>
      </c>
      <c r="I397" s="56">
        <v>2000</v>
      </c>
      <c r="J397" s="59" t="s">
        <v>1181</v>
      </c>
      <c r="K397" s="59">
        <v>1</v>
      </c>
      <c r="L397" s="59">
        <f t="shared" si="6"/>
        <v>2000</v>
      </c>
      <c r="M397" s="59"/>
    </row>
    <row r="398" spans="1:13" ht="30">
      <c r="A398" s="56">
        <v>185</v>
      </c>
      <c r="B398" s="56">
        <v>185</v>
      </c>
      <c r="C398" s="56">
        <v>185</v>
      </c>
      <c r="D398" s="56" t="s">
        <v>1684</v>
      </c>
      <c r="F398" s="56" t="s">
        <v>24</v>
      </c>
      <c r="G398" s="56">
        <v>1</v>
      </c>
      <c r="H398" s="56">
        <v>1</v>
      </c>
      <c r="I398" s="56">
        <v>2800</v>
      </c>
      <c r="J398" s="59" t="s">
        <v>1181</v>
      </c>
      <c r="K398" s="59">
        <v>1</v>
      </c>
      <c r="L398" s="59">
        <f t="shared" si="6"/>
        <v>2800</v>
      </c>
      <c r="M398" s="59"/>
    </row>
    <row r="399" spans="1:13" ht="30">
      <c r="A399" s="56">
        <v>186</v>
      </c>
      <c r="B399" s="56">
        <v>186</v>
      </c>
      <c r="C399" s="56">
        <v>186</v>
      </c>
      <c r="D399" s="56" t="s">
        <v>1685</v>
      </c>
      <c r="F399" s="56" t="s">
        <v>24</v>
      </c>
      <c r="G399" s="56">
        <v>1</v>
      </c>
      <c r="H399" s="56">
        <v>1</v>
      </c>
      <c r="I399" s="56">
        <v>3800</v>
      </c>
      <c r="J399" s="59" t="s">
        <v>1181</v>
      </c>
      <c r="K399" s="59">
        <v>1</v>
      </c>
      <c r="L399" s="59">
        <f t="shared" si="6"/>
        <v>3800</v>
      </c>
      <c r="M399" s="59"/>
    </row>
    <row r="400" spans="1:13" ht="30">
      <c r="A400" s="56">
        <v>187</v>
      </c>
      <c r="B400" s="56">
        <v>187</v>
      </c>
      <c r="C400" s="56">
        <v>187</v>
      </c>
      <c r="D400" s="56" t="s">
        <v>1686</v>
      </c>
      <c r="F400" s="56" t="s">
        <v>24</v>
      </c>
      <c r="G400" s="56">
        <v>1</v>
      </c>
      <c r="H400" s="56">
        <v>1</v>
      </c>
      <c r="I400" s="56">
        <v>2800</v>
      </c>
      <c r="J400" s="59" t="s">
        <v>1181</v>
      </c>
      <c r="K400" s="59">
        <v>1</v>
      </c>
      <c r="L400" s="59">
        <f t="shared" si="6"/>
        <v>2800</v>
      </c>
      <c r="M400" s="59"/>
    </row>
    <row r="401" spans="1:13" ht="30">
      <c r="A401" s="56">
        <v>193</v>
      </c>
      <c r="B401" s="56">
        <v>193</v>
      </c>
      <c r="C401" s="56">
        <v>193</v>
      </c>
      <c r="D401" s="56" t="s">
        <v>1692</v>
      </c>
      <c r="F401" s="56" t="s">
        <v>24</v>
      </c>
      <c r="G401" s="56">
        <v>1</v>
      </c>
      <c r="H401" s="56">
        <v>1</v>
      </c>
      <c r="I401" s="56">
        <v>2000</v>
      </c>
      <c r="J401" s="59" t="s">
        <v>1181</v>
      </c>
      <c r="K401" s="59">
        <v>1</v>
      </c>
      <c r="L401" s="59">
        <f t="shared" si="6"/>
        <v>2000</v>
      </c>
      <c r="M401" s="59"/>
    </row>
    <row r="402" spans="1:13" ht="30">
      <c r="A402" s="56">
        <v>194</v>
      </c>
      <c r="B402" s="56">
        <v>194</v>
      </c>
      <c r="C402" s="56">
        <v>194</v>
      </c>
      <c r="D402" s="56" t="s">
        <v>1693</v>
      </c>
      <c r="F402" s="56" t="s">
        <v>24</v>
      </c>
      <c r="G402" s="56">
        <v>1</v>
      </c>
      <c r="H402" s="56">
        <v>1</v>
      </c>
      <c r="I402" s="56">
        <v>3200</v>
      </c>
      <c r="J402" s="59" t="s">
        <v>1181</v>
      </c>
      <c r="K402" s="59">
        <v>1</v>
      </c>
      <c r="L402" s="59">
        <f t="shared" si="6"/>
        <v>3200</v>
      </c>
      <c r="M402" s="59"/>
    </row>
    <row r="403" spans="1:13" ht="30">
      <c r="A403" s="56">
        <v>196</v>
      </c>
      <c r="B403" s="56">
        <v>196</v>
      </c>
      <c r="C403" s="56">
        <v>196</v>
      </c>
      <c r="D403" s="56" t="s">
        <v>1695</v>
      </c>
      <c r="F403" s="56" t="s">
        <v>24</v>
      </c>
      <c r="G403" s="56">
        <v>1</v>
      </c>
      <c r="H403" s="56">
        <v>1</v>
      </c>
      <c r="I403" s="56">
        <v>4500</v>
      </c>
      <c r="J403" s="59" t="s">
        <v>1181</v>
      </c>
      <c r="K403" s="59">
        <v>1</v>
      </c>
      <c r="L403" s="59">
        <f t="shared" si="6"/>
        <v>4500</v>
      </c>
      <c r="M403" s="59"/>
    </row>
    <row r="404" spans="1:13" ht="30">
      <c r="A404" s="56">
        <v>198</v>
      </c>
      <c r="B404" s="56">
        <v>198</v>
      </c>
      <c r="C404" s="56">
        <v>198</v>
      </c>
      <c r="D404" s="56" t="s">
        <v>1697</v>
      </c>
      <c r="F404" s="56" t="s">
        <v>24</v>
      </c>
      <c r="G404" s="56">
        <v>1</v>
      </c>
      <c r="H404" s="56">
        <v>1</v>
      </c>
      <c r="I404" s="56">
        <v>1400</v>
      </c>
      <c r="J404" s="59" t="s">
        <v>1181</v>
      </c>
      <c r="K404" s="59">
        <v>1</v>
      </c>
      <c r="L404" s="59">
        <f t="shared" si="6"/>
        <v>1400</v>
      </c>
      <c r="M404" s="59"/>
    </row>
    <row r="405" spans="1:13" ht="30">
      <c r="A405" s="56">
        <v>199</v>
      </c>
      <c r="B405" s="56">
        <v>199</v>
      </c>
      <c r="C405" s="56">
        <v>199</v>
      </c>
      <c r="D405" s="56" t="s">
        <v>1698</v>
      </c>
      <c r="F405" s="56" t="s">
        <v>24</v>
      </c>
      <c r="G405" s="56">
        <v>1</v>
      </c>
      <c r="H405" s="56">
        <v>1</v>
      </c>
      <c r="I405" s="56">
        <v>1800</v>
      </c>
      <c r="J405" s="59" t="s">
        <v>1181</v>
      </c>
      <c r="K405" s="59">
        <v>1</v>
      </c>
      <c r="L405" s="59">
        <f t="shared" si="6"/>
        <v>1800</v>
      </c>
      <c r="M405" s="59"/>
    </row>
    <row r="406" spans="1:13" ht="30">
      <c r="A406" s="56">
        <v>200</v>
      </c>
      <c r="B406" s="56">
        <v>200</v>
      </c>
      <c r="C406" s="56">
        <v>200</v>
      </c>
      <c r="D406" s="56" t="s">
        <v>1699</v>
      </c>
      <c r="F406" s="56" t="s">
        <v>24</v>
      </c>
      <c r="G406" s="56">
        <v>1</v>
      </c>
      <c r="H406" s="56">
        <v>1</v>
      </c>
      <c r="I406" s="56">
        <v>1800</v>
      </c>
      <c r="J406" s="59" t="s">
        <v>1181</v>
      </c>
      <c r="K406" s="59">
        <v>1</v>
      </c>
      <c r="L406" s="59">
        <f t="shared" si="6"/>
        <v>1800</v>
      </c>
      <c r="M406" s="59"/>
    </row>
    <row r="407" spans="1:13" ht="30">
      <c r="A407" s="56">
        <v>201</v>
      </c>
      <c r="B407" s="56">
        <v>201</v>
      </c>
      <c r="C407" s="56">
        <v>201</v>
      </c>
      <c r="D407" s="56" t="s">
        <v>1700</v>
      </c>
      <c r="F407" s="56" t="s">
        <v>24</v>
      </c>
      <c r="G407" s="56">
        <v>1</v>
      </c>
      <c r="H407" s="56">
        <v>1</v>
      </c>
      <c r="I407" s="56">
        <v>2000</v>
      </c>
      <c r="J407" s="59" t="s">
        <v>1181</v>
      </c>
      <c r="K407" s="59">
        <v>1</v>
      </c>
      <c r="L407" s="59">
        <f t="shared" si="6"/>
        <v>2000</v>
      </c>
      <c r="M407" s="59"/>
    </row>
    <row r="408" spans="1:13" ht="30">
      <c r="A408" s="56">
        <v>203</v>
      </c>
      <c r="B408" s="56">
        <v>203</v>
      </c>
      <c r="C408" s="56">
        <v>203</v>
      </c>
      <c r="D408" s="56" t="s">
        <v>1702</v>
      </c>
      <c r="F408" s="56" t="s">
        <v>24</v>
      </c>
      <c r="G408" s="56">
        <v>1</v>
      </c>
      <c r="H408" s="56">
        <v>1</v>
      </c>
      <c r="I408" s="56">
        <v>2400</v>
      </c>
      <c r="J408" s="59" t="s">
        <v>1181</v>
      </c>
      <c r="K408" s="59">
        <v>1</v>
      </c>
      <c r="L408" s="59">
        <f t="shared" si="6"/>
        <v>2400</v>
      </c>
      <c r="M408" s="59"/>
    </row>
    <row r="409" spans="1:13" ht="30">
      <c r="A409" s="56">
        <v>204</v>
      </c>
      <c r="B409" s="56">
        <v>204</v>
      </c>
      <c r="C409" s="56">
        <v>204</v>
      </c>
      <c r="D409" s="56" t="s">
        <v>1703</v>
      </c>
      <c r="F409" s="56" t="s">
        <v>24</v>
      </c>
      <c r="G409" s="56">
        <v>1</v>
      </c>
      <c r="H409" s="56">
        <v>1</v>
      </c>
      <c r="I409" s="56">
        <v>3500</v>
      </c>
      <c r="J409" s="59" t="s">
        <v>1181</v>
      </c>
      <c r="K409" s="59">
        <v>1</v>
      </c>
      <c r="L409" s="59">
        <f t="shared" si="6"/>
        <v>3500</v>
      </c>
      <c r="M409" s="59"/>
    </row>
    <row r="410" spans="1:13" ht="30">
      <c r="A410" s="56">
        <v>205</v>
      </c>
      <c r="B410" s="56">
        <v>205</v>
      </c>
      <c r="C410" s="56">
        <v>205</v>
      </c>
      <c r="D410" s="56" t="s">
        <v>1704</v>
      </c>
      <c r="F410" s="56" t="s">
        <v>24</v>
      </c>
      <c r="G410" s="56">
        <v>1</v>
      </c>
      <c r="H410" s="56">
        <v>1</v>
      </c>
      <c r="I410" s="56">
        <v>1200</v>
      </c>
      <c r="J410" s="59" t="s">
        <v>1181</v>
      </c>
      <c r="K410" s="59">
        <v>1</v>
      </c>
      <c r="L410" s="59">
        <f t="shared" si="6"/>
        <v>1200</v>
      </c>
      <c r="M410" s="59"/>
    </row>
    <row r="411" spans="1:13" ht="30">
      <c r="A411" s="56">
        <v>206</v>
      </c>
      <c r="B411" s="56">
        <v>206</v>
      </c>
      <c r="C411" s="56">
        <v>206</v>
      </c>
      <c r="D411" s="56" t="s">
        <v>1705</v>
      </c>
      <c r="F411" s="56" t="s">
        <v>24</v>
      </c>
      <c r="G411" s="56">
        <v>1</v>
      </c>
      <c r="H411" s="56">
        <v>1</v>
      </c>
      <c r="I411" s="56">
        <v>3800</v>
      </c>
      <c r="J411" s="59" t="s">
        <v>1181</v>
      </c>
      <c r="K411" s="59">
        <v>1</v>
      </c>
      <c r="L411" s="59">
        <f t="shared" si="6"/>
        <v>3800</v>
      </c>
      <c r="M411" s="59"/>
    </row>
    <row r="412" spans="1:13" ht="30">
      <c r="A412" s="56">
        <v>207</v>
      </c>
      <c r="B412" s="56">
        <v>207</v>
      </c>
      <c r="C412" s="56">
        <v>207</v>
      </c>
      <c r="D412" s="56" t="s">
        <v>1648</v>
      </c>
      <c r="F412" s="56" t="s">
        <v>24</v>
      </c>
      <c r="G412" s="56">
        <v>1</v>
      </c>
      <c r="H412" s="56">
        <v>1</v>
      </c>
      <c r="I412" s="56">
        <v>2200</v>
      </c>
      <c r="J412" s="59" t="s">
        <v>1181</v>
      </c>
      <c r="K412" s="59">
        <v>1</v>
      </c>
      <c r="L412" s="59">
        <f t="shared" si="6"/>
        <v>2200</v>
      </c>
      <c r="M412" s="59"/>
    </row>
    <row r="413" spans="1:13" ht="30">
      <c r="A413" s="56">
        <v>208</v>
      </c>
      <c r="B413" s="56">
        <v>208</v>
      </c>
      <c r="C413" s="56">
        <v>208</v>
      </c>
      <c r="D413" s="56" t="s">
        <v>1706</v>
      </c>
      <c r="F413" s="56" t="s">
        <v>24</v>
      </c>
      <c r="G413" s="56">
        <v>1</v>
      </c>
      <c r="H413" s="56">
        <v>1</v>
      </c>
      <c r="I413" s="56">
        <v>1500</v>
      </c>
      <c r="J413" s="59" t="s">
        <v>1181</v>
      </c>
      <c r="K413" s="59">
        <v>1</v>
      </c>
      <c r="L413" s="59">
        <f t="shared" si="6"/>
        <v>1500</v>
      </c>
      <c r="M413" s="59"/>
    </row>
    <row r="414" spans="1:13" ht="30">
      <c r="A414" s="56">
        <v>210</v>
      </c>
      <c r="B414" s="56">
        <v>210</v>
      </c>
      <c r="C414" s="56">
        <v>210</v>
      </c>
      <c r="D414" s="56" t="s">
        <v>47</v>
      </c>
      <c r="F414" s="56" t="s">
        <v>24</v>
      </c>
      <c r="G414" s="56">
        <v>1</v>
      </c>
      <c r="H414" s="56">
        <v>1</v>
      </c>
      <c r="I414" s="56">
        <v>1700</v>
      </c>
      <c r="J414" s="59" t="s">
        <v>1181</v>
      </c>
      <c r="K414" s="59">
        <v>1</v>
      </c>
      <c r="L414" s="59">
        <f t="shared" si="6"/>
        <v>1700</v>
      </c>
      <c r="M414" s="59"/>
    </row>
    <row r="415" spans="1:13" ht="30">
      <c r="A415" s="56">
        <v>211</v>
      </c>
      <c r="B415" s="56">
        <v>211</v>
      </c>
      <c r="C415" s="56">
        <v>211</v>
      </c>
      <c r="D415" s="56" t="s">
        <v>1708</v>
      </c>
      <c r="F415" s="56" t="s">
        <v>24</v>
      </c>
      <c r="G415" s="56">
        <v>1</v>
      </c>
      <c r="H415" s="56">
        <v>1</v>
      </c>
      <c r="I415" s="56">
        <v>3800</v>
      </c>
      <c r="J415" s="59" t="s">
        <v>1181</v>
      </c>
      <c r="K415" s="59">
        <v>1</v>
      </c>
      <c r="L415" s="59">
        <f t="shared" si="6"/>
        <v>3800</v>
      </c>
      <c r="M415" s="59"/>
    </row>
    <row r="416" spans="1:13" ht="30">
      <c r="A416" s="56">
        <v>212</v>
      </c>
      <c r="B416" s="56">
        <v>212</v>
      </c>
      <c r="C416" s="56">
        <v>212</v>
      </c>
      <c r="D416" s="56" t="s">
        <v>1709</v>
      </c>
      <c r="F416" s="56" t="s">
        <v>24</v>
      </c>
      <c r="G416" s="56">
        <v>1</v>
      </c>
      <c r="H416" s="56">
        <v>1</v>
      </c>
      <c r="I416" s="56">
        <v>2200</v>
      </c>
      <c r="J416" s="59" t="s">
        <v>1181</v>
      </c>
      <c r="K416" s="59">
        <v>1</v>
      </c>
      <c r="L416" s="59">
        <f t="shared" si="6"/>
        <v>2200</v>
      </c>
      <c r="M416" s="59"/>
    </row>
    <row r="417" spans="1:13" ht="30">
      <c r="A417" s="56">
        <v>213</v>
      </c>
      <c r="B417" s="56">
        <v>213</v>
      </c>
      <c r="C417" s="56">
        <v>213</v>
      </c>
      <c r="D417" s="56" t="s">
        <v>1710</v>
      </c>
      <c r="F417" s="56" t="s">
        <v>24</v>
      </c>
      <c r="G417" s="56">
        <v>1</v>
      </c>
      <c r="H417" s="56">
        <v>1</v>
      </c>
      <c r="I417" s="56">
        <v>1800</v>
      </c>
      <c r="J417" s="59" t="s">
        <v>1181</v>
      </c>
      <c r="K417" s="59">
        <v>1</v>
      </c>
      <c r="L417" s="59">
        <f t="shared" si="6"/>
        <v>1800</v>
      </c>
      <c r="M417" s="59"/>
    </row>
    <row r="418" spans="1:13" ht="30">
      <c r="A418" s="56">
        <v>217</v>
      </c>
      <c r="B418" s="56">
        <v>217</v>
      </c>
      <c r="C418" s="56">
        <v>217</v>
      </c>
      <c r="D418" s="56" t="s">
        <v>49</v>
      </c>
      <c r="F418" s="56" t="s">
        <v>24</v>
      </c>
      <c r="G418" s="56">
        <v>1</v>
      </c>
      <c r="H418" s="56">
        <v>1</v>
      </c>
      <c r="I418" s="56">
        <v>1500</v>
      </c>
      <c r="J418" s="59" t="s">
        <v>1181</v>
      </c>
      <c r="K418" s="59">
        <v>1</v>
      </c>
      <c r="L418" s="59">
        <f t="shared" si="6"/>
        <v>1500</v>
      </c>
      <c r="M418" s="59"/>
    </row>
    <row r="419" spans="1:13" ht="30">
      <c r="A419" s="56">
        <v>218</v>
      </c>
      <c r="B419" s="56">
        <v>218</v>
      </c>
      <c r="C419" s="56">
        <v>218</v>
      </c>
      <c r="D419" s="56" t="s">
        <v>1713</v>
      </c>
      <c r="F419" s="56" t="s">
        <v>24</v>
      </c>
      <c r="G419" s="56">
        <v>1</v>
      </c>
      <c r="H419" s="56">
        <v>1</v>
      </c>
      <c r="I419" s="56">
        <v>1500</v>
      </c>
      <c r="J419" s="59" t="s">
        <v>1181</v>
      </c>
      <c r="K419" s="59">
        <v>1</v>
      </c>
      <c r="L419" s="59">
        <f t="shared" si="6"/>
        <v>1500</v>
      </c>
      <c r="M419" s="59"/>
    </row>
    <row r="420" spans="1:13" ht="30">
      <c r="A420" s="56">
        <v>219</v>
      </c>
      <c r="B420" s="56">
        <v>219</v>
      </c>
      <c r="C420" s="56">
        <v>219</v>
      </c>
      <c r="D420" s="56" t="s">
        <v>1714</v>
      </c>
      <c r="F420" s="56" t="s">
        <v>24</v>
      </c>
      <c r="G420" s="56">
        <v>1</v>
      </c>
      <c r="H420" s="56">
        <v>1</v>
      </c>
      <c r="I420" s="56">
        <v>1700</v>
      </c>
      <c r="J420" s="59" t="s">
        <v>1181</v>
      </c>
      <c r="K420" s="59">
        <v>1</v>
      </c>
      <c r="L420" s="59">
        <f t="shared" si="6"/>
        <v>1700</v>
      </c>
      <c r="M420" s="59"/>
    </row>
    <row r="421" spans="1:13" ht="30">
      <c r="A421" s="56">
        <v>220</v>
      </c>
      <c r="B421" s="56">
        <v>220</v>
      </c>
      <c r="C421" s="56">
        <v>220</v>
      </c>
      <c r="D421" s="56" t="s">
        <v>1715</v>
      </c>
      <c r="F421" s="56" t="s">
        <v>24</v>
      </c>
      <c r="G421" s="56">
        <v>1</v>
      </c>
      <c r="H421" s="56">
        <v>1</v>
      </c>
      <c r="I421" s="56">
        <v>2400</v>
      </c>
      <c r="J421" s="59" t="s">
        <v>1181</v>
      </c>
      <c r="K421" s="59">
        <v>1</v>
      </c>
      <c r="L421" s="59">
        <f t="shared" si="6"/>
        <v>2400</v>
      </c>
      <c r="M421" s="59"/>
    </row>
    <row r="422" spans="1:13" ht="30">
      <c r="A422" s="56">
        <v>221</v>
      </c>
      <c r="B422" s="56">
        <v>221</v>
      </c>
      <c r="C422" s="56">
        <v>221</v>
      </c>
      <c r="D422" s="56" t="s">
        <v>1716</v>
      </c>
      <c r="F422" s="56" t="s">
        <v>24</v>
      </c>
      <c r="G422" s="56">
        <v>1</v>
      </c>
      <c r="H422" s="56">
        <v>1</v>
      </c>
      <c r="I422" s="56">
        <v>1200</v>
      </c>
      <c r="J422" s="59" t="s">
        <v>1181</v>
      </c>
      <c r="K422" s="59">
        <v>1</v>
      </c>
      <c r="L422" s="59">
        <f t="shared" si="6"/>
        <v>1200</v>
      </c>
      <c r="M422" s="59"/>
    </row>
    <row r="423" spans="1:13" ht="30">
      <c r="A423" s="56">
        <v>222</v>
      </c>
      <c r="B423" s="56">
        <v>222</v>
      </c>
      <c r="C423" s="56">
        <v>222</v>
      </c>
      <c r="D423" s="56" t="s">
        <v>1717</v>
      </c>
      <c r="F423" s="56" t="s">
        <v>24</v>
      </c>
      <c r="G423" s="56">
        <v>1</v>
      </c>
      <c r="H423" s="56">
        <v>1</v>
      </c>
      <c r="I423" s="56">
        <v>2000</v>
      </c>
      <c r="J423" s="59" t="s">
        <v>1181</v>
      </c>
      <c r="K423" s="59">
        <v>1</v>
      </c>
      <c r="L423" s="59">
        <f t="shared" si="6"/>
        <v>2000</v>
      </c>
      <c r="M423" s="59"/>
    </row>
    <row r="424" spans="1:13" ht="30">
      <c r="A424" s="56">
        <v>223</v>
      </c>
      <c r="B424" s="56">
        <v>223</v>
      </c>
      <c r="C424" s="56">
        <v>223</v>
      </c>
      <c r="D424" s="56" t="s">
        <v>1718</v>
      </c>
      <c r="F424" s="56" t="s">
        <v>24</v>
      </c>
      <c r="G424" s="56">
        <v>1</v>
      </c>
      <c r="H424" s="56">
        <v>1</v>
      </c>
      <c r="I424" s="56">
        <v>2700</v>
      </c>
      <c r="J424" s="59" t="s">
        <v>1181</v>
      </c>
      <c r="K424" s="59">
        <v>1</v>
      </c>
      <c r="L424" s="59">
        <f t="shared" si="6"/>
        <v>2700</v>
      </c>
      <c r="M424" s="59"/>
    </row>
    <row r="425" spans="1:13" ht="30">
      <c r="A425" s="56">
        <v>224</v>
      </c>
      <c r="B425" s="56">
        <v>224</v>
      </c>
      <c r="C425" s="56">
        <v>224</v>
      </c>
      <c r="D425" s="56" t="s">
        <v>1719</v>
      </c>
      <c r="F425" s="56" t="s">
        <v>24</v>
      </c>
      <c r="G425" s="56">
        <v>1</v>
      </c>
      <c r="H425" s="56">
        <v>1</v>
      </c>
      <c r="I425" s="56">
        <v>2200</v>
      </c>
      <c r="J425" s="59" t="s">
        <v>1181</v>
      </c>
      <c r="K425" s="59">
        <v>1</v>
      </c>
      <c r="L425" s="59">
        <f t="shared" si="6"/>
        <v>2200</v>
      </c>
      <c r="M425" s="59"/>
    </row>
    <row r="426" spans="1:13" ht="30">
      <c r="A426" s="56">
        <v>225</v>
      </c>
      <c r="B426" s="56">
        <v>225</v>
      </c>
      <c r="C426" s="56">
        <v>225</v>
      </c>
      <c r="D426" s="56" t="s">
        <v>1720</v>
      </c>
      <c r="F426" s="56" t="s">
        <v>24</v>
      </c>
      <c r="G426" s="56">
        <v>1</v>
      </c>
      <c r="H426" s="56">
        <v>1</v>
      </c>
      <c r="I426" s="56">
        <v>800</v>
      </c>
      <c r="J426" s="59" t="s">
        <v>1181</v>
      </c>
      <c r="K426" s="59">
        <v>1</v>
      </c>
      <c r="L426" s="59">
        <f t="shared" si="6"/>
        <v>800</v>
      </c>
      <c r="M426" s="59"/>
    </row>
    <row r="427" spans="1:13" ht="30">
      <c r="A427" s="56">
        <v>226</v>
      </c>
      <c r="B427" s="56">
        <v>226</v>
      </c>
      <c r="C427" s="56">
        <v>226</v>
      </c>
      <c r="D427" s="56" t="s">
        <v>1721</v>
      </c>
      <c r="F427" s="56" t="s">
        <v>24</v>
      </c>
      <c r="G427" s="56">
        <v>1</v>
      </c>
      <c r="H427" s="56">
        <v>1</v>
      </c>
      <c r="I427" s="56">
        <v>1800</v>
      </c>
      <c r="J427" s="59" t="s">
        <v>1181</v>
      </c>
      <c r="K427" s="59">
        <v>1</v>
      </c>
      <c r="L427" s="59">
        <f t="shared" si="6"/>
        <v>1800</v>
      </c>
      <c r="M427" s="59"/>
    </row>
    <row r="428" spans="1:13" ht="30">
      <c r="A428" s="56">
        <v>227</v>
      </c>
      <c r="B428" s="56">
        <v>227</v>
      </c>
      <c r="C428" s="56">
        <v>227</v>
      </c>
      <c r="D428" s="56" t="s">
        <v>1722</v>
      </c>
      <c r="F428" s="56" t="s">
        <v>24</v>
      </c>
      <c r="G428" s="56">
        <v>1</v>
      </c>
      <c r="H428" s="56">
        <v>1</v>
      </c>
      <c r="I428" s="56">
        <v>1200</v>
      </c>
      <c r="J428" s="59" t="s">
        <v>1181</v>
      </c>
      <c r="K428" s="59">
        <v>1</v>
      </c>
      <c r="L428" s="59">
        <f t="shared" si="6"/>
        <v>1200</v>
      </c>
      <c r="M428" s="59"/>
    </row>
    <row r="429" spans="1:13" ht="30">
      <c r="A429" s="56">
        <v>228</v>
      </c>
      <c r="B429" s="56">
        <v>228</v>
      </c>
      <c r="C429" s="56">
        <v>228</v>
      </c>
      <c r="D429" s="56" t="s">
        <v>1723</v>
      </c>
      <c r="F429" s="56" t="s">
        <v>24</v>
      </c>
      <c r="G429" s="56">
        <v>1</v>
      </c>
      <c r="H429" s="56">
        <v>1</v>
      </c>
      <c r="I429" s="56">
        <v>2400</v>
      </c>
      <c r="J429" s="59" t="s">
        <v>1181</v>
      </c>
      <c r="K429" s="59">
        <v>1</v>
      </c>
      <c r="L429" s="59">
        <f t="shared" si="6"/>
        <v>2400</v>
      </c>
      <c r="M429" s="59"/>
    </row>
    <row r="430" spans="1:13" ht="30">
      <c r="A430" s="56">
        <v>230</v>
      </c>
      <c r="B430" s="56">
        <v>230</v>
      </c>
      <c r="C430" s="56">
        <v>230</v>
      </c>
      <c r="D430" s="56" t="s">
        <v>1725</v>
      </c>
      <c r="F430" s="56" t="s">
        <v>24</v>
      </c>
      <c r="G430" s="56">
        <v>1</v>
      </c>
      <c r="H430" s="56">
        <v>1</v>
      </c>
      <c r="I430" s="56">
        <v>1800</v>
      </c>
      <c r="J430" s="59" t="s">
        <v>1181</v>
      </c>
      <c r="K430" s="59">
        <v>1</v>
      </c>
      <c r="L430" s="59">
        <f t="shared" si="6"/>
        <v>1800</v>
      </c>
      <c r="M430" s="59"/>
    </row>
    <row r="431" spans="1:13" ht="30">
      <c r="A431" s="56">
        <v>231</v>
      </c>
      <c r="B431" s="56">
        <v>231</v>
      </c>
      <c r="C431" s="56">
        <v>231</v>
      </c>
      <c r="D431" s="56" t="s">
        <v>50</v>
      </c>
      <c r="F431" s="56" t="s">
        <v>24</v>
      </c>
      <c r="G431" s="56">
        <v>1</v>
      </c>
      <c r="H431" s="56">
        <v>1</v>
      </c>
      <c r="I431" s="56">
        <v>1200</v>
      </c>
      <c r="J431" s="59" t="s">
        <v>1181</v>
      </c>
      <c r="K431" s="59">
        <v>1</v>
      </c>
      <c r="L431" s="59">
        <f t="shared" si="6"/>
        <v>1200</v>
      </c>
      <c r="M431" s="59"/>
    </row>
    <row r="432" spans="1:13" ht="30">
      <c r="A432" s="56">
        <v>232</v>
      </c>
      <c r="B432" s="56">
        <v>232</v>
      </c>
      <c r="C432" s="56">
        <v>232</v>
      </c>
      <c r="D432" s="56" t="s">
        <v>1726</v>
      </c>
      <c r="F432" s="56" t="s">
        <v>24</v>
      </c>
      <c r="G432" s="56">
        <v>1</v>
      </c>
      <c r="H432" s="56">
        <v>1</v>
      </c>
      <c r="I432" s="56">
        <v>3800</v>
      </c>
      <c r="J432" s="59" t="s">
        <v>1181</v>
      </c>
      <c r="K432" s="59">
        <v>1</v>
      </c>
      <c r="L432" s="59">
        <f t="shared" si="6"/>
        <v>3800</v>
      </c>
      <c r="M432" s="59"/>
    </row>
    <row r="433" spans="1:14" ht="30">
      <c r="A433" s="56">
        <v>233</v>
      </c>
      <c r="B433" s="56">
        <v>233</v>
      </c>
      <c r="C433" s="56">
        <v>233</v>
      </c>
      <c r="D433" s="56" t="s">
        <v>1702</v>
      </c>
      <c r="F433" s="56" t="s">
        <v>24</v>
      </c>
      <c r="G433" s="56">
        <v>1</v>
      </c>
      <c r="H433" s="56">
        <v>1</v>
      </c>
      <c r="I433" s="56">
        <v>2400</v>
      </c>
      <c r="J433" s="59" t="s">
        <v>1181</v>
      </c>
      <c r="K433" s="59">
        <v>1</v>
      </c>
      <c r="L433" s="59">
        <f t="shared" si="6"/>
        <v>2400</v>
      </c>
      <c r="M433" s="59"/>
    </row>
    <row r="434" spans="1:14" ht="30">
      <c r="A434" s="56">
        <v>234</v>
      </c>
      <c r="B434" s="56">
        <v>234</v>
      </c>
      <c r="C434" s="56">
        <v>234</v>
      </c>
      <c r="D434" s="56" t="s">
        <v>1727</v>
      </c>
      <c r="F434" s="56" t="s">
        <v>24</v>
      </c>
      <c r="G434" s="56">
        <v>1</v>
      </c>
      <c r="H434" s="56">
        <v>1</v>
      </c>
      <c r="I434" s="56">
        <v>2000</v>
      </c>
      <c r="J434" s="59" t="s">
        <v>1181</v>
      </c>
      <c r="K434" s="59">
        <v>1</v>
      </c>
      <c r="L434" s="59">
        <f t="shared" si="6"/>
        <v>2000</v>
      </c>
      <c r="M434" s="59"/>
    </row>
    <row r="435" spans="1:14" ht="30">
      <c r="A435" s="56">
        <v>235</v>
      </c>
      <c r="B435" s="56">
        <v>235</v>
      </c>
      <c r="C435" s="56">
        <v>235</v>
      </c>
      <c r="D435" s="56" t="s">
        <v>1728</v>
      </c>
      <c r="F435" s="56" t="s">
        <v>24</v>
      </c>
      <c r="G435" s="56">
        <v>1</v>
      </c>
      <c r="H435" s="56">
        <v>1</v>
      </c>
      <c r="I435" s="56">
        <v>1500</v>
      </c>
      <c r="J435" s="59" t="s">
        <v>1181</v>
      </c>
      <c r="K435" s="59">
        <v>1</v>
      </c>
      <c r="L435" s="59">
        <f t="shared" si="6"/>
        <v>1500</v>
      </c>
      <c r="M435" s="59"/>
    </row>
    <row r="436" spans="1:14" ht="30">
      <c r="A436" s="56">
        <v>237</v>
      </c>
      <c r="B436" s="56">
        <v>237</v>
      </c>
      <c r="C436" s="56">
        <v>237</v>
      </c>
      <c r="D436" s="56" t="s">
        <v>1730</v>
      </c>
      <c r="F436" s="56" t="s">
        <v>24</v>
      </c>
      <c r="G436" s="56">
        <v>1</v>
      </c>
      <c r="H436" s="56">
        <v>1</v>
      </c>
      <c r="I436" s="56">
        <v>800</v>
      </c>
      <c r="J436" s="59" t="s">
        <v>1181</v>
      </c>
      <c r="K436" s="59">
        <v>1</v>
      </c>
      <c r="L436" s="59">
        <f t="shared" si="6"/>
        <v>800</v>
      </c>
      <c r="M436" s="59"/>
    </row>
    <row r="437" spans="1:14" ht="30">
      <c r="A437" s="56">
        <v>238</v>
      </c>
      <c r="B437" s="56">
        <v>238</v>
      </c>
      <c r="C437" s="56">
        <v>238</v>
      </c>
      <c r="D437" s="56" t="s">
        <v>1731</v>
      </c>
      <c r="F437" s="56" t="s">
        <v>24</v>
      </c>
      <c r="G437" s="56">
        <v>1</v>
      </c>
      <c r="H437" s="56">
        <v>1</v>
      </c>
      <c r="I437" s="56">
        <v>1500</v>
      </c>
      <c r="J437" s="59" t="s">
        <v>1181</v>
      </c>
      <c r="K437" s="59">
        <v>1</v>
      </c>
      <c r="L437" s="59">
        <f t="shared" si="6"/>
        <v>1500</v>
      </c>
      <c r="M437" s="59"/>
    </row>
    <row r="438" spans="1:14" ht="30">
      <c r="A438" s="56">
        <v>239</v>
      </c>
      <c r="B438" s="56">
        <v>239</v>
      </c>
      <c r="C438" s="56">
        <v>239</v>
      </c>
      <c r="D438" s="56" t="s">
        <v>1732</v>
      </c>
      <c r="F438" s="56" t="s">
        <v>24</v>
      </c>
      <c r="G438" s="56">
        <v>1</v>
      </c>
      <c r="H438" s="56">
        <v>1</v>
      </c>
      <c r="I438" s="56">
        <v>1500</v>
      </c>
      <c r="J438" s="59" t="s">
        <v>1181</v>
      </c>
      <c r="K438" s="59">
        <v>1</v>
      </c>
      <c r="L438" s="59">
        <f t="shared" si="6"/>
        <v>1500</v>
      </c>
      <c r="M438" s="59"/>
    </row>
    <row r="439" spans="1:14" ht="30">
      <c r="A439" s="56">
        <v>240</v>
      </c>
      <c r="B439" s="56">
        <v>240</v>
      </c>
      <c r="C439" s="56">
        <v>240</v>
      </c>
      <c r="D439" s="56" t="s">
        <v>1733</v>
      </c>
      <c r="F439" s="56" t="s">
        <v>24</v>
      </c>
      <c r="G439" s="56">
        <v>1</v>
      </c>
      <c r="H439" s="56">
        <v>1</v>
      </c>
      <c r="I439" s="56">
        <v>1000</v>
      </c>
      <c r="J439" s="59" t="s">
        <v>1181</v>
      </c>
      <c r="K439" s="59">
        <v>1</v>
      </c>
      <c r="L439" s="59">
        <f t="shared" si="6"/>
        <v>1000</v>
      </c>
      <c r="M439" s="59"/>
    </row>
    <row r="440" spans="1:14" ht="30">
      <c r="A440" s="56">
        <v>242</v>
      </c>
      <c r="B440" s="56">
        <v>242</v>
      </c>
      <c r="C440" s="56">
        <v>242</v>
      </c>
      <c r="D440" s="56" t="s">
        <v>1735</v>
      </c>
      <c r="F440" s="56" t="s">
        <v>24</v>
      </c>
      <c r="G440" s="56">
        <v>1</v>
      </c>
      <c r="H440" s="56">
        <v>1</v>
      </c>
      <c r="I440" s="56">
        <v>1650</v>
      </c>
      <c r="J440" s="59" t="s">
        <v>1181</v>
      </c>
      <c r="K440" s="59">
        <v>1</v>
      </c>
      <c r="L440" s="59">
        <f t="shared" si="6"/>
        <v>1650</v>
      </c>
      <c r="M440" s="59"/>
    </row>
    <row r="441" spans="1:14" ht="30">
      <c r="A441" s="56">
        <v>243</v>
      </c>
      <c r="B441" s="56">
        <v>243</v>
      </c>
      <c r="C441" s="56">
        <v>243</v>
      </c>
      <c r="D441" s="56" t="s">
        <v>1691</v>
      </c>
      <c r="F441" s="56" t="s">
        <v>24</v>
      </c>
      <c r="G441" s="56">
        <v>1</v>
      </c>
      <c r="H441" s="56">
        <v>1</v>
      </c>
      <c r="I441" s="56">
        <v>1500</v>
      </c>
      <c r="J441" s="59" t="s">
        <v>1181</v>
      </c>
      <c r="K441" s="59">
        <v>1</v>
      </c>
      <c r="L441" s="59">
        <f t="shared" si="6"/>
        <v>1500</v>
      </c>
      <c r="M441" s="59"/>
    </row>
    <row r="442" spans="1:14" ht="30">
      <c r="A442" s="56">
        <v>244</v>
      </c>
      <c r="B442" s="56">
        <v>244</v>
      </c>
      <c r="C442" s="56">
        <v>244</v>
      </c>
      <c r="D442" s="56" t="s">
        <v>51</v>
      </c>
      <c r="F442" s="56" t="s">
        <v>24</v>
      </c>
      <c r="G442" s="56">
        <v>1</v>
      </c>
      <c r="H442" s="56">
        <v>1</v>
      </c>
      <c r="I442" s="56">
        <v>1200</v>
      </c>
      <c r="J442" s="59" t="s">
        <v>1181</v>
      </c>
      <c r="K442" s="59">
        <v>1</v>
      </c>
      <c r="L442" s="59">
        <f t="shared" si="6"/>
        <v>1200</v>
      </c>
      <c r="M442" s="59"/>
    </row>
    <row r="443" spans="1:14" ht="30">
      <c r="A443" s="56">
        <v>246</v>
      </c>
      <c r="B443" s="56">
        <v>246</v>
      </c>
      <c r="C443" s="56">
        <v>246</v>
      </c>
      <c r="D443" s="56" t="s">
        <v>52</v>
      </c>
      <c r="F443" s="56" t="s">
        <v>24</v>
      </c>
      <c r="G443" s="56">
        <v>1</v>
      </c>
      <c r="H443" s="56">
        <v>1</v>
      </c>
      <c r="I443" s="56">
        <v>1500</v>
      </c>
      <c r="J443" s="59" t="s">
        <v>1181</v>
      </c>
      <c r="K443" s="59">
        <v>1</v>
      </c>
      <c r="L443" s="59">
        <f t="shared" si="6"/>
        <v>1500</v>
      </c>
      <c r="M443" s="59"/>
    </row>
    <row r="444" spans="1:14" ht="30">
      <c r="A444" s="56">
        <v>247</v>
      </c>
      <c r="B444" s="56">
        <v>247</v>
      </c>
      <c r="C444" s="56">
        <v>247</v>
      </c>
      <c r="D444" s="56" t="s">
        <v>1737</v>
      </c>
      <c r="F444" s="56" t="s">
        <v>24</v>
      </c>
      <c r="G444" s="56">
        <v>1</v>
      </c>
      <c r="H444" s="56">
        <v>1</v>
      </c>
      <c r="I444" s="56">
        <v>1500</v>
      </c>
      <c r="J444" s="59" t="s">
        <v>1181</v>
      </c>
      <c r="K444" s="59">
        <v>1</v>
      </c>
      <c r="L444" s="59">
        <f t="shared" si="6"/>
        <v>1500</v>
      </c>
      <c r="M444" s="59"/>
    </row>
    <row r="445" spans="1:14" ht="30">
      <c r="A445" s="56">
        <v>251</v>
      </c>
      <c r="B445" s="56">
        <v>251</v>
      </c>
      <c r="C445" s="56">
        <v>251</v>
      </c>
      <c r="D445" s="56" t="s">
        <v>1741</v>
      </c>
      <c r="F445" s="56" t="s">
        <v>24</v>
      </c>
      <c r="G445" s="56">
        <v>1</v>
      </c>
      <c r="H445" s="56">
        <v>1</v>
      </c>
      <c r="I445" s="56">
        <v>450</v>
      </c>
      <c r="J445" s="59" t="s">
        <v>1181</v>
      </c>
      <c r="K445" s="59">
        <v>1</v>
      </c>
      <c r="L445" s="59">
        <f t="shared" si="6"/>
        <v>450</v>
      </c>
      <c r="M445" s="59"/>
    </row>
    <row r="446" spans="1:14" ht="30">
      <c r="A446" s="56">
        <v>253</v>
      </c>
      <c r="B446" s="56">
        <v>253</v>
      </c>
      <c r="C446" s="56">
        <v>253</v>
      </c>
      <c r="D446" s="56" t="s">
        <v>1743</v>
      </c>
      <c r="F446" s="56" t="s">
        <v>24</v>
      </c>
      <c r="G446" s="56">
        <v>1</v>
      </c>
      <c r="H446" s="56">
        <v>1</v>
      </c>
      <c r="I446" s="56">
        <v>600</v>
      </c>
      <c r="J446" s="59" t="s">
        <v>1181</v>
      </c>
      <c r="K446" s="59">
        <v>1</v>
      </c>
      <c r="L446" s="59">
        <f t="shared" si="6"/>
        <v>600</v>
      </c>
      <c r="M446" s="59"/>
    </row>
    <row r="447" spans="1:14" ht="30">
      <c r="A447" s="56">
        <v>256</v>
      </c>
      <c r="B447" s="56">
        <v>256</v>
      </c>
      <c r="C447" s="56">
        <v>256</v>
      </c>
      <c r="D447" s="56" t="s">
        <v>1746</v>
      </c>
      <c r="F447" s="56" t="s">
        <v>24</v>
      </c>
      <c r="G447" s="56">
        <v>1</v>
      </c>
      <c r="H447" s="56">
        <v>1</v>
      </c>
      <c r="I447" s="56">
        <v>1200</v>
      </c>
      <c r="J447" s="59" t="s">
        <v>1181</v>
      </c>
      <c r="K447" s="59">
        <v>1</v>
      </c>
      <c r="L447" s="59">
        <f t="shared" si="6"/>
        <v>1200</v>
      </c>
      <c r="M447" s="59"/>
    </row>
    <row r="448" spans="1:14" ht="30">
      <c r="A448" s="56">
        <v>258</v>
      </c>
      <c r="B448" s="56">
        <v>258</v>
      </c>
      <c r="C448" s="56">
        <v>258</v>
      </c>
      <c r="D448" s="56" t="s">
        <v>1487</v>
      </c>
      <c r="F448" s="58" t="s">
        <v>24</v>
      </c>
      <c r="G448" s="58">
        <v>1</v>
      </c>
      <c r="H448" s="58">
        <v>1</v>
      </c>
      <c r="I448" s="56">
        <v>65</v>
      </c>
      <c r="J448" s="59" t="s">
        <v>1181</v>
      </c>
      <c r="K448" s="59">
        <v>1</v>
      </c>
      <c r="L448" s="59">
        <f t="shared" si="6"/>
        <v>65</v>
      </c>
      <c r="M448" s="59"/>
      <c r="N448" s="58"/>
    </row>
    <row r="449" spans="1:13" ht="30">
      <c r="A449" s="56">
        <v>265</v>
      </c>
      <c r="B449" s="56">
        <v>265</v>
      </c>
      <c r="C449" s="56">
        <v>265</v>
      </c>
      <c r="D449" s="56" t="s">
        <v>1751</v>
      </c>
      <c r="F449" s="56" t="s">
        <v>24</v>
      </c>
      <c r="G449" s="56">
        <v>1</v>
      </c>
      <c r="H449" s="56">
        <v>1</v>
      </c>
      <c r="I449" s="56">
        <v>850</v>
      </c>
      <c r="J449" s="59" t="s">
        <v>1181</v>
      </c>
      <c r="K449" s="59">
        <v>1</v>
      </c>
      <c r="L449" s="59">
        <f t="shared" si="6"/>
        <v>850</v>
      </c>
      <c r="M449" s="59"/>
    </row>
    <row r="450" spans="1:13" ht="30">
      <c r="A450" s="56">
        <v>270</v>
      </c>
      <c r="B450" s="56">
        <v>270</v>
      </c>
      <c r="C450" s="56">
        <v>270</v>
      </c>
      <c r="D450" s="56" t="s">
        <v>1755</v>
      </c>
      <c r="F450" s="56" t="s">
        <v>24</v>
      </c>
      <c r="G450" s="56">
        <v>1</v>
      </c>
      <c r="H450" s="56">
        <v>1</v>
      </c>
      <c r="I450" s="56">
        <v>400</v>
      </c>
      <c r="J450" s="59" t="s">
        <v>1181</v>
      </c>
      <c r="K450" s="59">
        <v>1</v>
      </c>
      <c r="L450" s="59">
        <f t="shared" ref="L450:L513" si="7">H450*I450</f>
        <v>400</v>
      </c>
      <c r="M450" s="59"/>
    </row>
    <row r="451" spans="1:13" ht="30">
      <c r="A451" s="56">
        <v>271</v>
      </c>
      <c r="B451" s="56">
        <v>271</v>
      </c>
      <c r="C451" s="56">
        <v>271</v>
      </c>
      <c r="D451" s="56" t="s">
        <v>53</v>
      </c>
      <c r="F451" s="56" t="s">
        <v>24</v>
      </c>
      <c r="G451" s="56">
        <v>1</v>
      </c>
      <c r="H451" s="56">
        <v>1</v>
      </c>
      <c r="I451" s="56">
        <v>700</v>
      </c>
      <c r="J451" s="59" t="s">
        <v>1181</v>
      </c>
      <c r="K451" s="59">
        <v>1</v>
      </c>
      <c r="L451" s="59">
        <f t="shared" si="7"/>
        <v>700</v>
      </c>
      <c r="M451" s="59"/>
    </row>
    <row r="452" spans="1:13" ht="30">
      <c r="A452" s="56">
        <v>272</v>
      </c>
      <c r="B452" s="56">
        <v>272</v>
      </c>
      <c r="C452" s="56">
        <v>272</v>
      </c>
      <c r="D452" s="56" t="s">
        <v>1756</v>
      </c>
      <c r="F452" s="56" t="s">
        <v>24</v>
      </c>
      <c r="G452" s="56">
        <v>1</v>
      </c>
      <c r="H452" s="56">
        <v>1</v>
      </c>
      <c r="I452" s="56">
        <v>700</v>
      </c>
      <c r="J452" s="59" t="s">
        <v>1181</v>
      </c>
      <c r="K452" s="59">
        <v>1</v>
      </c>
      <c r="L452" s="59">
        <f t="shared" si="7"/>
        <v>700</v>
      </c>
      <c r="M452" s="59"/>
    </row>
    <row r="453" spans="1:13" ht="30">
      <c r="A453" s="56">
        <v>274</v>
      </c>
      <c r="B453" s="56">
        <v>274</v>
      </c>
      <c r="C453" s="56">
        <v>274</v>
      </c>
      <c r="D453" s="56" t="s">
        <v>1757</v>
      </c>
      <c r="F453" s="56" t="s">
        <v>24</v>
      </c>
      <c r="G453" s="56">
        <v>1</v>
      </c>
      <c r="H453" s="56">
        <v>1</v>
      </c>
      <c r="I453" s="56">
        <v>450</v>
      </c>
      <c r="J453" s="59" t="s">
        <v>1181</v>
      </c>
      <c r="K453" s="59">
        <v>1</v>
      </c>
      <c r="L453" s="59">
        <f t="shared" si="7"/>
        <v>450</v>
      </c>
      <c r="M453" s="59"/>
    </row>
    <row r="454" spans="1:13" ht="30">
      <c r="A454" s="56">
        <v>275</v>
      </c>
      <c r="B454" s="56">
        <v>275</v>
      </c>
      <c r="C454" s="56">
        <v>275</v>
      </c>
      <c r="D454" s="56" t="s">
        <v>1758</v>
      </c>
      <c r="F454" s="56" t="s">
        <v>24</v>
      </c>
      <c r="G454" s="56">
        <v>1</v>
      </c>
      <c r="H454" s="56">
        <v>1</v>
      </c>
      <c r="I454" s="56">
        <v>450</v>
      </c>
      <c r="J454" s="59" t="s">
        <v>1181</v>
      </c>
      <c r="K454" s="59">
        <v>1</v>
      </c>
      <c r="L454" s="59">
        <f t="shared" si="7"/>
        <v>450</v>
      </c>
      <c r="M454" s="59"/>
    </row>
    <row r="455" spans="1:13" ht="30">
      <c r="A455" s="56">
        <v>276</v>
      </c>
      <c r="B455" s="56">
        <v>276</v>
      </c>
      <c r="C455" s="56">
        <v>276</v>
      </c>
      <c r="D455" s="56" t="s">
        <v>1759</v>
      </c>
      <c r="F455" s="56" t="s">
        <v>24</v>
      </c>
      <c r="G455" s="56">
        <v>1</v>
      </c>
      <c r="H455" s="56">
        <v>1</v>
      </c>
      <c r="I455" s="56">
        <v>400</v>
      </c>
      <c r="J455" s="59" t="s">
        <v>1181</v>
      </c>
      <c r="K455" s="59">
        <v>1</v>
      </c>
      <c r="L455" s="59">
        <f t="shared" si="7"/>
        <v>400</v>
      </c>
      <c r="M455" s="59"/>
    </row>
    <row r="456" spans="1:13" ht="30">
      <c r="A456" s="56">
        <v>279</v>
      </c>
      <c r="B456" s="56">
        <v>279</v>
      </c>
      <c r="C456" s="56">
        <v>279</v>
      </c>
      <c r="D456" s="56" t="s">
        <v>1762</v>
      </c>
      <c r="F456" s="56" t="s">
        <v>1185</v>
      </c>
      <c r="G456" s="56">
        <v>1</v>
      </c>
      <c r="H456" s="56">
        <v>1</v>
      </c>
      <c r="I456" s="56">
        <v>200</v>
      </c>
      <c r="J456" s="59" t="s">
        <v>1181</v>
      </c>
      <c r="K456" s="59">
        <v>1</v>
      </c>
      <c r="L456" s="59">
        <f t="shared" si="7"/>
        <v>200</v>
      </c>
      <c r="M456" s="59"/>
    </row>
    <row r="457" spans="1:13" ht="30">
      <c r="A457" s="56">
        <v>284</v>
      </c>
      <c r="B457" s="56">
        <v>284</v>
      </c>
      <c r="C457" s="56">
        <v>284</v>
      </c>
      <c r="D457" s="56" t="s">
        <v>1764</v>
      </c>
      <c r="F457" s="56" t="s">
        <v>24</v>
      </c>
      <c r="G457" s="56">
        <v>1</v>
      </c>
      <c r="H457" s="56">
        <v>1</v>
      </c>
      <c r="I457" s="56">
        <v>1100</v>
      </c>
      <c r="J457" s="59" t="s">
        <v>1181</v>
      </c>
      <c r="K457" s="59">
        <v>1</v>
      </c>
      <c r="L457" s="59">
        <f t="shared" si="7"/>
        <v>1100</v>
      </c>
      <c r="M457" s="59"/>
    </row>
    <row r="458" spans="1:13" ht="30">
      <c r="A458" s="56">
        <v>286</v>
      </c>
      <c r="B458" s="56">
        <v>286</v>
      </c>
      <c r="C458" s="56">
        <v>286</v>
      </c>
      <c r="D458" s="56" t="s">
        <v>1766</v>
      </c>
      <c r="F458" s="56" t="s">
        <v>24</v>
      </c>
      <c r="G458" s="56">
        <v>1</v>
      </c>
      <c r="H458" s="56">
        <v>1</v>
      </c>
      <c r="I458" s="56">
        <v>900</v>
      </c>
      <c r="J458" s="59" t="s">
        <v>1181</v>
      </c>
      <c r="K458" s="59">
        <v>1</v>
      </c>
      <c r="L458" s="59">
        <f t="shared" si="7"/>
        <v>900</v>
      </c>
      <c r="M458" s="59"/>
    </row>
    <row r="459" spans="1:13" ht="30">
      <c r="A459" s="56">
        <v>287</v>
      </c>
      <c r="B459" s="56">
        <v>287</v>
      </c>
      <c r="C459" s="56">
        <v>287</v>
      </c>
      <c r="D459" s="56" t="s">
        <v>1767</v>
      </c>
      <c r="F459" s="56" t="s">
        <v>24</v>
      </c>
      <c r="G459" s="56">
        <v>1</v>
      </c>
      <c r="H459" s="56">
        <v>1</v>
      </c>
      <c r="I459" s="56">
        <v>180</v>
      </c>
      <c r="J459" s="59" t="s">
        <v>1181</v>
      </c>
      <c r="K459" s="59">
        <v>1</v>
      </c>
      <c r="L459" s="59">
        <f t="shared" si="7"/>
        <v>180</v>
      </c>
      <c r="M459" s="59"/>
    </row>
    <row r="460" spans="1:13" ht="30">
      <c r="A460" s="56">
        <v>288</v>
      </c>
      <c r="B460" s="56">
        <v>288</v>
      </c>
      <c r="C460" s="56">
        <v>288</v>
      </c>
      <c r="D460" s="56" t="s">
        <v>55</v>
      </c>
      <c r="F460" s="56" t="s">
        <v>24</v>
      </c>
      <c r="G460" s="56">
        <v>1</v>
      </c>
      <c r="H460" s="56">
        <v>1</v>
      </c>
      <c r="I460" s="56">
        <v>1500</v>
      </c>
      <c r="J460" s="59" t="s">
        <v>1181</v>
      </c>
      <c r="K460" s="59">
        <v>1</v>
      </c>
      <c r="L460" s="59">
        <f t="shared" si="7"/>
        <v>1500</v>
      </c>
      <c r="M460" s="59"/>
    </row>
    <row r="461" spans="1:13" ht="30">
      <c r="A461" s="56">
        <v>289</v>
      </c>
      <c r="B461" s="56">
        <v>289</v>
      </c>
      <c r="C461" s="56">
        <v>289</v>
      </c>
      <c r="D461" s="56" t="s">
        <v>1768</v>
      </c>
      <c r="F461" s="56" t="s">
        <v>24</v>
      </c>
      <c r="G461" s="56">
        <v>1</v>
      </c>
      <c r="H461" s="56">
        <v>1</v>
      </c>
      <c r="I461" s="56">
        <v>100</v>
      </c>
      <c r="J461" s="59" t="s">
        <v>1181</v>
      </c>
      <c r="K461" s="59">
        <v>1</v>
      </c>
      <c r="L461" s="59">
        <f t="shared" si="7"/>
        <v>100</v>
      </c>
      <c r="M461" s="59"/>
    </row>
    <row r="462" spans="1:13" ht="30">
      <c r="A462" s="56">
        <v>302</v>
      </c>
      <c r="B462" s="56">
        <v>302</v>
      </c>
      <c r="C462" s="56">
        <v>302</v>
      </c>
      <c r="D462" s="56" t="s">
        <v>1779</v>
      </c>
      <c r="F462" s="56" t="s">
        <v>24</v>
      </c>
      <c r="G462" s="56">
        <v>1</v>
      </c>
      <c r="H462" s="56">
        <v>1</v>
      </c>
      <c r="I462" s="56">
        <v>900</v>
      </c>
      <c r="J462" s="59" t="s">
        <v>1181</v>
      </c>
      <c r="K462" s="59">
        <v>1</v>
      </c>
      <c r="L462" s="59">
        <f t="shared" si="7"/>
        <v>900</v>
      </c>
      <c r="M462" s="59"/>
    </row>
    <row r="463" spans="1:13" ht="30">
      <c r="A463" s="56">
        <v>321</v>
      </c>
      <c r="B463" s="56">
        <v>321</v>
      </c>
      <c r="C463" s="56">
        <v>321</v>
      </c>
      <c r="D463" s="56" t="s">
        <v>1795</v>
      </c>
      <c r="F463" s="56" t="s">
        <v>1198</v>
      </c>
      <c r="G463" s="56">
        <v>1</v>
      </c>
      <c r="H463" s="56">
        <v>1</v>
      </c>
      <c r="I463" s="56">
        <v>600</v>
      </c>
      <c r="J463" s="59" t="s">
        <v>1181</v>
      </c>
      <c r="K463" s="59">
        <v>1</v>
      </c>
      <c r="L463" s="59">
        <f t="shared" si="7"/>
        <v>600</v>
      </c>
      <c r="M463" s="59"/>
    </row>
    <row r="464" spans="1:13" ht="30">
      <c r="A464" s="56">
        <v>324</v>
      </c>
      <c r="B464" s="56">
        <v>324</v>
      </c>
      <c r="C464" s="56">
        <v>324</v>
      </c>
      <c r="D464" s="56" t="s">
        <v>1797</v>
      </c>
      <c r="F464" s="56" t="s">
        <v>24</v>
      </c>
      <c r="G464" s="56">
        <v>1</v>
      </c>
      <c r="H464" s="56">
        <v>1</v>
      </c>
      <c r="I464" s="56">
        <v>1600</v>
      </c>
      <c r="J464" s="59" t="s">
        <v>1181</v>
      </c>
      <c r="K464" s="59">
        <v>1</v>
      </c>
      <c r="L464" s="59">
        <f t="shared" si="7"/>
        <v>1600</v>
      </c>
      <c r="M464" s="59"/>
    </row>
    <row r="465" spans="1:13" ht="30">
      <c r="A465" s="56">
        <v>326</v>
      </c>
      <c r="B465" s="56">
        <v>326</v>
      </c>
      <c r="C465" s="56">
        <v>326</v>
      </c>
      <c r="D465" s="56" t="s">
        <v>1799</v>
      </c>
      <c r="F465" s="56" t="s">
        <v>24</v>
      </c>
      <c r="G465" s="56">
        <v>1</v>
      </c>
      <c r="H465" s="56">
        <v>1</v>
      </c>
      <c r="I465" s="56">
        <v>1600</v>
      </c>
      <c r="J465" s="59" t="s">
        <v>1181</v>
      </c>
      <c r="K465" s="59">
        <v>1</v>
      </c>
      <c r="L465" s="59">
        <f t="shared" si="7"/>
        <v>1600</v>
      </c>
      <c r="M465" s="59"/>
    </row>
    <row r="466" spans="1:13" ht="30">
      <c r="A466" s="56">
        <v>327</v>
      </c>
      <c r="B466" s="56">
        <v>327</v>
      </c>
      <c r="C466" s="56">
        <v>327</v>
      </c>
      <c r="D466" s="56" t="s">
        <v>1800</v>
      </c>
      <c r="F466" s="56" t="s">
        <v>24</v>
      </c>
      <c r="G466" s="56">
        <v>1</v>
      </c>
      <c r="H466" s="56">
        <v>1</v>
      </c>
      <c r="I466" s="56">
        <v>1200</v>
      </c>
      <c r="J466" s="59" t="s">
        <v>1181</v>
      </c>
      <c r="K466" s="59">
        <v>1</v>
      </c>
      <c r="L466" s="59">
        <f t="shared" si="7"/>
        <v>1200</v>
      </c>
      <c r="M466" s="59"/>
    </row>
    <row r="467" spans="1:13" ht="30">
      <c r="A467" s="56">
        <v>328</v>
      </c>
      <c r="B467" s="56">
        <v>328</v>
      </c>
      <c r="C467" s="56">
        <v>328</v>
      </c>
      <c r="D467" s="56" t="s">
        <v>1801</v>
      </c>
      <c r="F467" s="56" t="s">
        <v>24</v>
      </c>
      <c r="G467" s="56">
        <v>1</v>
      </c>
      <c r="H467" s="56">
        <v>1</v>
      </c>
      <c r="I467" s="56">
        <v>1200</v>
      </c>
      <c r="J467" s="59" t="s">
        <v>1181</v>
      </c>
      <c r="K467" s="59">
        <v>1</v>
      </c>
      <c r="L467" s="59">
        <f t="shared" si="7"/>
        <v>1200</v>
      </c>
      <c r="M467" s="59"/>
    </row>
    <row r="468" spans="1:13" ht="30">
      <c r="A468" s="56">
        <v>331</v>
      </c>
      <c r="B468" s="56">
        <v>331</v>
      </c>
      <c r="C468" s="56">
        <v>331</v>
      </c>
      <c r="D468" s="56" t="s">
        <v>1804</v>
      </c>
      <c r="F468" s="56" t="s">
        <v>24</v>
      </c>
      <c r="G468" s="56">
        <v>1</v>
      </c>
      <c r="H468" s="56">
        <v>1</v>
      </c>
      <c r="I468" s="56">
        <v>2200</v>
      </c>
      <c r="J468" s="59" t="s">
        <v>1181</v>
      </c>
      <c r="K468" s="59">
        <v>1</v>
      </c>
      <c r="L468" s="59">
        <f t="shared" si="7"/>
        <v>2200</v>
      </c>
      <c r="M468" s="59"/>
    </row>
    <row r="469" spans="1:13" ht="30">
      <c r="A469" s="56">
        <v>332</v>
      </c>
      <c r="B469" s="56">
        <v>332</v>
      </c>
      <c r="C469" s="56">
        <v>332</v>
      </c>
      <c r="D469" s="56" t="s">
        <v>1805</v>
      </c>
      <c r="F469" s="56" t="s">
        <v>24</v>
      </c>
      <c r="G469" s="56">
        <v>1</v>
      </c>
      <c r="H469" s="56">
        <v>1</v>
      </c>
      <c r="I469" s="56">
        <v>1000</v>
      </c>
      <c r="J469" s="59" t="s">
        <v>1181</v>
      </c>
      <c r="K469" s="59">
        <v>1</v>
      </c>
      <c r="L469" s="59">
        <f t="shared" si="7"/>
        <v>1000</v>
      </c>
      <c r="M469" s="59"/>
    </row>
    <row r="470" spans="1:13" ht="30">
      <c r="A470" s="56">
        <v>334</v>
      </c>
      <c r="B470" s="56">
        <v>334</v>
      </c>
      <c r="C470" s="56">
        <v>334</v>
      </c>
      <c r="D470" s="56" t="s">
        <v>1807</v>
      </c>
      <c r="F470" s="56" t="s">
        <v>24</v>
      </c>
      <c r="G470" s="56">
        <v>1</v>
      </c>
      <c r="H470" s="56">
        <v>1</v>
      </c>
      <c r="I470" s="56">
        <v>2800</v>
      </c>
      <c r="J470" s="59" t="s">
        <v>1181</v>
      </c>
      <c r="K470" s="59">
        <v>1</v>
      </c>
      <c r="L470" s="59">
        <f t="shared" si="7"/>
        <v>2800</v>
      </c>
      <c r="M470" s="59"/>
    </row>
    <row r="471" spans="1:13" ht="30">
      <c r="A471" s="56">
        <v>344</v>
      </c>
      <c r="B471" s="56">
        <v>344</v>
      </c>
      <c r="C471" s="56">
        <v>344</v>
      </c>
      <c r="D471" s="56" t="s">
        <v>1817</v>
      </c>
      <c r="F471" s="56" t="s">
        <v>24</v>
      </c>
      <c r="G471" s="56">
        <v>1</v>
      </c>
      <c r="H471" s="56">
        <v>1</v>
      </c>
      <c r="I471" s="56">
        <v>2110</v>
      </c>
      <c r="J471" s="59" t="s">
        <v>1181</v>
      </c>
      <c r="K471" s="59">
        <v>1</v>
      </c>
      <c r="L471" s="59">
        <f t="shared" si="7"/>
        <v>2110</v>
      </c>
      <c r="M471" s="59"/>
    </row>
    <row r="472" spans="1:13" ht="30">
      <c r="A472" s="56">
        <v>345</v>
      </c>
      <c r="B472" s="56">
        <v>345</v>
      </c>
      <c r="C472" s="56">
        <v>345</v>
      </c>
      <c r="D472" s="56" t="s">
        <v>1818</v>
      </c>
      <c r="F472" s="56" t="s">
        <v>24</v>
      </c>
      <c r="G472" s="56">
        <v>1</v>
      </c>
      <c r="H472" s="56">
        <v>1</v>
      </c>
      <c r="I472" s="56">
        <v>2250</v>
      </c>
      <c r="J472" s="59" t="s">
        <v>1181</v>
      </c>
      <c r="K472" s="59">
        <v>1</v>
      </c>
      <c r="L472" s="59">
        <f t="shared" si="7"/>
        <v>2250</v>
      </c>
      <c r="M472" s="59"/>
    </row>
    <row r="473" spans="1:13" ht="30">
      <c r="A473" s="56">
        <v>346</v>
      </c>
      <c r="B473" s="56">
        <v>346</v>
      </c>
      <c r="C473" s="56">
        <v>346</v>
      </c>
      <c r="D473" s="56" t="s">
        <v>1819</v>
      </c>
      <c r="F473" s="56" t="s">
        <v>24</v>
      </c>
      <c r="G473" s="56">
        <v>1</v>
      </c>
      <c r="H473" s="56">
        <v>1</v>
      </c>
      <c r="I473" s="56">
        <v>1100</v>
      </c>
      <c r="J473" s="59" t="s">
        <v>1181</v>
      </c>
      <c r="K473" s="59">
        <v>1</v>
      </c>
      <c r="L473" s="59">
        <f t="shared" si="7"/>
        <v>1100</v>
      </c>
      <c r="M473" s="59"/>
    </row>
    <row r="474" spans="1:13" ht="30">
      <c r="A474" s="56">
        <v>349</v>
      </c>
      <c r="B474" s="56">
        <v>349</v>
      </c>
      <c r="C474" s="56">
        <v>349</v>
      </c>
      <c r="D474" s="56" t="s">
        <v>1822</v>
      </c>
      <c r="F474" s="56" t="s">
        <v>24</v>
      </c>
      <c r="G474" s="56">
        <v>1</v>
      </c>
      <c r="H474" s="56">
        <v>1</v>
      </c>
      <c r="I474" s="56">
        <v>650</v>
      </c>
      <c r="J474" s="59" t="s">
        <v>1181</v>
      </c>
      <c r="K474" s="59">
        <v>1</v>
      </c>
      <c r="L474" s="59">
        <f t="shared" si="7"/>
        <v>650</v>
      </c>
      <c r="M474" s="59"/>
    </row>
    <row r="475" spans="1:13" ht="30">
      <c r="A475" s="56">
        <v>354</v>
      </c>
      <c r="B475" s="56">
        <v>354</v>
      </c>
      <c r="C475" s="56">
        <v>354</v>
      </c>
      <c r="D475" s="56" t="s">
        <v>1827</v>
      </c>
      <c r="F475" s="56" t="s">
        <v>24</v>
      </c>
      <c r="G475" s="56">
        <v>1</v>
      </c>
      <c r="H475" s="56">
        <v>1</v>
      </c>
      <c r="I475" s="56">
        <v>650</v>
      </c>
      <c r="J475" s="59" t="s">
        <v>1181</v>
      </c>
      <c r="K475" s="59">
        <v>1</v>
      </c>
      <c r="L475" s="59">
        <f t="shared" si="7"/>
        <v>650</v>
      </c>
      <c r="M475" s="59"/>
    </row>
    <row r="476" spans="1:13" ht="30">
      <c r="A476" s="56">
        <v>355</v>
      </c>
      <c r="B476" s="56">
        <v>355</v>
      </c>
      <c r="C476" s="56">
        <v>355</v>
      </c>
      <c r="D476" s="56" t="s">
        <v>1828</v>
      </c>
      <c r="F476" s="56" t="s">
        <v>24</v>
      </c>
      <c r="G476" s="56">
        <v>1</v>
      </c>
      <c r="H476" s="56">
        <v>1</v>
      </c>
      <c r="I476" s="56">
        <v>900</v>
      </c>
      <c r="J476" s="59" t="s">
        <v>1181</v>
      </c>
      <c r="K476" s="59">
        <v>1</v>
      </c>
      <c r="L476" s="59">
        <f t="shared" si="7"/>
        <v>900</v>
      </c>
      <c r="M476" s="59"/>
    </row>
    <row r="477" spans="1:13" ht="30">
      <c r="A477" s="56">
        <v>356</v>
      </c>
      <c r="B477" s="56">
        <v>356</v>
      </c>
      <c r="C477" s="56">
        <v>356</v>
      </c>
      <c r="D477" s="56" t="s">
        <v>1829</v>
      </c>
      <c r="F477" s="56" t="s">
        <v>24</v>
      </c>
      <c r="G477" s="56">
        <v>1</v>
      </c>
      <c r="H477" s="56">
        <v>1</v>
      </c>
      <c r="I477" s="56">
        <v>1200</v>
      </c>
      <c r="J477" s="59" t="s">
        <v>1181</v>
      </c>
      <c r="K477" s="59">
        <v>1</v>
      </c>
      <c r="L477" s="59">
        <f t="shared" si="7"/>
        <v>1200</v>
      </c>
      <c r="M477" s="59"/>
    </row>
    <row r="478" spans="1:13" ht="30">
      <c r="A478" s="56">
        <v>360</v>
      </c>
      <c r="B478" s="56">
        <v>360</v>
      </c>
      <c r="C478" s="56">
        <v>360</v>
      </c>
      <c r="D478" s="56" t="s">
        <v>1833</v>
      </c>
      <c r="F478" s="56" t="s">
        <v>24</v>
      </c>
      <c r="G478" s="56">
        <v>1</v>
      </c>
      <c r="H478" s="56">
        <v>1</v>
      </c>
      <c r="I478" s="56">
        <v>650</v>
      </c>
      <c r="J478" s="59" t="s">
        <v>1181</v>
      </c>
      <c r="K478" s="59">
        <v>1</v>
      </c>
      <c r="L478" s="59">
        <f t="shared" si="7"/>
        <v>650</v>
      </c>
      <c r="M478" s="59"/>
    </row>
    <row r="479" spans="1:13" ht="30">
      <c r="A479" s="56">
        <v>361</v>
      </c>
      <c r="B479" s="56">
        <v>361</v>
      </c>
      <c r="C479" s="56">
        <v>361</v>
      </c>
      <c r="D479" s="56" t="s">
        <v>1834</v>
      </c>
      <c r="F479" s="56" t="s">
        <v>24</v>
      </c>
      <c r="G479" s="56">
        <v>1</v>
      </c>
      <c r="H479" s="56">
        <v>1</v>
      </c>
      <c r="I479" s="56">
        <v>900</v>
      </c>
      <c r="J479" s="59" t="s">
        <v>1181</v>
      </c>
      <c r="K479" s="59">
        <v>1</v>
      </c>
      <c r="L479" s="59">
        <f t="shared" si="7"/>
        <v>900</v>
      </c>
      <c r="M479" s="59"/>
    </row>
    <row r="480" spans="1:13" ht="30">
      <c r="A480" s="56">
        <v>362</v>
      </c>
      <c r="B480" s="56">
        <v>362</v>
      </c>
      <c r="C480" s="56">
        <v>362</v>
      </c>
      <c r="D480" s="56" t="s">
        <v>1835</v>
      </c>
      <c r="F480" s="56" t="s">
        <v>24</v>
      </c>
      <c r="G480" s="56">
        <v>1</v>
      </c>
      <c r="H480" s="56">
        <v>1</v>
      </c>
      <c r="I480" s="56">
        <v>2200</v>
      </c>
      <c r="J480" s="59" t="s">
        <v>1181</v>
      </c>
      <c r="K480" s="59">
        <v>1</v>
      </c>
      <c r="L480" s="59">
        <f t="shared" si="7"/>
        <v>2200</v>
      </c>
      <c r="M480" s="59"/>
    </row>
    <row r="481" spans="1:13" ht="30">
      <c r="A481" s="56">
        <v>363</v>
      </c>
      <c r="B481" s="56">
        <v>363</v>
      </c>
      <c r="C481" s="56">
        <v>363</v>
      </c>
      <c r="D481" s="56" t="s">
        <v>1836</v>
      </c>
      <c r="F481" s="56" t="s">
        <v>24</v>
      </c>
      <c r="G481" s="56">
        <v>1</v>
      </c>
      <c r="H481" s="56">
        <v>1</v>
      </c>
      <c r="I481" s="56">
        <v>2000</v>
      </c>
      <c r="J481" s="59" t="s">
        <v>1181</v>
      </c>
      <c r="K481" s="59">
        <v>1</v>
      </c>
      <c r="L481" s="59">
        <f t="shared" si="7"/>
        <v>2000</v>
      </c>
      <c r="M481" s="59"/>
    </row>
    <row r="482" spans="1:13" ht="30">
      <c r="A482" s="56">
        <v>364</v>
      </c>
      <c r="B482" s="56">
        <v>364</v>
      </c>
      <c r="C482" s="56">
        <v>364</v>
      </c>
      <c r="D482" s="56" t="s">
        <v>1837</v>
      </c>
      <c r="F482" s="56" t="s">
        <v>24</v>
      </c>
      <c r="G482" s="56">
        <v>1</v>
      </c>
      <c r="H482" s="56">
        <v>1</v>
      </c>
      <c r="I482" s="56">
        <v>1850</v>
      </c>
      <c r="J482" s="59" t="s">
        <v>1181</v>
      </c>
      <c r="K482" s="59">
        <v>1</v>
      </c>
      <c r="L482" s="59">
        <f t="shared" si="7"/>
        <v>1850</v>
      </c>
      <c r="M482" s="59"/>
    </row>
    <row r="483" spans="1:13" ht="30">
      <c r="A483" s="56">
        <v>366</v>
      </c>
      <c r="B483" s="56">
        <v>366</v>
      </c>
      <c r="C483" s="56">
        <v>366</v>
      </c>
      <c r="D483" s="56" t="s">
        <v>1839</v>
      </c>
      <c r="F483" s="56" t="s">
        <v>24</v>
      </c>
      <c r="G483" s="56">
        <v>1</v>
      </c>
      <c r="H483" s="56">
        <v>1</v>
      </c>
      <c r="I483" s="56">
        <v>820</v>
      </c>
      <c r="J483" s="59" t="s">
        <v>1181</v>
      </c>
      <c r="K483" s="59">
        <v>1</v>
      </c>
      <c r="L483" s="59">
        <f t="shared" si="7"/>
        <v>820</v>
      </c>
      <c r="M483" s="59"/>
    </row>
    <row r="484" spans="1:13" ht="30">
      <c r="A484" s="56">
        <v>367</v>
      </c>
      <c r="B484" s="56">
        <v>367</v>
      </c>
      <c r="C484" s="56">
        <v>367</v>
      </c>
      <c r="D484" s="56" t="s">
        <v>1840</v>
      </c>
      <c r="F484" s="56" t="s">
        <v>24</v>
      </c>
      <c r="G484" s="56">
        <v>1</v>
      </c>
      <c r="H484" s="56">
        <v>1</v>
      </c>
      <c r="I484" s="56">
        <v>700</v>
      </c>
      <c r="J484" s="59" t="s">
        <v>1181</v>
      </c>
      <c r="K484" s="59">
        <v>1</v>
      </c>
      <c r="L484" s="59">
        <f t="shared" si="7"/>
        <v>700</v>
      </c>
      <c r="M484" s="59"/>
    </row>
    <row r="485" spans="1:13" ht="30">
      <c r="A485" s="56">
        <v>368</v>
      </c>
      <c r="B485" s="56">
        <v>368</v>
      </c>
      <c r="C485" s="56">
        <v>368</v>
      </c>
      <c r="D485" s="56" t="s">
        <v>1841</v>
      </c>
      <c r="F485" s="56" t="s">
        <v>24</v>
      </c>
      <c r="G485" s="56">
        <v>1</v>
      </c>
      <c r="H485" s="56">
        <v>1</v>
      </c>
      <c r="I485" s="56">
        <v>700</v>
      </c>
      <c r="J485" s="59" t="s">
        <v>1181</v>
      </c>
      <c r="K485" s="59">
        <v>1</v>
      </c>
      <c r="L485" s="59">
        <f t="shared" si="7"/>
        <v>700</v>
      </c>
      <c r="M485" s="59"/>
    </row>
    <row r="486" spans="1:13" ht="30">
      <c r="A486" s="56">
        <v>369</v>
      </c>
      <c r="B486" s="56">
        <v>369</v>
      </c>
      <c r="C486" s="56">
        <v>369</v>
      </c>
      <c r="D486" s="56" t="s">
        <v>1842</v>
      </c>
      <c r="F486" s="56" t="s">
        <v>24</v>
      </c>
      <c r="G486" s="56">
        <v>1</v>
      </c>
      <c r="H486" s="56">
        <v>1</v>
      </c>
      <c r="I486" s="56">
        <v>900</v>
      </c>
      <c r="J486" s="59" t="s">
        <v>1181</v>
      </c>
      <c r="K486" s="59">
        <v>1</v>
      </c>
      <c r="L486" s="59">
        <f t="shared" si="7"/>
        <v>900</v>
      </c>
      <c r="M486" s="59"/>
    </row>
    <row r="487" spans="1:13" ht="30">
      <c r="A487" s="56">
        <v>372</v>
      </c>
      <c r="B487" s="56">
        <v>372</v>
      </c>
      <c r="C487" s="56">
        <v>372</v>
      </c>
      <c r="D487" s="56" t="s">
        <v>1845</v>
      </c>
      <c r="F487" s="56" t="s">
        <v>24</v>
      </c>
      <c r="G487" s="56">
        <v>1</v>
      </c>
      <c r="H487" s="56">
        <v>1</v>
      </c>
      <c r="I487" s="56">
        <v>1200</v>
      </c>
      <c r="J487" s="59" t="s">
        <v>1181</v>
      </c>
      <c r="K487" s="59">
        <v>1</v>
      </c>
      <c r="L487" s="59">
        <f t="shared" si="7"/>
        <v>1200</v>
      </c>
      <c r="M487" s="59"/>
    </row>
    <row r="488" spans="1:13" ht="30">
      <c r="A488" s="56">
        <v>376</v>
      </c>
      <c r="B488" s="56">
        <v>376</v>
      </c>
      <c r="C488" s="56">
        <v>376</v>
      </c>
      <c r="D488" s="56" t="s">
        <v>1849</v>
      </c>
      <c r="F488" s="56" t="s">
        <v>24</v>
      </c>
      <c r="G488" s="56">
        <v>1</v>
      </c>
      <c r="H488" s="56">
        <v>1</v>
      </c>
      <c r="I488" s="56">
        <v>400</v>
      </c>
      <c r="J488" s="59" t="s">
        <v>1181</v>
      </c>
      <c r="K488" s="59">
        <v>1</v>
      </c>
      <c r="L488" s="59">
        <f t="shared" si="7"/>
        <v>400</v>
      </c>
      <c r="M488" s="59"/>
    </row>
    <row r="489" spans="1:13" ht="30">
      <c r="A489" s="56">
        <v>377</v>
      </c>
      <c r="B489" s="56">
        <v>377</v>
      </c>
      <c r="C489" s="56">
        <v>377</v>
      </c>
      <c r="D489" s="56" t="s">
        <v>1850</v>
      </c>
      <c r="F489" s="56" t="s">
        <v>24</v>
      </c>
      <c r="G489" s="56">
        <v>1</v>
      </c>
      <c r="H489" s="56">
        <v>1</v>
      </c>
      <c r="I489" s="56">
        <v>2200</v>
      </c>
      <c r="J489" s="59" t="s">
        <v>1181</v>
      </c>
      <c r="K489" s="59">
        <v>1</v>
      </c>
      <c r="L489" s="59">
        <f t="shared" si="7"/>
        <v>2200</v>
      </c>
      <c r="M489" s="59"/>
    </row>
    <row r="490" spans="1:13" ht="30">
      <c r="A490" s="56">
        <v>378</v>
      </c>
      <c r="B490" s="56">
        <v>378</v>
      </c>
      <c r="C490" s="56">
        <v>378</v>
      </c>
      <c r="D490" s="56" t="s">
        <v>1851</v>
      </c>
      <c r="F490" s="56" t="s">
        <v>24</v>
      </c>
      <c r="G490" s="56">
        <v>1</v>
      </c>
      <c r="H490" s="56">
        <v>1</v>
      </c>
      <c r="I490" s="56">
        <v>450</v>
      </c>
      <c r="J490" s="59" t="s">
        <v>1181</v>
      </c>
      <c r="K490" s="59">
        <v>1</v>
      </c>
      <c r="L490" s="59">
        <f t="shared" si="7"/>
        <v>450</v>
      </c>
      <c r="M490" s="59"/>
    </row>
    <row r="491" spans="1:13" ht="30">
      <c r="A491" s="56">
        <v>380</v>
      </c>
      <c r="B491" s="56">
        <v>380</v>
      </c>
      <c r="C491" s="56">
        <v>380</v>
      </c>
      <c r="D491" s="56" t="s">
        <v>1853</v>
      </c>
      <c r="F491" s="56" t="s">
        <v>24</v>
      </c>
      <c r="G491" s="56">
        <v>1</v>
      </c>
      <c r="H491" s="56">
        <v>1</v>
      </c>
      <c r="I491" s="56">
        <v>450</v>
      </c>
      <c r="J491" s="59" t="s">
        <v>1181</v>
      </c>
      <c r="K491" s="59">
        <v>1</v>
      </c>
      <c r="L491" s="59">
        <f t="shared" si="7"/>
        <v>450</v>
      </c>
      <c r="M491" s="59"/>
    </row>
    <row r="492" spans="1:13" ht="30">
      <c r="A492" s="56">
        <v>381</v>
      </c>
      <c r="B492" s="56">
        <v>381</v>
      </c>
      <c r="C492" s="56">
        <v>381</v>
      </c>
      <c r="D492" s="56" t="s">
        <v>1854</v>
      </c>
      <c r="F492" s="56" t="s">
        <v>24</v>
      </c>
      <c r="G492" s="56">
        <v>1</v>
      </c>
      <c r="H492" s="56">
        <v>1</v>
      </c>
      <c r="I492" s="56">
        <v>2350</v>
      </c>
      <c r="J492" s="59" t="s">
        <v>1181</v>
      </c>
      <c r="K492" s="59">
        <v>1</v>
      </c>
      <c r="L492" s="59">
        <f t="shared" si="7"/>
        <v>2350</v>
      </c>
      <c r="M492" s="59"/>
    </row>
    <row r="493" spans="1:13" ht="30">
      <c r="A493" s="56">
        <v>385</v>
      </c>
      <c r="B493" s="56">
        <v>385</v>
      </c>
      <c r="C493" s="56">
        <v>385</v>
      </c>
      <c r="D493" s="56" t="s">
        <v>1858</v>
      </c>
      <c r="F493" s="56" t="s">
        <v>24</v>
      </c>
      <c r="G493" s="56">
        <v>1</v>
      </c>
      <c r="H493" s="56">
        <v>1</v>
      </c>
      <c r="I493" s="56">
        <v>700</v>
      </c>
      <c r="J493" s="59" t="s">
        <v>1181</v>
      </c>
      <c r="K493" s="59">
        <v>1</v>
      </c>
      <c r="L493" s="59">
        <f t="shared" si="7"/>
        <v>700</v>
      </c>
      <c r="M493" s="59"/>
    </row>
    <row r="494" spans="1:13" ht="30">
      <c r="A494" s="56">
        <v>396</v>
      </c>
      <c r="B494" s="56">
        <v>396</v>
      </c>
      <c r="C494" s="56">
        <v>396</v>
      </c>
      <c r="D494" s="56" t="s">
        <v>1869</v>
      </c>
      <c r="F494" s="56" t="s">
        <v>24</v>
      </c>
      <c r="G494" s="56">
        <v>1</v>
      </c>
      <c r="H494" s="56">
        <v>1</v>
      </c>
      <c r="I494" s="56">
        <v>700</v>
      </c>
      <c r="J494" s="59" t="s">
        <v>1181</v>
      </c>
      <c r="K494" s="59">
        <v>1</v>
      </c>
      <c r="L494" s="59">
        <f t="shared" si="7"/>
        <v>700</v>
      </c>
      <c r="M494" s="59"/>
    </row>
    <row r="495" spans="1:13" ht="30">
      <c r="A495" s="56">
        <v>398</v>
      </c>
      <c r="B495" s="56">
        <v>398</v>
      </c>
      <c r="C495" s="56">
        <v>398</v>
      </c>
      <c r="D495" s="56" t="s">
        <v>1871</v>
      </c>
      <c r="F495" s="56" t="s">
        <v>24</v>
      </c>
      <c r="G495" s="56">
        <v>1</v>
      </c>
      <c r="H495" s="56">
        <v>1</v>
      </c>
      <c r="I495" s="56">
        <v>600</v>
      </c>
      <c r="J495" s="59" t="s">
        <v>1181</v>
      </c>
      <c r="K495" s="59">
        <v>1</v>
      </c>
      <c r="L495" s="59">
        <f t="shared" si="7"/>
        <v>600</v>
      </c>
      <c r="M495" s="59"/>
    </row>
    <row r="496" spans="1:13" ht="30">
      <c r="A496" s="56">
        <v>399</v>
      </c>
      <c r="B496" s="56">
        <v>399</v>
      </c>
      <c r="C496" s="56">
        <v>399</v>
      </c>
      <c r="D496" s="56" t="s">
        <v>1872</v>
      </c>
      <c r="F496" s="56" t="s">
        <v>24</v>
      </c>
      <c r="G496" s="56">
        <v>1</v>
      </c>
      <c r="H496" s="56">
        <v>1</v>
      </c>
      <c r="I496" s="56">
        <v>900</v>
      </c>
      <c r="J496" s="59" t="s">
        <v>1181</v>
      </c>
      <c r="K496" s="59">
        <v>1</v>
      </c>
      <c r="L496" s="59">
        <f t="shared" si="7"/>
        <v>900</v>
      </c>
      <c r="M496" s="59"/>
    </row>
    <row r="497" spans="1:14" ht="30">
      <c r="A497" s="56">
        <v>400</v>
      </c>
      <c r="B497" s="56">
        <v>400</v>
      </c>
      <c r="C497" s="56">
        <v>400</v>
      </c>
      <c r="D497" s="56" t="s">
        <v>1873</v>
      </c>
      <c r="F497" s="56" t="s">
        <v>24</v>
      </c>
      <c r="G497" s="56">
        <v>1</v>
      </c>
      <c r="H497" s="56">
        <v>1</v>
      </c>
      <c r="I497" s="56">
        <v>750</v>
      </c>
      <c r="J497" s="59" t="s">
        <v>1181</v>
      </c>
      <c r="K497" s="59">
        <v>1</v>
      </c>
      <c r="L497" s="59">
        <f t="shared" si="7"/>
        <v>750</v>
      </c>
      <c r="M497" s="59"/>
    </row>
    <row r="498" spans="1:14" ht="30">
      <c r="A498" s="56">
        <v>404</v>
      </c>
      <c r="B498" s="56">
        <v>404</v>
      </c>
      <c r="C498" s="56">
        <v>404</v>
      </c>
      <c r="D498" s="56" t="s">
        <v>1877</v>
      </c>
      <c r="F498" s="56" t="s">
        <v>24</v>
      </c>
      <c r="G498" s="56">
        <v>1</v>
      </c>
      <c r="H498" s="56">
        <v>1</v>
      </c>
      <c r="I498" s="56">
        <v>1200</v>
      </c>
      <c r="J498" s="59" t="s">
        <v>1181</v>
      </c>
      <c r="K498" s="59">
        <v>1</v>
      </c>
      <c r="L498" s="59">
        <f t="shared" si="7"/>
        <v>1200</v>
      </c>
      <c r="M498" s="59"/>
    </row>
    <row r="499" spans="1:14" ht="30">
      <c r="A499" s="56">
        <v>405</v>
      </c>
      <c r="B499" s="56">
        <v>405</v>
      </c>
      <c r="C499" s="56">
        <v>405</v>
      </c>
      <c r="D499" s="56" t="s">
        <v>1878</v>
      </c>
      <c r="F499" s="56" t="s">
        <v>24</v>
      </c>
      <c r="G499" s="56">
        <v>1</v>
      </c>
      <c r="H499" s="56">
        <v>1</v>
      </c>
      <c r="I499" s="56">
        <v>1850</v>
      </c>
      <c r="J499" s="59" t="s">
        <v>1181</v>
      </c>
      <c r="K499" s="59">
        <v>1</v>
      </c>
      <c r="L499" s="59">
        <f t="shared" si="7"/>
        <v>1850</v>
      </c>
      <c r="M499" s="59"/>
    </row>
    <row r="500" spans="1:14" ht="30">
      <c r="A500" s="56">
        <v>408</v>
      </c>
      <c r="B500" s="56">
        <v>408</v>
      </c>
      <c r="C500" s="56">
        <v>408</v>
      </c>
      <c r="D500" s="56" t="s">
        <v>1881</v>
      </c>
      <c r="F500" s="56" t="s">
        <v>24</v>
      </c>
      <c r="G500" s="56">
        <v>1</v>
      </c>
      <c r="H500" s="56">
        <v>1</v>
      </c>
      <c r="I500" s="56">
        <v>3500</v>
      </c>
      <c r="J500" s="59" t="s">
        <v>1181</v>
      </c>
      <c r="K500" s="59">
        <v>1</v>
      </c>
      <c r="L500" s="59">
        <f t="shared" si="7"/>
        <v>3500</v>
      </c>
      <c r="M500" s="59"/>
    </row>
    <row r="501" spans="1:14" ht="30">
      <c r="A501" s="56">
        <v>409</v>
      </c>
      <c r="B501" s="56">
        <v>409</v>
      </c>
      <c r="C501" s="56">
        <v>409</v>
      </c>
      <c r="D501" s="56" t="s">
        <v>1882</v>
      </c>
      <c r="F501" s="56" t="s">
        <v>24</v>
      </c>
      <c r="G501" s="56">
        <v>1</v>
      </c>
      <c r="H501" s="56">
        <v>1</v>
      </c>
      <c r="I501" s="56">
        <v>400</v>
      </c>
      <c r="J501" s="59" t="s">
        <v>1181</v>
      </c>
      <c r="K501" s="59">
        <v>1</v>
      </c>
      <c r="L501" s="59">
        <f t="shared" si="7"/>
        <v>400</v>
      </c>
      <c r="M501" s="59"/>
    </row>
    <row r="502" spans="1:14" ht="30">
      <c r="A502" s="56">
        <v>417</v>
      </c>
      <c r="B502" s="56">
        <v>417</v>
      </c>
      <c r="C502" s="56">
        <v>417</v>
      </c>
      <c r="D502" s="56" t="s">
        <v>1887</v>
      </c>
      <c r="F502" s="56" t="s">
        <v>24</v>
      </c>
      <c r="G502" s="56">
        <v>1</v>
      </c>
      <c r="H502" s="56">
        <v>1</v>
      </c>
      <c r="I502" s="56">
        <v>3000</v>
      </c>
      <c r="J502" s="59" t="s">
        <v>1181</v>
      </c>
      <c r="K502" s="59">
        <v>1</v>
      </c>
      <c r="L502" s="59">
        <f t="shared" si="7"/>
        <v>3000</v>
      </c>
      <c r="M502" s="59"/>
    </row>
    <row r="503" spans="1:14" ht="30">
      <c r="A503" s="56">
        <v>418</v>
      </c>
      <c r="B503" s="56">
        <v>418</v>
      </c>
      <c r="C503" s="56">
        <v>418</v>
      </c>
      <c r="D503" s="56" t="s">
        <v>1888</v>
      </c>
      <c r="F503" s="56" t="s">
        <v>24</v>
      </c>
      <c r="G503" s="56">
        <v>1</v>
      </c>
      <c r="H503" s="56">
        <v>1</v>
      </c>
      <c r="I503" s="56">
        <v>1900</v>
      </c>
      <c r="J503" s="59" t="s">
        <v>1181</v>
      </c>
      <c r="K503" s="59">
        <v>1</v>
      </c>
      <c r="L503" s="59">
        <f t="shared" si="7"/>
        <v>1900</v>
      </c>
      <c r="M503" s="59"/>
    </row>
    <row r="504" spans="1:14" ht="30">
      <c r="A504" s="56">
        <v>419</v>
      </c>
      <c r="B504" s="56">
        <v>419</v>
      </c>
      <c r="C504" s="56">
        <v>419</v>
      </c>
      <c r="D504" s="56" t="s">
        <v>1889</v>
      </c>
      <c r="F504" s="58" t="s">
        <v>24</v>
      </c>
      <c r="G504" s="58">
        <v>1</v>
      </c>
      <c r="H504" s="58">
        <v>1</v>
      </c>
      <c r="I504" s="56">
        <v>170</v>
      </c>
      <c r="J504" s="59" t="s">
        <v>1181</v>
      </c>
      <c r="K504" s="59">
        <v>1</v>
      </c>
      <c r="L504" s="59">
        <f t="shared" si="7"/>
        <v>170</v>
      </c>
      <c r="M504" s="59"/>
      <c r="N504" s="58"/>
    </row>
    <row r="505" spans="1:14" ht="30">
      <c r="A505" s="56">
        <v>421</v>
      </c>
      <c r="B505" s="56">
        <v>421</v>
      </c>
      <c r="C505" s="56">
        <v>421</v>
      </c>
      <c r="D505" s="56" t="s">
        <v>1891</v>
      </c>
      <c r="F505" s="56" t="s">
        <v>24</v>
      </c>
      <c r="G505" s="56">
        <v>1</v>
      </c>
      <c r="H505" s="56">
        <v>1</v>
      </c>
      <c r="I505" s="56">
        <v>900</v>
      </c>
      <c r="J505" s="59" t="s">
        <v>1181</v>
      </c>
      <c r="K505" s="59">
        <v>1</v>
      </c>
      <c r="L505" s="59">
        <f t="shared" si="7"/>
        <v>900</v>
      </c>
      <c r="M505" s="59"/>
    </row>
    <row r="506" spans="1:14" ht="30">
      <c r="A506" s="56">
        <v>426</v>
      </c>
      <c r="B506" s="56">
        <v>426</v>
      </c>
      <c r="C506" s="56">
        <v>426</v>
      </c>
      <c r="D506" s="56" t="s">
        <v>1895</v>
      </c>
      <c r="F506" s="56" t="s">
        <v>24</v>
      </c>
      <c r="G506" s="56">
        <v>1</v>
      </c>
      <c r="H506" s="56">
        <v>1</v>
      </c>
      <c r="I506" s="56">
        <v>850</v>
      </c>
      <c r="J506" s="59" t="s">
        <v>1181</v>
      </c>
      <c r="K506" s="59">
        <v>1</v>
      </c>
      <c r="L506" s="59">
        <f t="shared" si="7"/>
        <v>850</v>
      </c>
      <c r="M506" s="59"/>
    </row>
    <row r="507" spans="1:14" ht="30">
      <c r="A507" s="56">
        <v>427</v>
      </c>
      <c r="B507" s="56">
        <v>427</v>
      </c>
      <c r="C507" s="56">
        <v>427</v>
      </c>
      <c r="D507" s="56" t="s">
        <v>1896</v>
      </c>
      <c r="F507" s="56" t="s">
        <v>24</v>
      </c>
      <c r="G507" s="56">
        <v>1</v>
      </c>
      <c r="H507" s="56">
        <v>1</v>
      </c>
      <c r="I507" s="56">
        <v>1000</v>
      </c>
      <c r="J507" s="59" t="s">
        <v>1181</v>
      </c>
      <c r="K507" s="59">
        <v>1</v>
      </c>
      <c r="L507" s="59">
        <f t="shared" si="7"/>
        <v>1000</v>
      </c>
      <c r="M507" s="59"/>
    </row>
    <row r="508" spans="1:14" ht="30">
      <c r="A508" s="56">
        <v>433</v>
      </c>
      <c r="B508" s="56">
        <v>433</v>
      </c>
      <c r="C508" s="56">
        <v>433</v>
      </c>
      <c r="D508" s="56" t="s">
        <v>1902</v>
      </c>
      <c r="F508" s="56" t="s">
        <v>24</v>
      </c>
      <c r="G508" s="56">
        <v>1</v>
      </c>
      <c r="H508" s="56">
        <v>1</v>
      </c>
      <c r="I508" s="56">
        <v>300</v>
      </c>
      <c r="J508" s="59" t="s">
        <v>1181</v>
      </c>
      <c r="K508" s="59">
        <v>1</v>
      </c>
      <c r="L508" s="59">
        <f t="shared" si="7"/>
        <v>300</v>
      </c>
      <c r="M508" s="59"/>
    </row>
    <row r="509" spans="1:14" ht="30">
      <c r="A509" s="56">
        <v>435</v>
      </c>
      <c r="B509" s="56">
        <v>435</v>
      </c>
      <c r="C509" s="56">
        <v>435</v>
      </c>
      <c r="D509" s="56" t="s">
        <v>1904</v>
      </c>
      <c r="F509" s="56" t="s">
        <v>24</v>
      </c>
      <c r="G509" s="56">
        <v>1</v>
      </c>
      <c r="H509" s="56">
        <v>1</v>
      </c>
      <c r="I509" s="56">
        <v>300</v>
      </c>
      <c r="J509" s="59" t="s">
        <v>1181</v>
      </c>
      <c r="K509" s="59">
        <v>1</v>
      </c>
      <c r="L509" s="59">
        <f t="shared" si="7"/>
        <v>300</v>
      </c>
      <c r="M509" s="59"/>
    </row>
    <row r="510" spans="1:14" ht="30">
      <c r="A510" s="56">
        <v>440</v>
      </c>
      <c r="B510" s="56">
        <v>440</v>
      </c>
      <c r="C510" s="56">
        <v>440</v>
      </c>
      <c r="D510" s="56" t="s">
        <v>1908</v>
      </c>
      <c r="F510" s="56" t="s">
        <v>24</v>
      </c>
      <c r="G510" s="56">
        <v>1</v>
      </c>
      <c r="H510" s="56">
        <v>1</v>
      </c>
      <c r="I510" s="56">
        <v>600</v>
      </c>
      <c r="J510" s="59" t="s">
        <v>1181</v>
      </c>
      <c r="K510" s="59">
        <v>1</v>
      </c>
      <c r="L510" s="59">
        <f t="shared" si="7"/>
        <v>600</v>
      </c>
      <c r="M510" s="59"/>
    </row>
    <row r="511" spans="1:14" ht="30">
      <c r="A511" s="56">
        <v>441</v>
      </c>
      <c r="B511" s="56">
        <v>441</v>
      </c>
      <c r="C511" s="56">
        <v>441</v>
      </c>
      <c r="D511" s="56" t="s">
        <v>1909</v>
      </c>
      <c r="F511" s="56" t="s">
        <v>24</v>
      </c>
      <c r="G511" s="56">
        <v>1</v>
      </c>
      <c r="H511" s="56">
        <v>1</v>
      </c>
      <c r="I511" s="56">
        <v>1200</v>
      </c>
      <c r="J511" s="59" t="s">
        <v>1181</v>
      </c>
      <c r="K511" s="59">
        <v>1</v>
      </c>
      <c r="L511" s="59">
        <f t="shared" si="7"/>
        <v>1200</v>
      </c>
      <c r="M511" s="59"/>
    </row>
    <row r="512" spans="1:14" ht="30">
      <c r="A512" s="56">
        <v>442</v>
      </c>
      <c r="B512" s="56">
        <v>442</v>
      </c>
      <c r="C512" s="56">
        <v>442</v>
      </c>
      <c r="D512" s="56" t="s">
        <v>1910</v>
      </c>
      <c r="F512" s="56" t="s">
        <v>24</v>
      </c>
      <c r="G512" s="56">
        <v>1</v>
      </c>
      <c r="H512" s="56">
        <v>1</v>
      </c>
      <c r="I512" s="56">
        <v>300</v>
      </c>
      <c r="J512" s="59" t="s">
        <v>1181</v>
      </c>
      <c r="K512" s="59">
        <v>1</v>
      </c>
      <c r="L512" s="59">
        <f t="shared" si="7"/>
        <v>300</v>
      </c>
      <c r="M512" s="59"/>
    </row>
    <row r="513" spans="1:13" ht="30">
      <c r="A513" s="56">
        <v>443</v>
      </c>
      <c r="B513" s="56">
        <v>443</v>
      </c>
      <c r="C513" s="56">
        <v>443</v>
      </c>
      <c r="D513" s="56" t="s">
        <v>1911</v>
      </c>
      <c r="F513" s="56" t="s">
        <v>24</v>
      </c>
      <c r="G513" s="56">
        <v>1</v>
      </c>
      <c r="H513" s="56">
        <v>1</v>
      </c>
      <c r="I513" s="56">
        <v>350</v>
      </c>
      <c r="J513" s="59" t="s">
        <v>1181</v>
      </c>
      <c r="K513" s="59">
        <v>1</v>
      </c>
      <c r="L513" s="59">
        <f t="shared" si="7"/>
        <v>350</v>
      </c>
      <c r="M513" s="59"/>
    </row>
    <row r="514" spans="1:13" ht="30">
      <c r="A514" s="56">
        <v>444</v>
      </c>
      <c r="B514" s="56">
        <v>444</v>
      </c>
      <c r="C514" s="56">
        <v>444</v>
      </c>
      <c r="D514" s="56" t="s">
        <v>1912</v>
      </c>
      <c r="F514" s="56" t="s">
        <v>24</v>
      </c>
      <c r="G514" s="56">
        <v>1</v>
      </c>
      <c r="H514" s="56">
        <v>1</v>
      </c>
      <c r="I514" s="56">
        <v>600</v>
      </c>
      <c r="J514" s="59" t="s">
        <v>1181</v>
      </c>
      <c r="K514" s="59">
        <v>1</v>
      </c>
      <c r="L514" s="59">
        <f t="shared" ref="L514:L577" si="8">H514*I514</f>
        <v>600</v>
      </c>
      <c r="M514" s="59"/>
    </row>
    <row r="515" spans="1:13" ht="30">
      <c r="A515" s="56">
        <v>445</v>
      </c>
      <c r="B515" s="56">
        <v>445</v>
      </c>
      <c r="C515" s="56">
        <v>445</v>
      </c>
      <c r="D515" s="56" t="s">
        <v>1913</v>
      </c>
      <c r="F515" s="56" t="s">
        <v>24</v>
      </c>
      <c r="G515" s="56">
        <v>1</v>
      </c>
      <c r="H515" s="56">
        <v>1</v>
      </c>
      <c r="I515" s="56">
        <v>5000</v>
      </c>
      <c r="J515" s="59" t="s">
        <v>1181</v>
      </c>
      <c r="K515" s="59">
        <v>1</v>
      </c>
      <c r="L515" s="59">
        <f t="shared" si="8"/>
        <v>5000</v>
      </c>
      <c r="M515" s="59"/>
    </row>
    <row r="516" spans="1:13" ht="30">
      <c r="A516" s="56">
        <v>447</v>
      </c>
      <c r="B516" s="56">
        <v>447</v>
      </c>
      <c r="C516" s="56">
        <v>447</v>
      </c>
      <c r="D516" s="56" t="s">
        <v>1915</v>
      </c>
      <c r="F516" s="56" t="s">
        <v>24</v>
      </c>
      <c r="G516" s="56">
        <v>1</v>
      </c>
      <c r="H516" s="56">
        <v>1</v>
      </c>
      <c r="I516" s="56">
        <v>450</v>
      </c>
      <c r="J516" s="59" t="s">
        <v>1181</v>
      </c>
      <c r="K516" s="59">
        <v>1</v>
      </c>
      <c r="L516" s="59">
        <f t="shared" si="8"/>
        <v>450</v>
      </c>
      <c r="M516" s="59"/>
    </row>
    <row r="517" spans="1:13" ht="30">
      <c r="A517" s="56">
        <v>449</v>
      </c>
      <c r="B517" s="56">
        <v>449</v>
      </c>
      <c r="C517" s="56">
        <v>449</v>
      </c>
      <c r="D517" s="56" t="s">
        <v>1917</v>
      </c>
      <c r="F517" s="56" t="s">
        <v>24</v>
      </c>
      <c r="G517" s="56">
        <v>1</v>
      </c>
      <c r="H517" s="56">
        <v>1</v>
      </c>
      <c r="I517" s="56">
        <v>350</v>
      </c>
      <c r="J517" s="59" t="s">
        <v>1181</v>
      </c>
      <c r="K517" s="59">
        <v>1</v>
      </c>
      <c r="L517" s="59">
        <f t="shared" si="8"/>
        <v>350</v>
      </c>
      <c r="M517" s="59"/>
    </row>
    <row r="518" spans="1:13" ht="30">
      <c r="A518" s="56">
        <v>451</v>
      </c>
      <c r="B518" s="56">
        <v>451</v>
      </c>
      <c r="C518" s="56">
        <v>451</v>
      </c>
      <c r="D518" s="56" t="s">
        <v>1919</v>
      </c>
      <c r="F518" s="56" t="s">
        <v>24</v>
      </c>
      <c r="G518" s="56">
        <v>1</v>
      </c>
      <c r="H518" s="56">
        <v>1</v>
      </c>
      <c r="I518" s="56">
        <v>550</v>
      </c>
      <c r="J518" s="59" t="s">
        <v>1181</v>
      </c>
      <c r="K518" s="59">
        <v>1</v>
      </c>
      <c r="L518" s="59">
        <f t="shared" si="8"/>
        <v>550</v>
      </c>
      <c r="M518" s="59"/>
    </row>
    <row r="519" spans="1:13" ht="30">
      <c r="A519" s="56">
        <v>452</v>
      </c>
      <c r="B519" s="56">
        <v>452</v>
      </c>
      <c r="C519" s="56">
        <v>452</v>
      </c>
      <c r="D519" s="56" t="s">
        <v>1920</v>
      </c>
      <c r="F519" s="56" t="s">
        <v>24</v>
      </c>
      <c r="G519" s="56">
        <v>1</v>
      </c>
      <c r="H519" s="56">
        <v>1</v>
      </c>
      <c r="I519" s="56">
        <v>500</v>
      </c>
      <c r="J519" s="59" t="s">
        <v>1181</v>
      </c>
      <c r="K519" s="59">
        <v>1</v>
      </c>
      <c r="L519" s="59">
        <f t="shared" si="8"/>
        <v>500</v>
      </c>
      <c r="M519" s="59"/>
    </row>
    <row r="520" spans="1:13" ht="30">
      <c r="A520" s="56">
        <v>461</v>
      </c>
      <c r="B520" s="56">
        <v>461</v>
      </c>
      <c r="C520" s="56">
        <v>461</v>
      </c>
      <c r="D520" s="56" t="s">
        <v>1929</v>
      </c>
      <c r="F520" s="56" t="s">
        <v>24</v>
      </c>
      <c r="G520" s="56">
        <v>1</v>
      </c>
      <c r="H520" s="56">
        <v>1</v>
      </c>
      <c r="I520" s="56">
        <v>900</v>
      </c>
      <c r="J520" s="59" t="s">
        <v>1181</v>
      </c>
      <c r="K520" s="59">
        <v>1</v>
      </c>
      <c r="L520" s="59">
        <f t="shared" si="8"/>
        <v>900</v>
      </c>
      <c r="M520" s="59"/>
    </row>
    <row r="521" spans="1:13" ht="30">
      <c r="A521" s="56">
        <v>462</v>
      </c>
      <c r="B521" s="56">
        <v>462</v>
      </c>
      <c r="C521" s="56">
        <v>462</v>
      </c>
      <c r="D521" s="56" t="s">
        <v>1930</v>
      </c>
      <c r="F521" s="56" t="s">
        <v>24</v>
      </c>
      <c r="G521" s="56">
        <v>1</v>
      </c>
      <c r="H521" s="56">
        <v>1</v>
      </c>
      <c r="I521" s="56">
        <v>900</v>
      </c>
      <c r="J521" s="59" t="s">
        <v>1181</v>
      </c>
      <c r="K521" s="59">
        <v>1</v>
      </c>
      <c r="L521" s="59">
        <f t="shared" si="8"/>
        <v>900</v>
      </c>
      <c r="M521" s="59"/>
    </row>
    <row r="522" spans="1:13" ht="30">
      <c r="A522" s="56">
        <v>465</v>
      </c>
      <c r="B522" s="56">
        <v>465</v>
      </c>
      <c r="C522" s="56">
        <v>465</v>
      </c>
      <c r="D522" s="56" t="s">
        <v>1933</v>
      </c>
      <c r="F522" s="56" t="s">
        <v>24</v>
      </c>
      <c r="G522" s="56">
        <v>1</v>
      </c>
      <c r="H522" s="56">
        <v>1</v>
      </c>
      <c r="I522" s="56">
        <v>1000</v>
      </c>
      <c r="J522" s="59" t="s">
        <v>1181</v>
      </c>
      <c r="K522" s="59">
        <v>1</v>
      </c>
      <c r="L522" s="59">
        <f t="shared" si="8"/>
        <v>1000</v>
      </c>
      <c r="M522" s="59"/>
    </row>
    <row r="523" spans="1:13" ht="30">
      <c r="A523" s="56">
        <v>468</v>
      </c>
      <c r="B523" s="56">
        <v>468</v>
      </c>
      <c r="C523" s="56">
        <v>468</v>
      </c>
      <c r="D523" s="56" t="s">
        <v>1936</v>
      </c>
      <c r="F523" s="56" t="s">
        <v>24</v>
      </c>
      <c r="G523" s="56">
        <v>1</v>
      </c>
      <c r="H523" s="56">
        <v>1</v>
      </c>
      <c r="I523" s="56">
        <v>900</v>
      </c>
      <c r="J523" s="59" t="s">
        <v>1181</v>
      </c>
      <c r="K523" s="59">
        <v>1</v>
      </c>
      <c r="L523" s="59">
        <f t="shared" si="8"/>
        <v>900</v>
      </c>
      <c r="M523" s="59"/>
    </row>
    <row r="524" spans="1:13" ht="30">
      <c r="A524" s="56">
        <v>469</v>
      </c>
      <c r="B524" s="56">
        <v>469</v>
      </c>
      <c r="C524" s="56">
        <v>469</v>
      </c>
      <c r="D524" s="56" t="s">
        <v>57</v>
      </c>
      <c r="F524" s="56" t="s">
        <v>24</v>
      </c>
      <c r="G524" s="56">
        <v>1</v>
      </c>
      <c r="H524" s="56">
        <v>1</v>
      </c>
      <c r="I524" s="56">
        <v>850</v>
      </c>
      <c r="J524" s="59" t="s">
        <v>1181</v>
      </c>
      <c r="K524" s="59">
        <v>1</v>
      </c>
      <c r="L524" s="59">
        <f t="shared" si="8"/>
        <v>850</v>
      </c>
      <c r="M524" s="59"/>
    </row>
    <row r="525" spans="1:13" ht="30">
      <c r="A525" s="56">
        <v>470</v>
      </c>
      <c r="B525" s="56">
        <v>470</v>
      </c>
      <c r="C525" s="56">
        <v>470</v>
      </c>
      <c r="D525" s="56" t="s">
        <v>58</v>
      </c>
      <c r="F525" s="56" t="s">
        <v>24</v>
      </c>
      <c r="G525" s="56">
        <v>1</v>
      </c>
      <c r="H525" s="56">
        <v>1</v>
      </c>
      <c r="I525" s="56">
        <v>750</v>
      </c>
      <c r="J525" s="59" t="s">
        <v>1181</v>
      </c>
      <c r="K525" s="59">
        <v>1</v>
      </c>
      <c r="L525" s="59">
        <f t="shared" si="8"/>
        <v>750</v>
      </c>
      <c r="M525" s="59"/>
    </row>
    <row r="526" spans="1:13" ht="30">
      <c r="A526" s="56">
        <v>471</v>
      </c>
      <c r="B526" s="56">
        <v>471</v>
      </c>
      <c r="C526" s="56">
        <v>471</v>
      </c>
      <c r="D526" s="56" t="s">
        <v>1937</v>
      </c>
      <c r="F526" s="56" t="s">
        <v>24</v>
      </c>
      <c r="G526" s="56">
        <v>1</v>
      </c>
      <c r="H526" s="56">
        <v>1</v>
      </c>
      <c r="I526" s="56">
        <v>600</v>
      </c>
      <c r="J526" s="59" t="s">
        <v>1181</v>
      </c>
      <c r="K526" s="59">
        <v>1</v>
      </c>
      <c r="L526" s="59">
        <f t="shared" si="8"/>
        <v>600</v>
      </c>
      <c r="M526" s="59"/>
    </row>
    <row r="527" spans="1:13" ht="30">
      <c r="A527" s="56">
        <v>494</v>
      </c>
      <c r="B527" s="56">
        <v>494</v>
      </c>
      <c r="C527" s="56">
        <v>494</v>
      </c>
      <c r="D527" s="56" t="s">
        <v>61</v>
      </c>
      <c r="F527" s="56" t="s">
        <v>24</v>
      </c>
      <c r="G527" s="56">
        <v>1</v>
      </c>
      <c r="H527" s="56">
        <v>1</v>
      </c>
      <c r="I527" s="56">
        <v>68</v>
      </c>
      <c r="J527" s="59" t="s">
        <v>1181</v>
      </c>
      <c r="K527" s="59">
        <v>1</v>
      </c>
      <c r="L527" s="59">
        <f t="shared" si="8"/>
        <v>68</v>
      </c>
      <c r="M527" s="59"/>
    </row>
    <row r="528" spans="1:13" ht="30">
      <c r="A528" s="56">
        <v>500</v>
      </c>
      <c r="B528" s="56">
        <v>500</v>
      </c>
      <c r="C528" s="56">
        <v>500</v>
      </c>
      <c r="D528" s="56" t="s">
        <v>1963</v>
      </c>
      <c r="F528" s="56" t="s">
        <v>24</v>
      </c>
      <c r="G528" s="56">
        <v>1</v>
      </c>
      <c r="H528" s="56">
        <v>1</v>
      </c>
      <c r="I528" s="56">
        <v>1600</v>
      </c>
      <c r="J528" s="59" t="s">
        <v>1181</v>
      </c>
      <c r="K528" s="59">
        <v>1</v>
      </c>
      <c r="L528" s="59">
        <f t="shared" si="8"/>
        <v>1600</v>
      </c>
      <c r="M528" s="59"/>
    </row>
    <row r="529" spans="1:13" ht="30">
      <c r="A529" s="56">
        <v>501</v>
      </c>
      <c r="B529" s="56">
        <v>501</v>
      </c>
      <c r="C529" s="56">
        <v>501</v>
      </c>
      <c r="D529" s="56" t="s">
        <v>1964</v>
      </c>
      <c r="F529" s="56" t="s">
        <v>24</v>
      </c>
      <c r="G529" s="56">
        <v>1</v>
      </c>
      <c r="H529" s="56">
        <v>1</v>
      </c>
      <c r="I529" s="56">
        <v>1000</v>
      </c>
      <c r="J529" s="59" t="s">
        <v>1181</v>
      </c>
      <c r="K529" s="59">
        <v>1</v>
      </c>
      <c r="L529" s="59">
        <f t="shared" si="8"/>
        <v>1000</v>
      </c>
      <c r="M529" s="59"/>
    </row>
    <row r="530" spans="1:13" ht="30">
      <c r="A530" s="56">
        <v>502</v>
      </c>
      <c r="B530" s="56">
        <v>502</v>
      </c>
      <c r="C530" s="56">
        <v>502</v>
      </c>
      <c r="D530" s="56" t="s">
        <v>1965</v>
      </c>
      <c r="F530" s="56" t="s">
        <v>24</v>
      </c>
      <c r="G530" s="56">
        <v>1</v>
      </c>
      <c r="H530" s="56">
        <v>1</v>
      </c>
      <c r="I530" s="56">
        <v>1200</v>
      </c>
      <c r="J530" s="59" t="s">
        <v>1181</v>
      </c>
      <c r="K530" s="59">
        <v>1</v>
      </c>
      <c r="L530" s="59">
        <f t="shared" si="8"/>
        <v>1200</v>
      </c>
      <c r="M530" s="59"/>
    </row>
    <row r="531" spans="1:13" ht="30">
      <c r="A531" s="56">
        <v>504</v>
      </c>
      <c r="B531" s="56">
        <v>504</v>
      </c>
      <c r="C531" s="56">
        <v>504</v>
      </c>
      <c r="D531" s="56" t="s">
        <v>1967</v>
      </c>
      <c r="F531" s="56" t="s">
        <v>24</v>
      </c>
      <c r="G531" s="56">
        <v>1</v>
      </c>
      <c r="H531" s="56">
        <v>1</v>
      </c>
      <c r="I531" s="56">
        <v>1300</v>
      </c>
      <c r="J531" s="59" t="s">
        <v>1181</v>
      </c>
      <c r="K531" s="59">
        <v>1</v>
      </c>
      <c r="L531" s="59">
        <f t="shared" si="8"/>
        <v>1300</v>
      </c>
      <c r="M531" s="59"/>
    </row>
    <row r="532" spans="1:13" ht="30">
      <c r="A532" s="56">
        <v>510</v>
      </c>
      <c r="B532" s="56">
        <v>510</v>
      </c>
      <c r="C532" s="56">
        <v>510</v>
      </c>
      <c r="D532" s="56" t="s">
        <v>1972</v>
      </c>
      <c r="F532" s="56" t="s">
        <v>24</v>
      </c>
      <c r="G532" s="56">
        <v>1</v>
      </c>
      <c r="H532" s="56">
        <v>1</v>
      </c>
      <c r="I532" s="56">
        <v>1400</v>
      </c>
      <c r="J532" s="59" t="s">
        <v>1181</v>
      </c>
      <c r="K532" s="59">
        <v>1</v>
      </c>
      <c r="L532" s="59">
        <f t="shared" si="8"/>
        <v>1400</v>
      </c>
      <c r="M532" s="59"/>
    </row>
    <row r="533" spans="1:13" ht="30">
      <c r="A533" s="56">
        <v>511</v>
      </c>
      <c r="B533" s="56">
        <v>511</v>
      </c>
      <c r="C533" s="56">
        <v>511</v>
      </c>
      <c r="D533" s="56" t="s">
        <v>1973</v>
      </c>
      <c r="F533" s="56" t="s">
        <v>24</v>
      </c>
      <c r="G533" s="56">
        <v>1</v>
      </c>
      <c r="H533" s="56">
        <v>1</v>
      </c>
      <c r="I533" s="56">
        <v>1100</v>
      </c>
      <c r="J533" s="59" t="s">
        <v>1181</v>
      </c>
      <c r="K533" s="59">
        <v>1</v>
      </c>
      <c r="L533" s="59">
        <f t="shared" si="8"/>
        <v>1100</v>
      </c>
      <c r="M533" s="59"/>
    </row>
    <row r="534" spans="1:13" ht="30">
      <c r="A534" s="56">
        <v>512</v>
      </c>
      <c r="B534" s="56">
        <v>512</v>
      </c>
      <c r="C534" s="56">
        <v>512</v>
      </c>
      <c r="D534" s="56" t="s">
        <v>1974</v>
      </c>
      <c r="F534" s="56" t="s">
        <v>24</v>
      </c>
      <c r="G534" s="56">
        <v>1</v>
      </c>
      <c r="H534" s="56">
        <v>1</v>
      </c>
      <c r="I534" s="56">
        <v>900</v>
      </c>
      <c r="J534" s="59" t="s">
        <v>1181</v>
      </c>
      <c r="K534" s="59">
        <v>1</v>
      </c>
      <c r="L534" s="59">
        <f t="shared" si="8"/>
        <v>900</v>
      </c>
      <c r="M534" s="59"/>
    </row>
    <row r="535" spans="1:13" ht="30">
      <c r="A535" s="56">
        <v>517</v>
      </c>
      <c r="B535" s="56">
        <v>517</v>
      </c>
      <c r="C535" s="56">
        <v>517</v>
      </c>
      <c r="D535" s="56" t="s">
        <v>1979</v>
      </c>
      <c r="F535" s="56" t="s">
        <v>24</v>
      </c>
      <c r="G535" s="56">
        <v>1</v>
      </c>
      <c r="H535" s="56">
        <v>1</v>
      </c>
      <c r="I535" s="56">
        <v>450</v>
      </c>
      <c r="J535" s="59" t="s">
        <v>1181</v>
      </c>
      <c r="K535" s="59">
        <v>1</v>
      </c>
      <c r="L535" s="59">
        <f t="shared" si="8"/>
        <v>450</v>
      </c>
      <c r="M535" s="59"/>
    </row>
    <row r="536" spans="1:13" ht="30">
      <c r="A536" s="56">
        <v>518</v>
      </c>
      <c r="B536" s="56">
        <v>518</v>
      </c>
      <c r="C536" s="56">
        <v>518</v>
      </c>
      <c r="D536" s="56" t="s">
        <v>1980</v>
      </c>
      <c r="F536" s="56" t="s">
        <v>24</v>
      </c>
      <c r="G536" s="56">
        <v>1</v>
      </c>
      <c r="H536" s="56">
        <v>1</v>
      </c>
      <c r="I536" s="56">
        <v>600</v>
      </c>
      <c r="J536" s="59" t="s">
        <v>1181</v>
      </c>
      <c r="K536" s="59">
        <v>1</v>
      </c>
      <c r="L536" s="59">
        <f t="shared" si="8"/>
        <v>600</v>
      </c>
      <c r="M536" s="59"/>
    </row>
    <row r="537" spans="1:13" ht="30">
      <c r="A537" s="56">
        <v>520</v>
      </c>
      <c r="B537" s="56">
        <v>520</v>
      </c>
      <c r="C537" s="56">
        <v>520</v>
      </c>
      <c r="D537" s="56" t="s">
        <v>1982</v>
      </c>
      <c r="F537" s="56" t="s">
        <v>24</v>
      </c>
      <c r="G537" s="56">
        <v>1</v>
      </c>
      <c r="H537" s="56">
        <v>1</v>
      </c>
      <c r="I537" s="56">
        <v>2600</v>
      </c>
      <c r="J537" s="59" t="s">
        <v>1181</v>
      </c>
      <c r="K537" s="59">
        <v>1</v>
      </c>
      <c r="L537" s="59">
        <f t="shared" si="8"/>
        <v>2600</v>
      </c>
      <c r="M537" s="59"/>
    </row>
    <row r="538" spans="1:13" ht="30">
      <c r="A538" s="56">
        <v>521</v>
      </c>
      <c r="B538" s="56">
        <v>521</v>
      </c>
      <c r="C538" s="56">
        <v>521</v>
      </c>
      <c r="D538" s="56" t="s">
        <v>1983</v>
      </c>
      <c r="F538" s="56" t="s">
        <v>24</v>
      </c>
      <c r="G538" s="56">
        <v>1</v>
      </c>
      <c r="H538" s="56">
        <v>1</v>
      </c>
      <c r="I538" s="56">
        <v>450</v>
      </c>
      <c r="J538" s="59" t="s">
        <v>1181</v>
      </c>
      <c r="K538" s="59">
        <v>1</v>
      </c>
      <c r="L538" s="59">
        <f t="shared" si="8"/>
        <v>450</v>
      </c>
      <c r="M538" s="59"/>
    </row>
    <row r="539" spans="1:13" ht="30">
      <c r="A539" s="56">
        <v>522</v>
      </c>
      <c r="B539" s="56">
        <v>522</v>
      </c>
      <c r="C539" s="56">
        <v>522</v>
      </c>
      <c r="D539" s="56" t="s">
        <v>1984</v>
      </c>
      <c r="F539" s="56" t="s">
        <v>24</v>
      </c>
      <c r="G539" s="56">
        <v>1</v>
      </c>
      <c r="H539" s="56">
        <v>1</v>
      </c>
      <c r="I539" s="56">
        <v>500</v>
      </c>
      <c r="J539" s="59" t="s">
        <v>1181</v>
      </c>
      <c r="K539" s="59">
        <v>1</v>
      </c>
      <c r="L539" s="59">
        <f t="shared" si="8"/>
        <v>500</v>
      </c>
      <c r="M539" s="59"/>
    </row>
    <row r="540" spans="1:13" ht="30">
      <c r="A540" s="56">
        <v>523</v>
      </c>
      <c r="B540" s="56">
        <v>523</v>
      </c>
      <c r="C540" s="56">
        <v>523</v>
      </c>
      <c r="D540" s="56" t="s">
        <v>1985</v>
      </c>
      <c r="F540" s="56" t="s">
        <v>24</v>
      </c>
      <c r="G540" s="56">
        <v>1</v>
      </c>
      <c r="H540" s="56">
        <v>1</v>
      </c>
      <c r="I540" s="56">
        <v>600</v>
      </c>
      <c r="J540" s="59" t="s">
        <v>1181</v>
      </c>
      <c r="K540" s="59">
        <v>1</v>
      </c>
      <c r="L540" s="59">
        <f t="shared" si="8"/>
        <v>600</v>
      </c>
      <c r="M540" s="59"/>
    </row>
    <row r="541" spans="1:13" ht="30">
      <c r="A541" s="56">
        <v>527</v>
      </c>
      <c r="B541" s="56">
        <v>527</v>
      </c>
      <c r="C541" s="56">
        <v>527</v>
      </c>
      <c r="D541" s="56" t="s">
        <v>1989</v>
      </c>
      <c r="F541" s="56" t="s">
        <v>24</v>
      </c>
      <c r="G541" s="56">
        <v>1</v>
      </c>
      <c r="H541" s="56">
        <v>1</v>
      </c>
      <c r="I541" s="56">
        <v>800</v>
      </c>
      <c r="J541" s="59" t="s">
        <v>1181</v>
      </c>
      <c r="K541" s="59">
        <v>1</v>
      </c>
      <c r="L541" s="59">
        <f t="shared" si="8"/>
        <v>800</v>
      </c>
      <c r="M541" s="59"/>
    </row>
    <row r="542" spans="1:13" ht="30">
      <c r="A542" s="56">
        <v>529</v>
      </c>
      <c r="B542" s="56">
        <v>529</v>
      </c>
      <c r="C542" s="56">
        <v>529</v>
      </c>
      <c r="D542" s="56" t="s">
        <v>1991</v>
      </c>
      <c r="F542" s="56" t="s">
        <v>24</v>
      </c>
      <c r="G542" s="56">
        <v>1</v>
      </c>
      <c r="H542" s="56">
        <v>1</v>
      </c>
      <c r="I542" s="56">
        <v>600</v>
      </c>
      <c r="J542" s="59" t="s">
        <v>1181</v>
      </c>
      <c r="K542" s="59">
        <v>1</v>
      </c>
      <c r="L542" s="59">
        <f t="shared" si="8"/>
        <v>600</v>
      </c>
      <c r="M542" s="59"/>
    </row>
    <row r="543" spans="1:13" ht="30">
      <c r="A543" s="56">
        <v>530</v>
      </c>
      <c r="B543" s="56">
        <v>530</v>
      </c>
      <c r="C543" s="56">
        <v>530</v>
      </c>
      <c r="D543" s="56" t="s">
        <v>1992</v>
      </c>
      <c r="F543" s="56" t="s">
        <v>24</v>
      </c>
      <c r="G543" s="56">
        <v>1</v>
      </c>
      <c r="H543" s="56">
        <v>1</v>
      </c>
      <c r="I543" s="56">
        <v>750</v>
      </c>
      <c r="J543" s="59" t="s">
        <v>1181</v>
      </c>
      <c r="K543" s="59">
        <v>1</v>
      </c>
      <c r="L543" s="59">
        <f t="shared" si="8"/>
        <v>750</v>
      </c>
      <c r="M543" s="59"/>
    </row>
    <row r="544" spans="1:13" ht="30">
      <c r="A544" s="56">
        <v>531</v>
      </c>
      <c r="B544" s="56">
        <v>531</v>
      </c>
      <c r="C544" s="56">
        <v>531</v>
      </c>
      <c r="D544" s="56" t="s">
        <v>1993</v>
      </c>
      <c r="F544" s="56" t="s">
        <v>24</v>
      </c>
      <c r="G544" s="56">
        <v>1</v>
      </c>
      <c r="H544" s="56">
        <v>1</v>
      </c>
      <c r="I544" s="56">
        <v>900</v>
      </c>
      <c r="J544" s="59" t="s">
        <v>1181</v>
      </c>
      <c r="K544" s="59">
        <v>1</v>
      </c>
      <c r="L544" s="59">
        <f t="shared" si="8"/>
        <v>900</v>
      </c>
      <c r="M544" s="59"/>
    </row>
    <row r="545" spans="1:14" ht="30">
      <c r="A545" s="56">
        <v>540</v>
      </c>
      <c r="B545" s="56">
        <v>540</v>
      </c>
      <c r="C545" s="56">
        <v>540</v>
      </c>
      <c r="D545" s="56" t="s">
        <v>2002</v>
      </c>
      <c r="F545" s="56" t="s">
        <v>24</v>
      </c>
      <c r="G545" s="56">
        <v>1</v>
      </c>
      <c r="H545" s="56">
        <v>1</v>
      </c>
      <c r="I545" s="56">
        <v>350</v>
      </c>
      <c r="J545" s="59" t="s">
        <v>1181</v>
      </c>
      <c r="K545" s="59">
        <v>1</v>
      </c>
      <c r="L545" s="59">
        <f t="shared" si="8"/>
        <v>350</v>
      </c>
      <c r="M545" s="59"/>
    </row>
    <row r="546" spans="1:14" ht="30">
      <c r="A546" s="56">
        <v>543</v>
      </c>
      <c r="B546" s="56">
        <v>543</v>
      </c>
      <c r="C546" s="56">
        <v>543</v>
      </c>
      <c r="D546" s="56" t="s">
        <v>2005</v>
      </c>
      <c r="F546" s="56" t="s">
        <v>24</v>
      </c>
      <c r="G546" s="56">
        <v>1</v>
      </c>
      <c r="H546" s="56">
        <v>1</v>
      </c>
      <c r="I546" s="56">
        <v>1400</v>
      </c>
      <c r="J546" s="59" t="s">
        <v>1181</v>
      </c>
      <c r="K546" s="59">
        <v>1</v>
      </c>
      <c r="L546" s="59">
        <f t="shared" si="8"/>
        <v>1400</v>
      </c>
      <c r="M546" s="59"/>
    </row>
    <row r="547" spans="1:14" ht="30">
      <c r="A547" s="56">
        <v>545</v>
      </c>
      <c r="B547" s="56">
        <v>545</v>
      </c>
      <c r="C547" s="56">
        <v>545</v>
      </c>
      <c r="D547" s="56" t="s">
        <v>2007</v>
      </c>
      <c r="F547" s="56" t="s">
        <v>24</v>
      </c>
      <c r="G547" s="56">
        <v>1</v>
      </c>
      <c r="H547" s="56">
        <v>1</v>
      </c>
      <c r="I547" s="56">
        <v>420</v>
      </c>
      <c r="J547" s="59" t="s">
        <v>1181</v>
      </c>
      <c r="K547" s="59">
        <v>1</v>
      </c>
      <c r="L547" s="59">
        <f t="shared" si="8"/>
        <v>420</v>
      </c>
      <c r="M547" s="59"/>
    </row>
    <row r="548" spans="1:14" ht="30">
      <c r="A548" s="56">
        <v>551</v>
      </c>
      <c r="B548" s="56">
        <v>551</v>
      </c>
      <c r="C548" s="56">
        <v>551</v>
      </c>
      <c r="D548" s="56" t="s">
        <v>2013</v>
      </c>
      <c r="F548" s="56" t="s">
        <v>24</v>
      </c>
      <c r="G548" s="56">
        <v>1</v>
      </c>
      <c r="H548" s="56">
        <v>1</v>
      </c>
      <c r="I548" s="56">
        <v>200</v>
      </c>
      <c r="J548" s="59" t="s">
        <v>1181</v>
      </c>
      <c r="K548" s="59">
        <v>1</v>
      </c>
      <c r="L548" s="59">
        <f t="shared" si="8"/>
        <v>200</v>
      </c>
      <c r="M548" s="59"/>
    </row>
    <row r="549" spans="1:14" ht="30">
      <c r="A549" s="56">
        <v>552</v>
      </c>
      <c r="B549" s="56">
        <v>552</v>
      </c>
      <c r="C549" s="56">
        <v>552</v>
      </c>
      <c r="D549" s="56" t="s">
        <v>2014</v>
      </c>
      <c r="F549" s="56" t="s">
        <v>24</v>
      </c>
      <c r="G549" s="56">
        <v>1</v>
      </c>
      <c r="H549" s="56">
        <v>1</v>
      </c>
      <c r="I549" s="56">
        <v>350</v>
      </c>
      <c r="J549" s="59" t="s">
        <v>1181</v>
      </c>
      <c r="K549" s="59">
        <v>1</v>
      </c>
      <c r="L549" s="59">
        <f t="shared" si="8"/>
        <v>350</v>
      </c>
      <c r="M549" s="59"/>
    </row>
    <row r="550" spans="1:14" ht="30">
      <c r="A550" s="56">
        <v>556</v>
      </c>
      <c r="B550" s="56">
        <v>556</v>
      </c>
      <c r="C550" s="56">
        <v>556</v>
      </c>
      <c r="D550" s="56" t="s">
        <v>2018</v>
      </c>
      <c r="F550" s="56" t="s">
        <v>24</v>
      </c>
      <c r="G550" s="56">
        <v>1</v>
      </c>
      <c r="H550" s="56">
        <v>1</v>
      </c>
      <c r="I550" s="56">
        <v>1600</v>
      </c>
      <c r="J550" s="59" t="s">
        <v>1181</v>
      </c>
      <c r="K550" s="59">
        <v>1</v>
      </c>
      <c r="L550" s="59">
        <f t="shared" si="8"/>
        <v>1600</v>
      </c>
      <c r="M550" s="59"/>
    </row>
    <row r="551" spans="1:14" ht="30">
      <c r="A551" s="56">
        <v>559</v>
      </c>
      <c r="B551" s="56">
        <v>559</v>
      </c>
      <c r="C551" s="56">
        <v>559</v>
      </c>
      <c r="D551" s="56" t="s">
        <v>2020</v>
      </c>
      <c r="F551" s="56" t="s">
        <v>24</v>
      </c>
      <c r="G551" s="56">
        <v>1</v>
      </c>
      <c r="H551" s="56">
        <v>1</v>
      </c>
      <c r="I551" s="56">
        <v>75</v>
      </c>
      <c r="J551" s="59" t="s">
        <v>1181</v>
      </c>
      <c r="K551" s="59">
        <v>1</v>
      </c>
      <c r="L551" s="59">
        <f t="shared" si="8"/>
        <v>75</v>
      </c>
      <c r="M551" s="59"/>
    </row>
    <row r="552" spans="1:14" ht="30">
      <c r="A552" s="56">
        <v>562</v>
      </c>
      <c r="B552" s="56">
        <v>562</v>
      </c>
      <c r="C552" s="56">
        <v>562</v>
      </c>
      <c r="D552" s="56" t="s">
        <v>2023</v>
      </c>
      <c r="F552" s="56" t="s">
        <v>24</v>
      </c>
      <c r="G552" s="56">
        <v>1</v>
      </c>
      <c r="H552" s="56">
        <v>1</v>
      </c>
      <c r="I552" s="56">
        <v>1200</v>
      </c>
      <c r="J552" s="59" t="s">
        <v>1181</v>
      </c>
      <c r="K552" s="59">
        <v>1</v>
      </c>
      <c r="L552" s="59">
        <f t="shared" si="8"/>
        <v>1200</v>
      </c>
      <c r="M552" s="59"/>
    </row>
    <row r="553" spans="1:14" ht="30">
      <c r="A553" s="56">
        <v>576</v>
      </c>
      <c r="B553" s="56">
        <v>576</v>
      </c>
      <c r="C553" s="56">
        <v>576</v>
      </c>
      <c r="D553" s="56" t="s">
        <v>2034</v>
      </c>
      <c r="F553" s="56" t="s">
        <v>24</v>
      </c>
      <c r="G553" s="56">
        <v>1</v>
      </c>
      <c r="H553" s="56">
        <v>1</v>
      </c>
      <c r="I553" s="56">
        <v>500</v>
      </c>
      <c r="J553" s="59" t="s">
        <v>1181</v>
      </c>
      <c r="K553" s="59">
        <v>1</v>
      </c>
      <c r="L553" s="59">
        <f t="shared" si="8"/>
        <v>500</v>
      </c>
      <c r="M553" s="59"/>
    </row>
    <row r="554" spans="1:14" ht="30">
      <c r="A554" s="56">
        <v>579</v>
      </c>
      <c r="B554" s="56">
        <v>579</v>
      </c>
      <c r="C554" s="56">
        <v>579</v>
      </c>
      <c r="D554" s="56" t="s">
        <v>2037</v>
      </c>
      <c r="F554" s="56" t="s">
        <v>24</v>
      </c>
      <c r="G554" s="56">
        <v>1</v>
      </c>
      <c r="H554" s="56">
        <v>1</v>
      </c>
      <c r="I554" s="56">
        <v>600</v>
      </c>
      <c r="J554" s="59" t="s">
        <v>1181</v>
      </c>
      <c r="K554" s="59">
        <v>1</v>
      </c>
      <c r="L554" s="59">
        <f t="shared" si="8"/>
        <v>600</v>
      </c>
      <c r="M554" s="59"/>
    </row>
    <row r="555" spans="1:14" ht="30">
      <c r="A555" s="56">
        <v>604</v>
      </c>
      <c r="B555" s="56">
        <v>604</v>
      </c>
      <c r="C555" s="56">
        <v>604</v>
      </c>
      <c r="D555" s="56" t="s">
        <v>1278</v>
      </c>
      <c r="F555" s="58" t="s">
        <v>24</v>
      </c>
      <c r="G555" s="58">
        <v>1</v>
      </c>
      <c r="H555" s="58">
        <v>1</v>
      </c>
      <c r="I555" s="56">
        <v>20</v>
      </c>
      <c r="J555" s="59" t="s">
        <v>1181</v>
      </c>
      <c r="K555" s="59">
        <v>1</v>
      </c>
      <c r="L555" s="59">
        <f t="shared" si="8"/>
        <v>20</v>
      </c>
      <c r="M555" s="59"/>
      <c r="N555" s="58"/>
    </row>
    <row r="556" spans="1:14" ht="30">
      <c r="A556" s="56">
        <v>616</v>
      </c>
      <c r="B556" s="56">
        <v>616</v>
      </c>
      <c r="C556" s="56">
        <v>616</v>
      </c>
      <c r="D556" s="56" t="s">
        <v>2063</v>
      </c>
      <c r="F556" s="56" t="s">
        <v>24</v>
      </c>
      <c r="G556" s="56">
        <v>1</v>
      </c>
      <c r="H556" s="56">
        <v>1</v>
      </c>
      <c r="I556" s="56">
        <v>500</v>
      </c>
      <c r="J556" s="59" t="s">
        <v>1181</v>
      </c>
      <c r="K556" s="59">
        <v>1</v>
      </c>
      <c r="L556" s="59">
        <f t="shared" si="8"/>
        <v>500</v>
      </c>
      <c r="M556" s="59"/>
    </row>
    <row r="557" spans="1:14" ht="30">
      <c r="A557" s="56">
        <v>617</v>
      </c>
      <c r="B557" s="56">
        <v>617</v>
      </c>
      <c r="C557" s="56">
        <v>617</v>
      </c>
      <c r="D557" s="56" t="s">
        <v>2064</v>
      </c>
      <c r="F557" s="56" t="s">
        <v>24</v>
      </c>
      <c r="G557" s="56">
        <v>1</v>
      </c>
      <c r="H557" s="56">
        <v>1</v>
      </c>
      <c r="I557" s="56">
        <v>1150</v>
      </c>
      <c r="J557" s="59" t="s">
        <v>1181</v>
      </c>
      <c r="K557" s="59">
        <v>1</v>
      </c>
      <c r="L557" s="59">
        <f t="shared" si="8"/>
        <v>1150</v>
      </c>
      <c r="M557" s="59"/>
    </row>
    <row r="558" spans="1:14" ht="30">
      <c r="A558" s="56">
        <v>622</v>
      </c>
      <c r="B558" s="56">
        <v>622</v>
      </c>
      <c r="C558" s="56">
        <v>622</v>
      </c>
      <c r="D558" s="56" t="s">
        <v>2069</v>
      </c>
      <c r="F558" s="56" t="s">
        <v>24</v>
      </c>
      <c r="G558" s="56">
        <v>1</v>
      </c>
      <c r="H558" s="56">
        <v>1</v>
      </c>
      <c r="I558" s="56">
        <v>300</v>
      </c>
      <c r="J558" s="59" t="s">
        <v>1181</v>
      </c>
      <c r="K558" s="59">
        <v>1</v>
      </c>
      <c r="L558" s="59">
        <f t="shared" si="8"/>
        <v>300</v>
      </c>
      <c r="M558" s="59"/>
    </row>
    <row r="559" spans="1:14" ht="30">
      <c r="A559" s="56">
        <v>632</v>
      </c>
      <c r="B559" s="56">
        <v>632</v>
      </c>
      <c r="C559" s="56">
        <v>632</v>
      </c>
      <c r="D559" s="56" t="s">
        <v>2076</v>
      </c>
      <c r="F559" s="56" t="s">
        <v>24</v>
      </c>
      <c r="G559" s="56">
        <v>1</v>
      </c>
      <c r="H559" s="56">
        <v>1</v>
      </c>
      <c r="I559" s="56">
        <v>1200</v>
      </c>
      <c r="J559" s="59" t="s">
        <v>1181</v>
      </c>
      <c r="K559" s="59">
        <v>1</v>
      </c>
      <c r="L559" s="59">
        <f t="shared" si="8"/>
        <v>1200</v>
      </c>
      <c r="M559" s="59"/>
    </row>
    <row r="560" spans="1:14" ht="30">
      <c r="A560" s="56">
        <v>633</v>
      </c>
      <c r="B560" s="56">
        <v>633</v>
      </c>
      <c r="C560" s="56">
        <v>633</v>
      </c>
      <c r="D560" s="56" t="s">
        <v>2077</v>
      </c>
      <c r="F560" s="56" t="s">
        <v>24</v>
      </c>
      <c r="G560" s="56">
        <v>1</v>
      </c>
      <c r="H560" s="56">
        <v>1</v>
      </c>
      <c r="I560" s="56">
        <v>2200</v>
      </c>
      <c r="J560" s="59" t="s">
        <v>1181</v>
      </c>
      <c r="K560" s="59">
        <v>1</v>
      </c>
      <c r="L560" s="59">
        <f t="shared" si="8"/>
        <v>2200</v>
      </c>
      <c r="M560" s="59"/>
    </row>
    <row r="561" spans="1:13" ht="30">
      <c r="A561" s="56">
        <v>641</v>
      </c>
      <c r="B561" s="56">
        <v>641</v>
      </c>
      <c r="C561" s="56">
        <v>641</v>
      </c>
      <c r="D561" s="56" t="s">
        <v>2085</v>
      </c>
      <c r="F561" s="56" t="s">
        <v>24</v>
      </c>
      <c r="G561" s="56">
        <v>1</v>
      </c>
      <c r="H561" s="56">
        <v>1</v>
      </c>
      <c r="I561" s="56">
        <v>1100</v>
      </c>
      <c r="J561" s="59" t="s">
        <v>1181</v>
      </c>
      <c r="K561" s="59">
        <v>1</v>
      </c>
      <c r="L561" s="59">
        <f t="shared" si="8"/>
        <v>1100</v>
      </c>
      <c r="M561" s="59"/>
    </row>
    <row r="562" spans="1:13" ht="30">
      <c r="A562" s="56">
        <v>643</v>
      </c>
      <c r="B562" s="56">
        <v>643</v>
      </c>
      <c r="C562" s="56">
        <v>643</v>
      </c>
      <c r="D562" s="56" t="s">
        <v>2087</v>
      </c>
      <c r="F562" s="56" t="s">
        <v>24</v>
      </c>
      <c r="G562" s="56">
        <v>1</v>
      </c>
      <c r="H562" s="56">
        <v>1</v>
      </c>
      <c r="I562" s="56">
        <v>900</v>
      </c>
      <c r="J562" s="59" t="s">
        <v>1181</v>
      </c>
      <c r="K562" s="59">
        <v>1</v>
      </c>
      <c r="L562" s="59">
        <f t="shared" si="8"/>
        <v>900</v>
      </c>
      <c r="M562" s="59"/>
    </row>
    <row r="563" spans="1:13" ht="30">
      <c r="A563" s="56">
        <v>647</v>
      </c>
      <c r="B563" s="56">
        <v>647</v>
      </c>
      <c r="C563" s="56">
        <v>647</v>
      </c>
      <c r="D563" s="56" t="s">
        <v>2091</v>
      </c>
      <c r="F563" s="56" t="s">
        <v>24</v>
      </c>
      <c r="G563" s="56">
        <v>1</v>
      </c>
      <c r="H563" s="56">
        <v>1</v>
      </c>
      <c r="I563" s="56">
        <v>500</v>
      </c>
      <c r="J563" s="59" t="s">
        <v>1181</v>
      </c>
      <c r="K563" s="59">
        <v>1</v>
      </c>
      <c r="L563" s="59">
        <f t="shared" si="8"/>
        <v>500</v>
      </c>
      <c r="M563" s="59"/>
    </row>
    <row r="564" spans="1:13" ht="30">
      <c r="A564" s="56">
        <v>649</v>
      </c>
      <c r="B564" s="56">
        <v>649</v>
      </c>
      <c r="C564" s="56">
        <v>649</v>
      </c>
      <c r="D564" s="56" t="s">
        <v>2093</v>
      </c>
      <c r="F564" s="56" t="s">
        <v>24</v>
      </c>
      <c r="G564" s="56">
        <v>1</v>
      </c>
      <c r="H564" s="56">
        <v>1</v>
      </c>
      <c r="I564" s="56">
        <v>170</v>
      </c>
      <c r="J564" s="59" t="s">
        <v>1181</v>
      </c>
      <c r="K564" s="59">
        <v>1</v>
      </c>
      <c r="L564" s="59">
        <f t="shared" si="8"/>
        <v>170</v>
      </c>
      <c r="M564" s="59"/>
    </row>
    <row r="565" spans="1:13" ht="30">
      <c r="A565" s="56">
        <v>651</v>
      </c>
      <c r="B565" s="56">
        <v>651</v>
      </c>
      <c r="C565" s="56">
        <v>651</v>
      </c>
      <c r="D565" s="56" t="s">
        <v>2095</v>
      </c>
      <c r="F565" s="56" t="s">
        <v>24</v>
      </c>
      <c r="G565" s="56">
        <v>1</v>
      </c>
      <c r="H565" s="56">
        <v>1</v>
      </c>
      <c r="I565" s="56">
        <v>350</v>
      </c>
      <c r="J565" s="59" t="s">
        <v>1181</v>
      </c>
      <c r="K565" s="59">
        <v>1</v>
      </c>
      <c r="L565" s="59">
        <f t="shared" si="8"/>
        <v>350</v>
      </c>
      <c r="M565" s="59"/>
    </row>
    <row r="566" spans="1:13" ht="30">
      <c r="A566" s="56">
        <v>654</v>
      </c>
      <c r="B566" s="56">
        <v>654</v>
      </c>
      <c r="C566" s="56">
        <v>654</v>
      </c>
      <c r="D566" s="56" t="s">
        <v>2098</v>
      </c>
      <c r="F566" s="56" t="s">
        <v>24</v>
      </c>
      <c r="G566" s="56">
        <v>1</v>
      </c>
      <c r="H566" s="56">
        <v>1</v>
      </c>
      <c r="I566" s="56">
        <v>2000</v>
      </c>
      <c r="J566" s="59" t="s">
        <v>1181</v>
      </c>
      <c r="K566" s="59">
        <v>1</v>
      </c>
      <c r="L566" s="59">
        <f t="shared" si="8"/>
        <v>2000</v>
      </c>
      <c r="M566" s="59"/>
    </row>
    <row r="567" spans="1:13" ht="30">
      <c r="A567" s="56">
        <v>658</v>
      </c>
      <c r="B567" s="56">
        <v>658</v>
      </c>
      <c r="C567" s="56">
        <v>658</v>
      </c>
      <c r="D567" s="56" t="s">
        <v>2102</v>
      </c>
      <c r="F567" s="56" t="s">
        <v>24</v>
      </c>
      <c r="G567" s="56">
        <v>1</v>
      </c>
      <c r="H567" s="56">
        <v>1</v>
      </c>
      <c r="I567" s="56">
        <v>300</v>
      </c>
      <c r="J567" s="59" t="s">
        <v>1181</v>
      </c>
      <c r="K567" s="59">
        <v>1</v>
      </c>
      <c r="L567" s="59">
        <f t="shared" si="8"/>
        <v>300</v>
      </c>
      <c r="M567" s="59"/>
    </row>
    <row r="568" spans="1:13" ht="30">
      <c r="A568" s="56">
        <v>660</v>
      </c>
      <c r="B568" s="56">
        <v>660</v>
      </c>
      <c r="C568" s="56">
        <v>660</v>
      </c>
      <c r="D568" s="56" t="s">
        <v>2104</v>
      </c>
      <c r="F568" s="56" t="s">
        <v>24</v>
      </c>
      <c r="G568" s="56">
        <v>1</v>
      </c>
      <c r="H568" s="56">
        <v>1</v>
      </c>
      <c r="I568" s="56">
        <v>360</v>
      </c>
      <c r="J568" s="59" t="s">
        <v>1181</v>
      </c>
      <c r="K568" s="59">
        <v>1</v>
      </c>
      <c r="L568" s="59">
        <f t="shared" si="8"/>
        <v>360</v>
      </c>
      <c r="M568" s="59"/>
    </row>
    <row r="569" spans="1:13" ht="30">
      <c r="A569" s="56">
        <v>669</v>
      </c>
      <c r="B569" s="56">
        <v>669</v>
      </c>
      <c r="C569" s="56">
        <v>669</v>
      </c>
      <c r="D569" s="56" t="s">
        <v>2113</v>
      </c>
      <c r="F569" s="56" t="s">
        <v>24</v>
      </c>
      <c r="G569" s="56">
        <v>1</v>
      </c>
      <c r="H569" s="56">
        <v>1</v>
      </c>
      <c r="I569" s="56">
        <v>500</v>
      </c>
      <c r="J569" s="59" t="s">
        <v>1181</v>
      </c>
      <c r="K569" s="59">
        <v>1</v>
      </c>
      <c r="L569" s="59">
        <f t="shared" si="8"/>
        <v>500</v>
      </c>
      <c r="M569" s="59"/>
    </row>
    <row r="570" spans="1:13" ht="30">
      <c r="A570" s="56">
        <v>675</v>
      </c>
      <c r="B570" s="56">
        <v>675</v>
      </c>
      <c r="C570" s="56">
        <v>675</v>
      </c>
      <c r="D570" s="56" t="s">
        <v>2119</v>
      </c>
      <c r="F570" s="56" t="s">
        <v>24</v>
      </c>
      <c r="G570" s="56">
        <v>1</v>
      </c>
      <c r="H570" s="56">
        <v>1</v>
      </c>
      <c r="I570" s="56">
        <v>2850</v>
      </c>
      <c r="J570" s="59" t="s">
        <v>1181</v>
      </c>
      <c r="K570" s="59">
        <v>1</v>
      </c>
      <c r="L570" s="59">
        <f t="shared" si="8"/>
        <v>2850</v>
      </c>
      <c r="M570" s="59"/>
    </row>
    <row r="571" spans="1:13" ht="30">
      <c r="A571" s="56">
        <v>681</v>
      </c>
      <c r="B571" s="56">
        <v>681</v>
      </c>
      <c r="C571" s="56">
        <v>681</v>
      </c>
      <c r="D571" s="56" t="s">
        <v>2125</v>
      </c>
      <c r="F571" s="56" t="s">
        <v>24</v>
      </c>
      <c r="G571" s="56">
        <v>1</v>
      </c>
      <c r="H571" s="56">
        <v>1</v>
      </c>
      <c r="I571" s="56">
        <v>2900</v>
      </c>
      <c r="J571" s="59" t="s">
        <v>1181</v>
      </c>
      <c r="K571" s="59">
        <v>1</v>
      </c>
      <c r="L571" s="59">
        <f t="shared" si="8"/>
        <v>2900</v>
      </c>
      <c r="M571" s="59"/>
    </row>
    <row r="572" spans="1:13" ht="30">
      <c r="A572" s="56">
        <v>682</v>
      </c>
      <c r="B572" s="56">
        <v>682</v>
      </c>
      <c r="C572" s="56">
        <v>682</v>
      </c>
      <c r="D572" s="56" t="s">
        <v>2126</v>
      </c>
      <c r="F572" s="56" t="s">
        <v>24</v>
      </c>
      <c r="G572" s="56">
        <v>1</v>
      </c>
      <c r="H572" s="56">
        <v>1</v>
      </c>
      <c r="I572" s="56">
        <v>2900</v>
      </c>
      <c r="J572" s="59" t="s">
        <v>1181</v>
      </c>
      <c r="K572" s="59">
        <v>1</v>
      </c>
      <c r="L572" s="59">
        <f t="shared" si="8"/>
        <v>2900</v>
      </c>
      <c r="M572" s="59"/>
    </row>
    <row r="573" spans="1:13" ht="30">
      <c r="A573" s="56">
        <v>687</v>
      </c>
      <c r="B573" s="56">
        <v>687</v>
      </c>
      <c r="C573" s="56">
        <v>687</v>
      </c>
      <c r="D573" s="56" t="s">
        <v>2131</v>
      </c>
      <c r="F573" s="56" t="s">
        <v>24</v>
      </c>
      <c r="G573" s="56">
        <v>1</v>
      </c>
      <c r="H573" s="56">
        <v>1</v>
      </c>
      <c r="I573" s="56">
        <v>2500</v>
      </c>
      <c r="J573" s="59" t="s">
        <v>1181</v>
      </c>
      <c r="K573" s="59">
        <v>1</v>
      </c>
      <c r="L573" s="59">
        <f t="shared" si="8"/>
        <v>2500</v>
      </c>
      <c r="M573" s="59"/>
    </row>
    <row r="574" spans="1:13" ht="30">
      <c r="A574" s="56">
        <v>689</v>
      </c>
      <c r="B574" s="56">
        <v>689</v>
      </c>
      <c r="C574" s="56">
        <v>689</v>
      </c>
      <c r="D574" s="56" t="s">
        <v>2133</v>
      </c>
      <c r="F574" s="56" t="s">
        <v>24</v>
      </c>
      <c r="G574" s="56">
        <v>1</v>
      </c>
      <c r="H574" s="56">
        <v>1</v>
      </c>
      <c r="I574" s="56">
        <v>4200</v>
      </c>
      <c r="J574" s="59" t="s">
        <v>1181</v>
      </c>
      <c r="K574" s="59">
        <v>1</v>
      </c>
      <c r="L574" s="59">
        <f t="shared" si="8"/>
        <v>4200</v>
      </c>
      <c r="M574" s="59"/>
    </row>
    <row r="575" spans="1:13" ht="30">
      <c r="A575" s="56">
        <v>693</v>
      </c>
      <c r="B575" s="56">
        <v>693</v>
      </c>
      <c r="C575" s="56">
        <v>693</v>
      </c>
      <c r="D575" s="56" t="s">
        <v>2137</v>
      </c>
      <c r="F575" s="56" t="s">
        <v>24</v>
      </c>
      <c r="G575" s="56">
        <v>1</v>
      </c>
      <c r="H575" s="56">
        <v>1</v>
      </c>
      <c r="I575" s="56">
        <v>4000</v>
      </c>
      <c r="J575" s="59" t="s">
        <v>1181</v>
      </c>
      <c r="K575" s="59">
        <v>1</v>
      </c>
      <c r="L575" s="59">
        <f t="shared" si="8"/>
        <v>4000</v>
      </c>
      <c r="M575" s="59"/>
    </row>
    <row r="576" spans="1:13" ht="30">
      <c r="A576" s="56">
        <v>695</v>
      </c>
      <c r="B576" s="56">
        <v>695</v>
      </c>
      <c r="C576" s="56">
        <v>695</v>
      </c>
      <c r="D576" s="56" t="s">
        <v>2139</v>
      </c>
      <c r="F576" s="56" t="s">
        <v>24</v>
      </c>
      <c r="G576" s="56">
        <v>1</v>
      </c>
      <c r="H576" s="56">
        <v>1</v>
      </c>
      <c r="I576" s="56">
        <v>3900</v>
      </c>
      <c r="J576" s="59" t="s">
        <v>1181</v>
      </c>
      <c r="K576" s="59">
        <v>1</v>
      </c>
      <c r="L576" s="59">
        <f t="shared" si="8"/>
        <v>3900</v>
      </c>
      <c r="M576" s="59"/>
    </row>
    <row r="577" spans="1:13" ht="30">
      <c r="A577" s="56">
        <v>697</v>
      </c>
      <c r="B577" s="56">
        <v>697</v>
      </c>
      <c r="C577" s="56">
        <v>697</v>
      </c>
      <c r="D577" s="56" t="s">
        <v>2138</v>
      </c>
      <c r="F577" s="56" t="s">
        <v>24</v>
      </c>
      <c r="G577" s="56">
        <v>1</v>
      </c>
      <c r="H577" s="56">
        <v>1</v>
      </c>
      <c r="I577" s="56">
        <v>4000</v>
      </c>
      <c r="J577" s="59" t="s">
        <v>1181</v>
      </c>
      <c r="K577" s="59">
        <v>1</v>
      </c>
      <c r="L577" s="59">
        <f t="shared" si="8"/>
        <v>4000</v>
      </c>
      <c r="M577" s="59"/>
    </row>
    <row r="578" spans="1:13" ht="30">
      <c r="A578" s="56">
        <v>698</v>
      </c>
      <c r="B578" s="56">
        <v>698</v>
      </c>
      <c r="C578" s="56">
        <v>698</v>
      </c>
      <c r="D578" s="56" t="s">
        <v>2141</v>
      </c>
      <c r="F578" s="56" t="s">
        <v>24</v>
      </c>
      <c r="G578" s="56">
        <v>1</v>
      </c>
      <c r="H578" s="56">
        <v>1</v>
      </c>
      <c r="I578" s="56">
        <v>4500</v>
      </c>
      <c r="J578" s="59" t="s">
        <v>1181</v>
      </c>
      <c r="K578" s="59">
        <v>1</v>
      </c>
      <c r="L578" s="59">
        <f t="shared" ref="L578:L641" si="9">H578*I578</f>
        <v>4500</v>
      </c>
      <c r="M578" s="59"/>
    </row>
    <row r="579" spans="1:13" ht="30">
      <c r="A579" s="56">
        <v>699</v>
      </c>
      <c r="B579" s="56">
        <v>699</v>
      </c>
      <c r="C579" s="56">
        <v>699</v>
      </c>
      <c r="D579" s="56" t="s">
        <v>2142</v>
      </c>
      <c r="F579" s="56" t="s">
        <v>24</v>
      </c>
      <c r="G579" s="56">
        <v>1</v>
      </c>
      <c r="H579" s="56">
        <v>1</v>
      </c>
      <c r="I579" s="56">
        <v>4200</v>
      </c>
      <c r="J579" s="59" t="s">
        <v>1181</v>
      </c>
      <c r="K579" s="59">
        <v>1</v>
      </c>
      <c r="L579" s="59">
        <f t="shared" si="9"/>
        <v>4200</v>
      </c>
      <c r="M579" s="59"/>
    </row>
    <row r="580" spans="1:13" ht="30">
      <c r="A580" s="56">
        <v>700</v>
      </c>
      <c r="B580" s="56">
        <v>700</v>
      </c>
      <c r="C580" s="56">
        <v>700</v>
      </c>
      <c r="D580" s="56" t="s">
        <v>2143</v>
      </c>
      <c r="F580" s="56" t="s">
        <v>24</v>
      </c>
      <c r="G580" s="56">
        <v>1</v>
      </c>
      <c r="H580" s="56">
        <v>1</v>
      </c>
      <c r="I580" s="56">
        <v>3900</v>
      </c>
      <c r="J580" s="59" t="s">
        <v>1181</v>
      </c>
      <c r="K580" s="59">
        <v>1</v>
      </c>
      <c r="L580" s="59">
        <f t="shared" si="9"/>
        <v>3900</v>
      </c>
      <c r="M580" s="59"/>
    </row>
    <row r="581" spans="1:13" ht="30">
      <c r="A581" s="56">
        <v>701</v>
      </c>
      <c r="B581" s="56">
        <v>701</v>
      </c>
      <c r="C581" s="56">
        <v>701</v>
      </c>
      <c r="D581" s="56" t="s">
        <v>2144</v>
      </c>
      <c r="F581" s="56" t="s">
        <v>24</v>
      </c>
      <c r="G581" s="56">
        <v>1</v>
      </c>
      <c r="H581" s="56">
        <v>1</v>
      </c>
      <c r="I581" s="56">
        <v>4000</v>
      </c>
      <c r="J581" s="59" t="s">
        <v>1181</v>
      </c>
      <c r="K581" s="59">
        <v>1</v>
      </c>
      <c r="L581" s="59">
        <f t="shared" si="9"/>
        <v>4000</v>
      </c>
      <c r="M581" s="59"/>
    </row>
    <row r="582" spans="1:13" ht="30">
      <c r="A582" s="56">
        <v>704</v>
      </c>
      <c r="B582" s="56">
        <v>704</v>
      </c>
      <c r="C582" s="56">
        <v>704</v>
      </c>
      <c r="D582" s="56" t="s">
        <v>2147</v>
      </c>
      <c r="F582" s="56" t="s">
        <v>24</v>
      </c>
      <c r="G582" s="56">
        <v>1</v>
      </c>
      <c r="H582" s="56">
        <v>1</v>
      </c>
      <c r="I582" s="56">
        <v>8500</v>
      </c>
      <c r="J582" s="59" t="s">
        <v>1181</v>
      </c>
      <c r="K582" s="59">
        <v>1</v>
      </c>
      <c r="L582" s="59">
        <f t="shared" si="9"/>
        <v>8500</v>
      </c>
      <c r="M582" s="59"/>
    </row>
    <row r="583" spans="1:13" ht="30">
      <c r="A583" s="56">
        <v>705</v>
      </c>
      <c r="B583" s="56">
        <v>705</v>
      </c>
      <c r="C583" s="56">
        <v>705</v>
      </c>
      <c r="D583" s="56" t="s">
        <v>2148</v>
      </c>
      <c r="F583" s="56" t="s">
        <v>24</v>
      </c>
      <c r="G583" s="56">
        <v>1</v>
      </c>
      <c r="H583" s="56">
        <v>1</v>
      </c>
      <c r="I583" s="56">
        <v>5500</v>
      </c>
      <c r="J583" s="59" t="s">
        <v>1181</v>
      </c>
      <c r="K583" s="59">
        <v>1</v>
      </c>
      <c r="L583" s="59">
        <f t="shared" si="9"/>
        <v>5500</v>
      </c>
      <c r="M583" s="59"/>
    </row>
    <row r="584" spans="1:13" ht="30">
      <c r="A584" s="56">
        <v>706</v>
      </c>
      <c r="B584" s="56">
        <v>706</v>
      </c>
      <c r="C584" s="56">
        <v>706</v>
      </c>
      <c r="D584" s="56" t="s">
        <v>2149</v>
      </c>
      <c r="F584" s="56" t="s">
        <v>24</v>
      </c>
      <c r="G584" s="56">
        <v>1</v>
      </c>
      <c r="H584" s="56">
        <v>1</v>
      </c>
      <c r="I584" s="56">
        <v>4500</v>
      </c>
      <c r="J584" s="59" t="s">
        <v>1181</v>
      </c>
      <c r="K584" s="59">
        <v>1</v>
      </c>
      <c r="L584" s="59">
        <f t="shared" si="9"/>
        <v>4500</v>
      </c>
      <c r="M584" s="59"/>
    </row>
    <row r="585" spans="1:13" ht="30">
      <c r="A585" s="56">
        <v>707</v>
      </c>
      <c r="B585" s="56">
        <v>707</v>
      </c>
      <c r="C585" s="56">
        <v>707</v>
      </c>
      <c r="D585" s="56" t="s">
        <v>2150</v>
      </c>
      <c r="F585" s="56" t="s">
        <v>24</v>
      </c>
      <c r="G585" s="56">
        <v>1</v>
      </c>
      <c r="H585" s="56">
        <v>1</v>
      </c>
      <c r="I585" s="56">
        <v>3500</v>
      </c>
      <c r="J585" s="59" t="s">
        <v>1181</v>
      </c>
      <c r="K585" s="59">
        <v>1</v>
      </c>
      <c r="L585" s="59">
        <f t="shared" si="9"/>
        <v>3500</v>
      </c>
      <c r="M585" s="59"/>
    </row>
    <row r="586" spans="1:13" ht="30">
      <c r="A586" s="56">
        <v>708</v>
      </c>
      <c r="B586" s="56">
        <v>708</v>
      </c>
      <c r="C586" s="56">
        <v>708</v>
      </c>
      <c r="D586" s="56" t="s">
        <v>2151</v>
      </c>
      <c r="F586" s="56" t="s">
        <v>24</v>
      </c>
      <c r="G586" s="56">
        <v>1</v>
      </c>
      <c r="H586" s="56">
        <v>1</v>
      </c>
      <c r="I586" s="56">
        <v>4000</v>
      </c>
      <c r="J586" s="59" t="s">
        <v>1181</v>
      </c>
      <c r="K586" s="59">
        <v>1</v>
      </c>
      <c r="L586" s="59">
        <f t="shared" si="9"/>
        <v>4000</v>
      </c>
      <c r="M586" s="59"/>
    </row>
    <row r="587" spans="1:13" ht="30">
      <c r="A587" s="56">
        <v>709</v>
      </c>
      <c r="B587" s="56">
        <v>709</v>
      </c>
      <c r="C587" s="56">
        <v>709</v>
      </c>
      <c r="D587" s="56" t="s">
        <v>2152</v>
      </c>
      <c r="F587" s="56" t="s">
        <v>24</v>
      </c>
      <c r="G587" s="56">
        <v>1</v>
      </c>
      <c r="H587" s="56">
        <v>1</v>
      </c>
      <c r="I587" s="56">
        <v>4200</v>
      </c>
      <c r="J587" s="59" t="s">
        <v>1181</v>
      </c>
      <c r="K587" s="59">
        <v>1</v>
      </c>
      <c r="L587" s="59">
        <f t="shared" si="9"/>
        <v>4200</v>
      </c>
      <c r="M587" s="59"/>
    </row>
    <row r="588" spans="1:13" ht="30">
      <c r="A588" s="56">
        <v>710</v>
      </c>
      <c r="B588" s="56">
        <v>710</v>
      </c>
      <c r="C588" s="56">
        <v>710</v>
      </c>
      <c r="D588" s="56" t="s">
        <v>2153</v>
      </c>
      <c r="F588" s="56" t="s">
        <v>24</v>
      </c>
      <c r="G588" s="56">
        <v>1</v>
      </c>
      <c r="H588" s="56">
        <v>1</v>
      </c>
      <c r="I588" s="56">
        <v>6500</v>
      </c>
      <c r="J588" s="59" t="s">
        <v>1181</v>
      </c>
      <c r="K588" s="59">
        <v>1</v>
      </c>
      <c r="L588" s="59">
        <f t="shared" si="9"/>
        <v>6500</v>
      </c>
      <c r="M588" s="59"/>
    </row>
    <row r="589" spans="1:13" ht="30">
      <c r="A589" s="56">
        <v>719</v>
      </c>
      <c r="B589" s="56">
        <v>719</v>
      </c>
      <c r="C589" s="56">
        <v>719</v>
      </c>
      <c r="D589" s="56" t="s">
        <v>2162</v>
      </c>
      <c r="F589" s="56" t="s">
        <v>24</v>
      </c>
      <c r="G589" s="56">
        <v>1</v>
      </c>
      <c r="H589" s="56">
        <v>1</v>
      </c>
      <c r="I589" s="56">
        <v>3500</v>
      </c>
      <c r="J589" s="59" t="s">
        <v>1181</v>
      </c>
      <c r="K589" s="59">
        <v>1</v>
      </c>
      <c r="L589" s="59">
        <f t="shared" si="9"/>
        <v>3500</v>
      </c>
      <c r="M589" s="59"/>
    </row>
    <row r="590" spans="1:13" ht="30">
      <c r="A590" s="56">
        <v>721</v>
      </c>
      <c r="B590" s="56">
        <v>721</v>
      </c>
      <c r="C590" s="56">
        <v>721</v>
      </c>
      <c r="D590" s="56" t="s">
        <v>2164</v>
      </c>
      <c r="F590" s="56" t="s">
        <v>24</v>
      </c>
      <c r="G590" s="56">
        <v>1</v>
      </c>
      <c r="H590" s="56">
        <v>1</v>
      </c>
      <c r="I590" s="56">
        <v>3500</v>
      </c>
      <c r="J590" s="59" t="s">
        <v>1181</v>
      </c>
      <c r="K590" s="59">
        <v>1</v>
      </c>
      <c r="L590" s="59">
        <f t="shared" si="9"/>
        <v>3500</v>
      </c>
      <c r="M590" s="59"/>
    </row>
    <row r="591" spans="1:13" ht="30">
      <c r="A591" s="56">
        <v>722</v>
      </c>
      <c r="B591" s="56">
        <v>722</v>
      </c>
      <c r="C591" s="56">
        <v>722</v>
      </c>
      <c r="D591" s="56" t="s">
        <v>2165</v>
      </c>
      <c r="F591" s="56" t="s">
        <v>24</v>
      </c>
      <c r="G591" s="56">
        <v>1</v>
      </c>
      <c r="H591" s="56">
        <v>1</v>
      </c>
      <c r="I591" s="56">
        <v>3000</v>
      </c>
      <c r="J591" s="59" t="s">
        <v>1181</v>
      </c>
      <c r="K591" s="59">
        <v>1</v>
      </c>
      <c r="L591" s="59">
        <f t="shared" si="9"/>
        <v>3000</v>
      </c>
      <c r="M591" s="59"/>
    </row>
    <row r="592" spans="1:13" ht="30">
      <c r="A592" s="56">
        <v>724</v>
      </c>
      <c r="B592" s="56">
        <v>724</v>
      </c>
      <c r="C592" s="56">
        <v>724</v>
      </c>
      <c r="D592" s="56" t="s">
        <v>2167</v>
      </c>
      <c r="F592" s="56" t="s">
        <v>24</v>
      </c>
      <c r="G592" s="56">
        <v>1</v>
      </c>
      <c r="H592" s="56">
        <v>1</v>
      </c>
      <c r="I592" s="56">
        <v>4500</v>
      </c>
      <c r="J592" s="59" t="s">
        <v>1181</v>
      </c>
      <c r="K592" s="59">
        <v>1</v>
      </c>
      <c r="L592" s="59">
        <f t="shared" si="9"/>
        <v>4500</v>
      </c>
      <c r="M592" s="59"/>
    </row>
    <row r="593" spans="1:13" ht="30">
      <c r="A593" s="56">
        <v>725</v>
      </c>
      <c r="B593" s="56">
        <v>725</v>
      </c>
      <c r="C593" s="56">
        <v>725</v>
      </c>
      <c r="D593" s="56" t="s">
        <v>2168</v>
      </c>
      <c r="F593" s="56" t="s">
        <v>24</v>
      </c>
      <c r="G593" s="56">
        <v>1</v>
      </c>
      <c r="H593" s="56">
        <v>1</v>
      </c>
      <c r="I593" s="56">
        <v>4200</v>
      </c>
      <c r="J593" s="59" t="s">
        <v>1181</v>
      </c>
      <c r="K593" s="59">
        <v>1</v>
      </c>
      <c r="L593" s="59">
        <f t="shared" si="9"/>
        <v>4200</v>
      </c>
      <c r="M593" s="59"/>
    </row>
    <row r="594" spans="1:13" ht="30">
      <c r="A594" s="56">
        <v>726</v>
      </c>
      <c r="B594" s="56">
        <v>726</v>
      </c>
      <c r="C594" s="56">
        <v>726</v>
      </c>
      <c r="D594" s="56" t="s">
        <v>2169</v>
      </c>
      <c r="F594" s="56" t="s">
        <v>24</v>
      </c>
      <c r="G594" s="56">
        <v>1</v>
      </c>
      <c r="H594" s="56">
        <v>1</v>
      </c>
      <c r="I594" s="56">
        <v>4200</v>
      </c>
      <c r="J594" s="59" t="s">
        <v>1181</v>
      </c>
      <c r="K594" s="59">
        <v>1</v>
      </c>
      <c r="L594" s="59">
        <f t="shared" si="9"/>
        <v>4200</v>
      </c>
      <c r="M594" s="59"/>
    </row>
    <row r="595" spans="1:13" ht="30">
      <c r="A595" s="56">
        <v>729</v>
      </c>
      <c r="B595" s="56">
        <v>729</v>
      </c>
      <c r="C595" s="56">
        <v>729</v>
      </c>
      <c r="D595" s="56" t="s">
        <v>2172</v>
      </c>
      <c r="F595" s="56" t="s">
        <v>24</v>
      </c>
      <c r="G595" s="56">
        <v>1</v>
      </c>
      <c r="H595" s="56">
        <v>1</v>
      </c>
      <c r="I595" s="56">
        <v>1500</v>
      </c>
      <c r="J595" s="59" t="s">
        <v>1181</v>
      </c>
      <c r="K595" s="59">
        <v>1</v>
      </c>
      <c r="L595" s="59">
        <f t="shared" si="9"/>
        <v>1500</v>
      </c>
      <c r="M595" s="59"/>
    </row>
    <row r="596" spans="1:13" ht="30">
      <c r="A596" s="56">
        <v>732</v>
      </c>
      <c r="B596" s="56">
        <v>732</v>
      </c>
      <c r="C596" s="56">
        <v>732</v>
      </c>
      <c r="D596" s="56" t="s">
        <v>2175</v>
      </c>
      <c r="F596" s="56" t="s">
        <v>24</v>
      </c>
      <c r="G596" s="56">
        <v>1</v>
      </c>
      <c r="H596" s="56">
        <v>1</v>
      </c>
      <c r="I596" s="56">
        <v>1500</v>
      </c>
      <c r="J596" s="59" t="s">
        <v>1181</v>
      </c>
      <c r="K596" s="59">
        <v>1</v>
      </c>
      <c r="L596" s="59">
        <f t="shared" si="9"/>
        <v>1500</v>
      </c>
      <c r="M596" s="59"/>
    </row>
    <row r="597" spans="1:13" ht="30">
      <c r="A597" s="56">
        <v>736</v>
      </c>
      <c r="B597" s="56">
        <v>736</v>
      </c>
      <c r="C597" s="56">
        <v>736</v>
      </c>
      <c r="D597" s="56" t="s">
        <v>2179</v>
      </c>
      <c r="F597" s="56" t="s">
        <v>24</v>
      </c>
      <c r="G597" s="56">
        <v>1</v>
      </c>
      <c r="H597" s="56">
        <v>1</v>
      </c>
      <c r="I597" s="56">
        <v>6500</v>
      </c>
      <c r="J597" s="59" t="s">
        <v>1181</v>
      </c>
      <c r="K597" s="59">
        <v>1</v>
      </c>
      <c r="L597" s="59">
        <f t="shared" si="9"/>
        <v>6500</v>
      </c>
      <c r="M597" s="59"/>
    </row>
    <row r="598" spans="1:13" ht="30">
      <c r="A598" s="56">
        <v>737</v>
      </c>
      <c r="B598" s="56">
        <v>737</v>
      </c>
      <c r="C598" s="56">
        <v>737</v>
      </c>
      <c r="D598" s="56" t="s">
        <v>2180</v>
      </c>
      <c r="F598" s="56" t="s">
        <v>24</v>
      </c>
      <c r="G598" s="56">
        <v>1</v>
      </c>
      <c r="H598" s="56">
        <v>1</v>
      </c>
      <c r="I598" s="56">
        <v>4000</v>
      </c>
      <c r="J598" s="59" t="s">
        <v>1181</v>
      </c>
      <c r="K598" s="59">
        <v>1</v>
      </c>
      <c r="L598" s="59">
        <f t="shared" si="9"/>
        <v>4000</v>
      </c>
      <c r="M598" s="59"/>
    </row>
    <row r="599" spans="1:13" ht="30">
      <c r="A599" s="56">
        <v>738</v>
      </c>
      <c r="B599" s="56">
        <v>738</v>
      </c>
      <c r="C599" s="56">
        <v>738</v>
      </c>
      <c r="D599" s="56" t="s">
        <v>2181</v>
      </c>
      <c r="F599" s="56" t="s">
        <v>24</v>
      </c>
      <c r="G599" s="56">
        <v>1</v>
      </c>
      <c r="H599" s="56">
        <v>1</v>
      </c>
      <c r="I599" s="56">
        <v>2400</v>
      </c>
      <c r="J599" s="59" t="s">
        <v>1181</v>
      </c>
      <c r="K599" s="59">
        <v>1</v>
      </c>
      <c r="L599" s="59">
        <f t="shared" si="9"/>
        <v>2400</v>
      </c>
      <c r="M599" s="59"/>
    </row>
    <row r="600" spans="1:13" ht="30">
      <c r="A600" s="56">
        <v>739</v>
      </c>
      <c r="B600" s="56">
        <v>739</v>
      </c>
      <c r="C600" s="56">
        <v>739</v>
      </c>
      <c r="D600" s="56" t="s">
        <v>2182</v>
      </c>
      <c r="F600" s="56" t="s">
        <v>24</v>
      </c>
      <c r="G600" s="56">
        <v>1</v>
      </c>
      <c r="H600" s="56">
        <v>1</v>
      </c>
      <c r="I600" s="56">
        <v>4000</v>
      </c>
      <c r="J600" s="59" t="s">
        <v>1181</v>
      </c>
      <c r="K600" s="59">
        <v>1</v>
      </c>
      <c r="L600" s="59">
        <f t="shared" si="9"/>
        <v>4000</v>
      </c>
      <c r="M600" s="59"/>
    </row>
    <row r="601" spans="1:13" ht="30">
      <c r="A601" s="56">
        <v>741</v>
      </c>
      <c r="B601" s="56">
        <v>741</v>
      </c>
      <c r="C601" s="56">
        <v>741</v>
      </c>
      <c r="D601" s="56" t="s">
        <v>2184</v>
      </c>
      <c r="F601" s="56" t="s">
        <v>24</v>
      </c>
      <c r="G601" s="56">
        <v>1</v>
      </c>
      <c r="H601" s="56">
        <v>1</v>
      </c>
      <c r="I601" s="56">
        <v>3500</v>
      </c>
      <c r="J601" s="59" t="s">
        <v>1181</v>
      </c>
      <c r="K601" s="59">
        <v>1</v>
      </c>
      <c r="L601" s="59">
        <f t="shared" si="9"/>
        <v>3500</v>
      </c>
      <c r="M601" s="59"/>
    </row>
    <row r="602" spans="1:13" ht="30">
      <c r="A602" s="56">
        <v>742</v>
      </c>
      <c r="B602" s="56">
        <v>742</v>
      </c>
      <c r="C602" s="56">
        <v>742</v>
      </c>
      <c r="D602" s="56" t="s">
        <v>2185</v>
      </c>
      <c r="F602" s="56" t="s">
        <v>24</v>
      </c>
      <c r="G602" s="56">
        <v>1</v>
      </c>
      <c r="H602" s="56">
        <v>1</v>
      </c>
      <c r="I602" s="56">
        <v>1500</v>
      </c>
      <c r="J602" s="59" t="s">
        <v>1181</v>
      </c>
      <c r="K602" s="59">
        <v>1</v>
      </c>
      <c r="L602" s="59">
        <f t="shared" si="9"/>
        <v>1500</v>
      </c>
      <c r="M602" s="59"/>
    </row>
    <row r="603" spans="1:13" ht="30">
      <c r="A603" s="56">
        <v>744</v>
      </c>
      <c r="B603" s="56">
        <v>744</v>
      </c>
      <c r="C603" s="56">
        <v>744</v>
      </c>
      <c r="D603" s="56" t="s">
        <v>2187</v>
      </c>
      <c r="F603" s="56" t="s">
        <v>24</v>
      </c>
      <c r="G603" s="56">
        <v>1</v>
      </c>
      <c r="H603" s="56">
        <v>1</v>
      </c>
      <c r="I603" s="56">
        <v>1500</v>
      </c>
      <c r="J603" s="59" t="s">
        <v>1181</v>
      </c>
      <c r="K603" s="59">
        <v>1</v>
      </c>
      <c r="L603" s="59">
        <f t="shared" si="9"/>
        <v>1500</v>
      </c>
      <c r="M603" s="59"/>
    </row>
    <row r="604" spans="1:13" ht="30">
      <c r="A604" s="56">
        <v>747</v>
      </c>
      <c r="B604" s="56">
        <v>747</v>
      </c>
      <c r="C604" s="56">
        <v>747</v>
      </c>
      <c r="D604" s="56" t="s">
        <v>2190</v>
      </c>
      <c r="F604" s="56" t="s">
        <v>24</v>
      </c>
      <c r="G604" s="56">
        <v>1</v>
      </c>
      <c r="H604" s="56">
        <v>1</v>
      </c>
      <c r="I604" s="56">
        <v>1800</v>
      </c>
      <c r="J604" s="59" t="s">
        <v>1181</v>
      </c>
      <c r="K604" s="59">
        <v>1</v>
      </c>
      <c r="L604" s="59">
        <f t="shared" si="9"/>
        <v>1800</v>
      </c>
      <c r="M604" s="59"/>
    </row>
    <row r="605" spans="1:13" ht="30">
      <c r="A605" s="56">
        <v>754</v>
      </c>
      <c r="B605" s="56">
        <v>754</v>
      </c>
      <c r="C605" s="56">
        <v>754</v>
      </c>
      <c r="D605" s="56" t="s">
        <v>2196</v>
      </c>
      <c r="F605" s="56" t="s">
        <v>24</v>
      </c>
      <c r="G605" s="56">
        <v>1</v>
      </c>
      <c r="H605" s="56">
        <v>1</v>
      </c>
      <c r="I605" s="56">
        <v>2000</v>
      </c>
      <c r="J605" s="59" t="s">
        <v>1181</v>
      </c>
      <c r="K605" s="59">
        <v>1</v>
      </c>
      <c r="L605" s="59">
        <f t="shared" si="9"/>
        <v>2000</v>
      </c>
      <c r="M605" s="59"/>
    </row>
    <row r="606" spans="1:13" ht="30">
      <c r="A606" s="56">
        <v>764</v>
      </c>
      <c r="B606" s="56">
        <v>764</v>
      </c>
      <c r="C606" s="56">
        <v>764</v>
      </c>
      <c r="D606" s="56" t="s">
        <v>2206</v>
      </c>
      <c r="F606" s="56" t="s">
        <v>24</v>
      </c>
      <c r="G606" s="56">
        <v>1</v>
      </c>
      <c r="H606" s="56">
        <v>1</v>
      </c>
      <c r="I606" s="56">
        <v>3000</v>
      </c>
      <c r="J606" s="59" t="s">
        <v>1181</v>
      </c>
      <c r="K606" s="59">
        <v>1</v>
      </c>
      <c r="L606" s="59">
        <f t="shared" si="9"/>
        <v>3000</v>
      </c>
      <c r="M606" s="59"/>
    </row>
    <row r="607" spans="1:13" ht="30">
      <c r="A607" s="56">
        <v>765</v>
      </c>
      <c r="B607" s="56">
        <v>765</v>
      </c>
      <c r="C607" s="56">
        <v>765</v>
      </c>
      <c r="D607" s="56" t="s">
        <v>2207</v>
      </c>
      <c r="F607" s="56" t="s">
        <v>24</v>
      </c>
      <c r="G607" s="56">
        <v>1</v>
      </c>
      <c r="H607" s="56">
        <v>1</v>
      </c>
      <c r="I607" s="56">
        <v>800</v>
      </c>
      <c r="J607" s="59" t="s">
        <v>1181</v>
      </c>
      <c r="K607" s="59">
        <v>1</v>
      </c>
      <c r="L607" s="59">
        <f t="shared" si="9"/>
        <v>800</v>
      </c>
      <c r="M607" s="59"/>
    </row>
    <row r="608" spans="1:13" ht="30">
      <c r="A608" s="56">
        <v>766</v>
      </c>
      <c r="B608" s="56">
        <v>766</v>
      </c>
      <c r="C608" s="56">
        <v>766</v>
      </c>
      <c r="D608" s="56" t="s">
        <v>2208</v>
      </c>
      <c r="F608" s="56" t="s">
        <v>24</v>
      </c>
      <c r="G608" s="56">
        <v>1</v>
      </c>
      <c r="H608" s="56">
        <v>1</v>
      </c>
      <c r="I608" s="56">
        <v>2500</v>
      </c>
      <c r="J608" s="59" t="s">
        <v>1181</v>
      </c>
      <c r="K608" s="59">
        <v>1</v>
      </c>
      <c r="L608" s="59">
        <f t="shared" si="9"/>
        <v>2500</v>
      </c>
      <c r="M608" s="59"/>
    </row>
    <row r="609" spans="1:14" ht="30">
      <c r="A609" s="56">
        <v>767</v>
      </c>
      <c r="B609" s="56">
        <v>767</v>
      </c>
      <c r="C609" s="56">
        <v>767</v>
      </c>
      <c r="D609" s="56" t="s">
        <v>2209</v>
      </c>
      <c r="F609" s="56" t="s">
        <v>24</v>
      </c>
      <c r="G609" s="56">
        <v>1</v>
      </c>
      <c r="H609" s="56">
        <v>1</v>
      </c>
      <c r="I609" s="56">
        <v>1200</v>
      </c>
      <c r="J609" s="59" t="s">
        <v>1181</v>
      </c>
      <c r="K609" s="59">
        <v>1</v>
      </c>
      <c r="L609" s="59">
        <f t="shared" si="9"/>
        <v>1200</v>
      </c>
      <c r="M609" s="59"/>
    </row>
    <row r="610" spans="1:14" ht="30">
      <c r="A610" s="56">
        <v>768</v>
      </c>
      <c r="B610" s="56">
        <v>768</v>
      </c>
      <c r="C610" s="56">
        <v>768</v>
      </c>
      <c r="D610" s="56" t="s">
        <v>2210</v>
      </c>
      <c r="F610" s="56" t="s">
        <v>24</v>
      </c>
      <c r="G610" s="56">
        <v>1</v>
      </c>
      <c r="H610" s="56">
        <v>1</v>
      </c>
      <c r="I610" s="56">
        <v>400</v>
      </c>
      <c r="J610" s="59" t="s">
        <v>1181</v>
      </c>
      <c r="K610" s="59">
        <v>1</v>
      </c>
      <c r="L610" s="59">
        <f t="shared" si="9"/>
        <v>400</v>
      </c>
      <c r="M610" s="59"/>
    </row>
    <row r="611" spans="1:14" ht="30">
      <c r="A611" s="56">
        <v>774</v>
      </c>
      <c r="B611" s="56">
        <v>774</v>
      </c>
      <c r="C611" s="56">
        <v>774</v>
      </c>
      <c r="D611" s="56" t="s">
        <v>2216</v>
      </c>
      <c r="F611" s="56" t="s">
        <v>24</v>
      </c>
      <c r="G611" s="56">
        <v>1</v>
      </c>
      <c r="H611" s="56">
        <v>1</v>
      </c>
      <c r="I611" s="56">
        <v>2000</v>
      </c>
      <c r="J611" s="59" t="s">
        <v>1181</v>
      </c>
      <c r="K611" s="59">
        <v>1</v>
      </c>
      <c r="L611" s="59">
        <f t="shared" si="9"/>
        <v>2000</v>
      </c>
      <c r="M611" s="59"/>
    </row>
    <row r="612" spans="1:14" ht="30">
      <c r="A612" s="56">
        <v>776</v>
      </c>
      <c r="B612" s="56">
        <v>776</v>
      </c>
      <c r="C612" s="56">
        <v>776</v>
      </c>
      <c r="D612" s="56" t="s">
        <v>1283</v>
      </c>
      <c r="F612" s="58" t="s">
        <v>24</v>
      </c>
      <c r="G612" s="58">
        <v>1</v>
      </c>
      <c r="H612" s="58">
        <v>1</v>
      </c>
      <c r="I612" s="56">
        <v>250</v>
      </c>
      <c r="J612" s="59" t="s">
        <v>1181</v>
      </c>
      <c r="K612" s="59">
        <v>1</v>
      </c>
      <c r="L612" s="59">
        <f t="shared" si="9"/>
        <v>250</v>
      </c>
      <c r="M612" s="59"/>
      <c r="N612" s="58"/>
    </row>
    <row r="613" spans="1:14" ht="30">
      <c r="A613" s="56">
        <v>857</v>
      </c>
      <c r="B613" s="56">
        <v>857</v>
      </c>
      <c r="C613" s="56">
        <v>857</v>
      </c>
      <c r="D613" s="56" t="s">
        <v>1337</v>
      </c>
      <c r="F613" s="58" t="s">
        <v>24</v>
      </c>
      <c r="G613" s="58">
        <v>1</v>
      </c>
      <c r="H613" s="58">
        <v>1</v>
      </c>
      <c r="I613" s="56">
        <v>215</v>
      </c>
      <c r="J613" s="59" t="s">
        <v>1181</v>
      </c>
      <c r="K613" s="59">
        <v>1</v>
      </c>
      <c r="L613" s="59">
        <f t="shared" si="9"/>
        <v>215</v>
      </c>
      <c r="M613" s="59"/>
      <c r="N613" s="58"/>
    </row>
    <row r="614" spans="1:14" ht="30">
      <c r="A614" s="56">
        <v>859</v>
      </c>
      <c r="B614" s="56">
        <v>859</v>
      </c>
      <c r="C614" s="56">
        <v>859</v>
      </c>
      <c r="D614" s="56" t="s">
        <v>1339</v>
      </c>
      <c r="F614" s="58" t="s">
        <v>24</v>
      </c>
      <c r="G614" s="58">
        <v>1</v>
      </c>
      <c r="H614" s="58">
        <v>1</v>
      </c>
      <c r="I614" s="56">
        <v>160</v>
      </c>
      <c r="J614" s="59" t="s">
        <v>1181</v>
      </c>
      <c r="K614" s="59">
        <v>1</v>
      </c>
      <c r="L614" s="59">
        <f t="shared" si="9"/>
        <v>160</v>
      </c>
      <c r="M614" s="59"/>
      <c r="N614" s="58"/>
    </row>
    <row r="615" spans="1:14" ht="30">
      <c r="A615" s="56">
        <v>875</v>
      </c>
      <c r="B615" s="56">
        <v>875</v>
      </c>
      <c r="C615" s="56">
        <v>875</v>
      </c>
      <c r="D615" s="56" t="s">
        <v>1354</v>
      </c>
      <c r="F615" s="58" t="s">
        <v>24</v>
      </c>
      <c r="G615" s="58">
        <v>1</v>
      </c>
      <c r="H615" s="58">
        <v>1</v>
      </c>
      <c r="I615" s="56">
        <v>115</v>
      </c>
      <c r="J615" s="59" t="s">
        <v>1181</v>
      </c>
      <c r="K615" s="59">
        <v>1</v>
      </c>
      <c r="L615" s="59">
        <f t="shared" si="9"/>
        <v>115</v>
      </c>
      <c r="M615" s="59"/>
      <c r="N615" s="58"/>
    </row>
    <row r="616" spans="1:14" ht="30">
      <c r="A616" s="56">
        <v>880</v>
      </c>
      <c r="B616" s="56">
        <v>880</v>
      </c>
      <c r="C616" s="56">
        <v>880</v>
      </c>
      <c r="D616" s="56" t="s">
        <v>1359</v>
      </c>
      <c r="F616" s="58" t="s">
        <v>24</v>
      </c>
      <c r="G616" s="58">
        <v>1</v>
      </c>
      <c r="H616" s="58">
        <v>1</v>
      </c>
      <c r="I616" s="56">
        <v>100</v>
      </c>
      <c r="J616" s="59" t="s">
        <v>1181</v>
      </c>
      <c r="K616" s="59">
        <v>1</v>
      </c>
      <c r="L616" s="59">
        <f t="shared" si="9"/>
        <v>100</v>
      </c>
      <c r="M616" s="59"/>
      <c r="N616" s="58"/>
    </row>
    <row r="617" spans="1:14" ht="30">
      <c r="A617" s="56">
        <v>916</v>
      </c>
      <c r="B617" s="56">
        <v>916</v>
      </c>
      <c r="C617" s="56">
        <v>916</v>
      </c>
      <c r="D617" s="56" t="s">
        <v>1362</v>
      </c>
      <c r="F617" s="58" t="s">
        <v>24</v>
      </c>
      <c r="G617" s="58">
        <v>1</v>
      </c>
      <c r="H617" s="58">
        <v>1</v>
      </c>
      <c r="I617" s="56">
        <v>41.7</v>
      </c>
      <c r="J617" s="59" t="s">
        <v>1181</v>
      </c>
      <c r="K617" s="59">
        <v>1</v>
      </c>
      <c r="L617" s="59">
        <f t="shared" si="9"/>
        <v>41.7</v>
      </c>
      <c r="M617" s="59"/>
      <c r="N617" s="58"/>
    </row>
    <row r="618" spans="1:14" ht="30">
      <c r="A618" s="56">
        <v>947</v>
      </c>
      <c r="B618" s="56">
        <v>947</v>
      </c>
      <c r="C618" s="56">
        <v>947</v>
      </c>
      <c r="D618" s="56" t="s">
        <v>1523</v>
      </c>
      <c r="F618" s="58" t="s">
        <v>24</v>
      </c>
      <c r="G618" s="58">
        <v>1</v>
      </c>
      <c r="H618" s="58">
        <v>1</v>
      </c>
      <c r="I618" s="56">
        <v>130</v>
      </c>
      <c r="J618" s="59" t="s">
        <v>1181</v>
      </c>
      <c r="K618" s="59">
        <v>1</v>
      </c>
      <c r="L618" s="59">
        <f t="shared" si="9"/>
        <v>130</v>
      </c>
      <c r="M618" s="59"/>
      <c r="N618" s="58"/>
    </row>
    <row r="619" spans="1:14" ht="30">
      <c r="A619" s="56">
        <v>954</v>
      </c>
      <c r="B619" s="56">
        <v>954</v>
      </c>
      <c r="C619" s="56">
        <v>954</v>
      </c>
      <c r="D619" s="56" t="s">
        <v>2268</v>
      </c>
      <c r="F619" s="56" t="s">
        <v>24</v>
      </c>
      <c r="G619" s="56">
        <v>1</v>
      </c>
      <c r="H619" s="56">
        <v>1</v>
      </c>
      <c r="I619" s="56">
        <v>70</v>
      </c>
      <c r="J619" s="59" t="s">
        <v>1181</v>
      </c>
      <c r="K619" s="59">
        <v>1</v>
      </c>
      <c r="L619" s="59">
        <f t="shared" si="9"/>
        <v>70</v>
      </c>
      <c r="M619" s="59"/>
    </row>
    <row r="620" spans="1:14" ht="30">
      <c r="A620" s="56">
        <v>956</v>
      </c>
      <c r="B620" s="56">
        <v>956</v>
      </c>
      <c r="C620" s="56">
        <v>956</v>
      </c>
      <c r="D620" s="56" t="s">
        <v>2270</v>
      </c>
      <c r="F620" s="56" t="s">
        <v>24</v>
      </c>
      <c r="G620" s="56">
        <v>1</v>
      </c>
      <c r="H620" s="56">
        <v>1</v>
      </c>
      <c r="I620" s="56">
        <v>300</v>
      </c>
      <c r="J620" s="59" t="s">
        <v>1181</v>
      </c>
      <c r="K620" s="59">
        <v>1</v>
      </c>
      <c r="L620" s="59">
        <f t="shared" si="9"/>
        <v>300</v>
      </c>
      <c r="M620" s="59"/>
    </row>
    <row r="621" spans="1:14" ht="30">
      <c r="A621" s="56">
        <v>957</v>
      </c>
      <c r="B621" s="56">
        <v>957</v>
      </c>
      <c r="C621" s="56">
        <v>957</v>
      </c>
      <c r="D621" s="56" t="s">
        <v>2271</v>
      </c>
      <c r="F621" s="56" t="s">
        <v>24</v>
      </c>
      <c r="G621" s="56">
        <v>1</v>
      </c>
      <c r="H621" s="56">
        <v>1</v>
      </c>
      <c r="I621" s="56">
        <v>150</v>
      </c>
      <c r="J621" s="59" t="s">
        <v>1181</v>
      </c>
      <c r="K621" s="59">
        <v>1</v>
      </c>
      <c r="L621" s="59">
        <f t="shared" si="9"/>
        <v>150</v>
      </c>
      <c r="M621" s="59"/>
    </row>
    <row r="622" spans="1:14" ht="30">
      <c r="A622" s="56">
        <v>989</v>
      </c>
      <c r="B622" s="56">
        <v>989</v>
      </c>
      <c r="C622" s="56">
        <v>989</v>
      </c>
      <c r="D622" s="56" t="s">
        <v>2286</v>
      </c>
      <c r="F622" s="56" t="s">
        <v>24</v>
      </c>
      <c r="G622" s="56">
        <v>1</v>
      </c>
      <c r="H622" s="56">
        <v>1</v>
      </c>
      <c r="I622" s="56">
        <v>380</v>
      </c>
      <c r="J622" s="59" t="s">
        <v>1181</v>
      </c>
      <c r="K622" s="59">
        <v>1</v>
      </c>
      <c r="L622" s="59">
        <f t="shared" si="9"/>
        <v>380</v>
      </c>
      <c r="M622" s="59"/>
    </row>
    <row r="623" spans="1:14" ht="30">
      <c r="A623" s="56">
        <v>993</v>
      </c>
      <c r="B623" s="56">
        <v>993</v>
      </c>
      <c r="C623" s="56">
        <v>993</v>
      </c>
      <c r="D623" s="56" t="s">
        <v>1398</v>
      </c>
      <c r="F623" s="58" t="s">
        <v>1272</v>
      </c>
      <c r="G623" s="58">
        <v>1</v>
      </c>
      <c r="H623" s="58">
        <v>1</v>
      </c>
      <c r="I623" s="56">
        <v>1000</v>
      </c>
      <c r="J623" s="59" t="s">
        <v>1181</v>
      </c>
      <c r="K623" s="59">
        <v>1</v>
      </c>
      <c r="L623" s="59">
        <f t="shared" si="9"/>
        <v>1000</v>
      </c>
      <c r="M623" s="59"/>
      <c r="N623" s="58"/>
    </row>
    <row r="624" spans="1:14" ht="30">
      <c r="A624" s="56">
        <v>996</v>
      </c>
      <c r="B624" s="56">
        <v>996</v>
      </c>
      <c r="C624" s="56">
        <v>996</v>
      </c>
      <c r="D624" s="56" t="s">
        <v>2288</v>
      </c>
      <c r="F624" s="56" t="s">
        <v>24</v>
      </c>
      <c r="G624" s="56">
        <v>1</v>
      </c>
      <c r="H624" s="56">
        <v>1</v>
      </c>
      <c r="I624" s="56">
        <v>870</v>
      </c>
      <c r="J624" s="59" t="s">
        <v>1181</v>
      </c>
      <c r="K624" s="59">
        <v>1</v>
      </c>
      <c r="L624" s="59">
        <f t="shared" si="9"/>
        <v>870</v>
      </c>
      <c r="M624" s="59"/>
    </row>
    <row r="625" spans="1:14" ht="30">
      <c r="A625" s="56">
        <v>998</v>
      </c>
      <c r="B625" s="56">
        <v>998</v>
      </c>
      <c r="C625" s="56">
        <v>998</v>
      </c>
      <c r="D625" s="56" t="s">
        <v>2290</v>
      </c>
      <c r="F625" s="56" t="s">
        <v>24</v>
      </c>
      <c r="G625" s="56">
        <v>1</v>
      </c>
      <c r="H625" s="56">
        <v>1</v>
      </c>
      <c r="I625" s="56">
        <v>300</v>
      </c>
      <c r="J625" s="59" t="s">
        <v>1181</v>
      </c>
      <c r="K625" s="59">
        <v>1</v>
      </c>
      <c r="L625" s="59">
        <f t="shared" si="9"/>
        <v>300</v>
      </c>
      <c r="M625" s="59"/>
    </row>
    <row r="626" spans="1:14" ht="30">
      <c r="A626" s="56">
        <v>999</v>
      </c>
      <c r="B626" s="56">
        <v>999</v>
      </c>
      <c r="C626" s="56">
        <v>999</v>
      </c>
      <c r="D626" s="56" t="s">
        <v>2291</v>
      </c>
      <c r="F626" s="56" t="s">
        <v>24</v>
      </c>
      <c r="G626" s="56">
        <v>1</v>
      </c>
      <c r="H626" s="56">
        <v>1</v>
      </c>
      <c r="I626" s="56">
        <v>350</v>
      </c>
      <c r="J626" s="59" t="s">
        <v>1181</v>
      </c>
      <c r="K626" s="59">
        <v>1</v>
      </c>
      <c r="L626" s="59">
        <f t="shared" si="9"/>
        <v>350</v>
      </c>
      <c r="M626" s="59"/>
    </row>
    <row r="627" spans="1:14" ht="30">
      <c r="A627" s="56">
        <v>1006</v>
      </c>
      <c r="B627" s="56">
        <v>1006</v>
      </c>
      <c r="C627" s="56">
        <v>1006</v>
      </c>
      <c r="D627" s="56" t="s">
        <v>2298</v>
      </c>
      <c r="F627" s="56" t="s">
        <v>24</v>
      </c>
      <c r="G627" s="56">
        <v>1</v>
      </c>
      <c r="H627" s="56">
        <v>1</v>
      </c>
      <c r="I627" s="56">
        <v>276</v>
      </c>
      <c r="J627" s="59" t="s">
        <v>1181</v>
      </c>
      <c r="K627" s="59">
        <v>1</v>
      </c>
      <c r="L627" s="59">
        <f t="shared" si="9"/>
        <v>276</v>
      </c>
      <c r="M627" s="59"/>
    </row>
    <row r="628" spans="1:14" ht="30">
      <c r="A628" s="56">
        <v>1007</v>
      </c>
      <c r="B628" s="56">
        <v>1007</v>
      </c>
      <c r="C628" s="56">
        <v>1007</v>
      </c>
      <c r="D628" s="56" t="s">
        <v>2299</v>
      </c>
      <c r="F628" s="56" t="s">
        <v>24</v>
      </c>
      <c r="G628" s="56">
        <v>1</v>
      </c>
      <c r="H628" s="56">
        <v>1</v>
      </c>
      <c r="I628" s="56">
        <v>540</v>
      </c>
      <c r="J628" s="59" t="s">
        <v>1181</v>
      </c>
      <c r="K628" s="59">
        <v>1</v>
      </c>
      <c r="L628" s="59">
        <f t="shared" si="9"/>
        <v>540</v>
      </c>
      <c r="M628" s="59"/>
    </row>
    <row r="629" spans="1:14" ht="30">
      <c r="A629" s="56">
        <v>1008</v>
      </c>
      <c r="B629" s="56">
        <v>1008</v>
      </c>
      <c r="C629" s="56">
        <v>1008</v>
      </c>
      <c r="D629" s="56" t="s">
        <v>2300</v>
      </c>
      <c r="F629" s="56" t="s">
        <v>24</v>
      </c>
      <c r="G629" s="56">
        <v>1</v>
      </c>
      <c r="H629" s="56">
        <v>1</v>
      </c>
      <c r="I629" s="56">
        <v>600</v>
      </c>
      <c r="J629" s="59" t="s">
        <v>1181</v>
      </c>
      <c r="K629" s="59">
        <v>1</v>
      </c>
      <c r="L629" s="59">
        <f t="shared" si="9"/>
        <v>600</v>
      </c>
      <c r="M629" s="59"/>
    </row>
    <row r="630" spans="1:14" ht="30">
      <c r="A630" s="56">
        <v>1009</v>
      </c>
      <c r="B630" s="56">
        <v>1009</v>
      </c>
      <c r="C630" s="56">
        <v>1009</v>
      </c>
      <c r="D630" s="56" t="s">
        <v>2301</v>
      </c>
      <c r="F630" s="56" t="s">
        <v>24</v>
      </c>
      <c r="G630" s="56">
        <v>1</v>
      </c>
      <c r="H630" s="56">
        <v>1</v>
      </c>
      <c r="I630" s="56">
        <v>340</v>
      </c>
      <c r="J630" s="59" t="s">
        <v>1181</v>
      </c>
      <c r="K630" s="59">
        <v>1</v>
      </c>
      <c r="L630" s="59">
        <f t="shared" si="9"/>
        <v>340</v>
      </c>
      <c r="M630" s="59"/>
    </row>
    <row r="631" spans="1:14" ht="30">
      <c r="A631" s="56">
        <v>1031</v>
      </c>
      <c r="B631" s="56">
        <v>1031</v>
      </c>
      <c r="C631" s="56">
        <v>1031</v>
      </c>
      <c r="D631" s="56" t="s">
        <v>2323</v>
      </c>
      <c r="F631" s="56" t="s">
        <v>24</v>
      </c>
      <c r="G631" s="56">
        <v>1</v>
      </c>
      <c r="H631" s="56">
        <v>1</v>
      </c>
      <c r="I631" s="56">
        <v>230</v>
      </c>
      <c r="J631" s="59" t="s">
        <v>1181</v>
      </c>
      <c r="K631" s="59">
        <v>1</v>
      </c>
      <c r="L631" s="59">
        <f t="shared" si="9"/>
        <v>230</v>
      </c>
      <c r="M631" s="59"/>
    </row>
    <row r="632" spans="1:14" ht="30">
      <c r="A632" s="56">
        <v>1032</v>
      </c>
      <c r="B632" s="56">
        <v>1032</v>
      </c>
      <c r="C632" s="56">
        <v>1032</v>
      </c>
      <c r="D632" s="56" t="s">
        <v>2324</v>
      </c>
      <c r="F632" s="56" t="s">
        <v>24</v>
      </c>
      <c r="G632" s="56">
        <v>1</v>
      </c>
      <c r="H632" s="56">
        <v>1</v>
      </c>
      <c r="I632" s="56">
        <v>600</v>
      </c>
      <c r="J632" s="59" t="s">
        <v>1181</v>
      </c>
      <c r="K632" s="59">
        <v>1</v>
      </c>
      <c r="L632" s="59">
        <f t="shared" si="9"/>
        <v>600</v>
      </c>
      <c r="M632" s="59"/>
    </row>
    <row r="633" spans="1:14" ht="30">
      <c r="A633" s="56">
        <v>1033</v>
      </c>
      <c r="B633" s="56">
        <v>1033</v>
      </c>
      <c r="C633" s="56">
        <v>1033</v>
      </c>
      <c r="D633" s="56" t="s">
        <v>2325</v>
      </c>
      <c r="F633" s="56" t="s">
        <v>24</v>
      </c>
      <c r="G633" s="56">
        <v>1</v>
      </c>
      <c r="H633" s="56">
        <v>1</v>
      </c>
      <c r="I633" s="56">
        <v>230</v>
      </c>
      <c r="J633" s="59" t="s">
        <v>1181</v>
      </c>
      <c r="K633" s="59">
        <v>1</v>
      </c>
      <c r="L633" s="59">
        <f t="shared" si="9"/>
        <v>230</v>
      </c>
      <c r="M633" s="59"/>
    </row>
    <row r="634" spans="1:14" ht="30">
      <c r="A634" s="56">
        <v>1034</v>
      </c>
      <c r="B634" s="56">
        <v>1034</v>
      </c>
      <c r="C634" s="56">
        <v>1034</v>
      </c>
      <c r="D634" s="56" t="s">
        <v>2326</v>
      </c>
      <c r="F634" s="56" t="s">
        <v>24</v>
      </c>
      <c r="G634" s="56">
        <v>1</v>
      </c>
      <c r="H634" s="56">
        <v>1</v>
      </c>
      <c r="I634" s="56">
        <v>180</v>
      </c>
      <c r="J634" s="59" t="s">
        <v>1181</v>
      </c>
      <c r="K634" s="59">
        <v>1</v>
      </c>
      <c r="L634" s="59">
        <f t="shared" si="9"/>
        <v>180</v>
      </c>
      <c r="M634" s="59"/>
    </row>
    <row r="635" spans="1:14" ht="30">
      <c r="A635" s="56">
        <v>1043</v>
      </c>
      <c r="B635" s="56">
        <v>1043</v>
      </c>
      <c r="C635" s="56">
        <v>1043</v>
      </c>
      <c r="D635" s="56" t="s">
        <v>1259</v>
      </c>
      <c r="F635" s="58" t="s">
        <v>24</v>
      </c>
      <c r="G635" s="58">
        <v>1</v>
      </c>
      <c r="H635" s="58">
        <v>1</v>
      </c>
      <c r="I635" s="56">
        <v>7</v>
      </c>
      <c r="J635" s="59" t="s">
        <v>1181</v>
      </c>
      <c r="K635" s="59">
        <v>1</v>
      </c>
      <c r="L635" s="59">
        <f t="shared" si="9"/>
        <v>7</v>
      </c>
      <c r="M635" s="59"/>
      <c r="N635" s="58"/>
    </row>
    <row r="636" spans="1:14" ht="30">
      <c r="A636" s="56">
        <v>1096</v>
      </c>
      <c r="B636" s="56">
        <v>1096</v>
      </c>
      <c r="C636" s="56">
        <v>1096</v>
      </c>
      <c r="D636" s="56" t="s">
        <v>2366</v>
      </c>
      <c r="F636" s="56" t="s">
        <v>24</v>
      </c>
      <c r="G636" s="56">
        <v>1</v>
      </c>
      <c r="H636" s="56">
        <v>1</v>
      </c>
      <c r="I636" s="56">
        <v>450</v>
      </c>
      <c r="J636" s="59" t="s">
        <v>1181</v>
      </c>
      <c r="K636" s="59">
        <v>1</v>
      </c>
      <c r="L636" s="59">
        <f t="shared" si="9"/>
        <v>450</v>
      </c>
      <c r="M636" s="59"/>
    </row>
    <row r="637" spans="1:14" ht="30">
      <c r="A637" s="56">
        <v>1097</v>
      </c>
      <c r="B637" s="56">
        <v>1097</v>
      </c>
      <c r="C637" s="56">
        <v>1097</v>
      </c>
      <c r="D637" s="56" t="s">
        <v>2367</v>
      </c>
      <c r="F637" s="56" t="s">
        <v>24</v>
      </c>
      <c r="G637" s="56">
        <v>1</v>
      </c>
      <c r="H637" s="56">
        <v>1</v>
      </c>
      <c r="I637" s="56">
        <v>850</v>
      </c>
      <c r="J637" s="59" t="s">
        <v>1181</v>
      </c>
      <c r="K637" s="59">
        <v>1</v>
      </c>
      <c r="L637" s="59">
        <f t="shared" si="9"/>
        <v>850</v>
      </c>
      <c r="M637" s="59"/>
    </row>
    <row r="638" spans="1:14" ht="30">
      <c r="A638" s="56">
        <v>1099</v>
      </c>
      <c r="B638" s="56">
        <v>1099</v>
      </c>
      <c r="C638" s="56">
        <v>1099</v>
      </c>
      <c r="D638" s="56" t="s">
        <v>2369</v>
      </c>
      <c r="F638" s="56" t="s">
        <v>24</v>
      </c>
      <c r="G638" s="56">
        <v>1</v>
      </c>
      <c r="H638" s="56">
        <v>1</v>
      </c>
      <c r="I638" s="56">
        <v>200</v>
      </c>
      <c r="J638" s="59" t="s">
        <v>1181</v>
      </c>
      <c r="K638" s="59">
        <v>1</v>
      </c>
      <c r="L638" s="59">
        <f t="shared" si="9"/>
        <v>200</v>
      </c>
      <c r="M638" s="59"/>
    </row>
    <row r="639" spans="1:14" ht="30">
      <c r="A639" s="56">
        <v>1100</v>
      </c>
      <c r="B639" s="56">
        <v>1100</v>
      </c>
      <c r="C639" s="56">
        <v>1100</v>
      </c>
      <c r="D639" s="56" t="s">
        <v>2370</v>
      </c>
      <c r="F639" s="56" t="s">
        <v>24</v>
      </c>
      <c r="G639" s="56">
        <v>1</v>
      </c>
      <c r="H639" s="56">
        <v>1</v>
      </c>
      <c r="I639" s="56">
        <v>260</v>
      </c>
      <c r="J639" s="59" t="s">
        <v>1181</v>
      </c>
      <c r="K639" s="59">
        <v>1</v>
      </c>
      <c r="L639" s="59">
        <f t="shared" si="9"/>
        <v>260</v>
      </c>
      <c r="M639" s="59"/>
    </row>
    <row r="640" spans="1:14" ht="30">
      <c r="A640" s="56">
        <v>1101</v>
      </c>
      <c r="B640" s="56">
        <v>1101</v>
      </c>
      <c r="C640" s="56">
        <v>1101</v>
      </c>
      <c r="D640" s="56" t="s">
        <v>2371</v>
      </c>
      <c r="F640" s="56" t="s">
        <v>24</v>
      </c>
      <c r="G640" s="56">
        <v>1</v>
      </c>
      <c r="H640" s="56">
        <v>1</v>
      </c>
      <c r="I640" s="56">
        <v>250</v>
      </c>
      <c r="J640" s="59" t="s">
        <v>1181</v>
      </c>
      <c r="K640" s="59">
        <v>1</v>
      </c>
      <c r="L640" s="59">
        <f t="shared" si="9"/>
        <v>250</v>
      </c>
      <c r="M640" s="59"/>
    </row>
    <row r="641" spans="1:14" ht="30">
      <c r="A641" s="56">
        <v>1103</v>
      </c>
      <c r="B641" s="56">
        <v>1103</v>
      </c>
      <c r="C641" s="56">
        <v>1103</v>
      </c>
      <c r="D641" s="56" t="s">
        <v>2373</v>
      </c>
      <c r="F641" s="56" t="s">
        <v>24</v>
      </c>
      <c r="G641" s="56">
        <v>1</v>
      </c>
      <c r="H641" s="56">
        <v>1</v>
      </c>
      <c r="I641" s="56">
        <v>150</v>
      </c>
      <c r="J641" s="59" t="s">
        <v>1181</v>
      </c>
      <c r="K641" s="59">
        <v>1</v>
      </c>
      <c r="L641" s="59">
        <f t="shared" si="9"/>
        <v>150</v>
      </c>
      <c r="M641" s="59"/>
    </row>
    <row r="642" spans="1:14" ht="30">
      <c r="A642" s="56">
        <v>1109</v>
      </c>
      <c r="B642" s="56">
        <v>1109</v>
      </c>
      <c r="C642" s="56">
        <v>1109</v>
      </c>
      <c r="D642" s="56" t="s">
        <v>2376</v>
      </c>
      <c r="F642" s="56" t="s">
        <v>24</v>
      </c>
      <c r="G642" s="56">
        <v>1</v>
      </c>
      <c r="H642" s="56">
        <v>1</v>
      </c>
      <c r="I642" s="56">
        <v>230</v>
      </c>
      <c r="J642" s="59" t="s">
        <v>1181</v>
      </c>
      <c r="K642" s="59">
        <v>1</v>
      </c>
      <c r="L642" s="59">
        <f t="shared" ref="L642:L705" si="10">H642*I642</f>
        <v>230</v>
      </c>
      <c r="M642" s="59"/>
    </row>
    <row r="643" spans="1:14" ht="30">
      <c r="A643" s="56">
        <v>1110</v>
      </c>
      <c r="B643" s="56">
        <v>1110</v>
      </c>
      <c r="C643" s="56">
        <v>1110</v>
      </c>
      <c r="D643" s="56" t="s">
        <v>2377</v>
      </c>
      <c r="F643" s="56" t="s">
        <v>24</v>
      </c>
      <c r="G643" s="56">
        <v>1</v>
      </c>
      <c r="H643" s="56">
        <v>1</v>
      </c>
      <c r="I643" s="56">
        <v>230</v>
      </c>
      <c r="J643" s="59" t="s">
        <v>1181</v>
      </c>
      <c r="K643" s="59">
        <v>1</v>
      </c>
      <c r="L643" s="59">
        <f t="shared" si="10"/>
        <v>230</v>
      </c>
      <c r="M643" s="59"/>
    </row>
    <row r="644" spans="1:14" ht="30">
      <c r="A644" s="56">
        <v>1123</v>
      </c>
      <c r="B644" s="56">
        <v>1123</v>
      </c>
      <c r="C644" s="56">
        <v>1123</v>
      </c>
      <c r="D644" s="56" t="s">
        <v>2390</v>
      </c>
      <c r="F644" s="56" t="s">
        <v>24</v>
      </c>
      <c r="G644" s="56">
        <v>1</v>
      </c>
      <c r="H644" s="56">
        <v>1</v>
      </c>
      <c r="I644" s="56">
        <v>800</v>
      </c>
      <c r="J644" s="59" t="s">
        <v>1181</v>
      </c>
      <c r="K644" s="59">
        <v>1</v>
      </c>
      <c r="L644" s="59">
        <f t="shared" si="10"/>
        <v>800</v>
      </c>
      <c r="M644" s="59"/>
    </row>
    <row r="645" spans="1:14" ht="30">
      <c r="A645" s="56">
        <v>1129</v>
      </c>
      <c r="B645" s="56">
        <v>1129</v>
      </c>
      <c r="C645" s="56">
        <v>1129</v>
      </c>
      <c r="D645" s="56" t="s">
        <v>2396</v>
      </c>
      <c r="F645" s="56" t="s">
        <v>24</v>
      </c>
      <c r="G645" s="56">
        <v>1</v>
      </c>
      <c r="H645" s="56">
        <v>1</v>
      </c>
      <c r="I645" s="56">
        <v>1000</v>
      </c>
      <c r="J645" s="59" t="s">
        <v>1181</v>
      </c>
      <c r="K645" s="59">
        <v>1</v>
      </c>
      <c r="L645" s="59">
        <f t="shared" si="10"/>
        <v>1000</v>
      </c>
      <c r="M645" s="59"/>
    </row>
    <row r="646" spans="1:14" ht="30">
      <c r="A646" s="56">
        <v>1132</v>
      </c>
      <c r="B646" s="56">
        <v>1132</v>
      </c>
      <c r="C646" s="56">
        <v>1132</v>
      </c>
      <c r="D646" s="56" t="s">
        <v>2399</v>
      </c>
      <c r="F646" s="56" t="s">
        <v>24</v>
      </c>
      <c r="G646" s="56">
        <v>1</v>
      </c>
      <c r="H646" s="56">
        <v>1</v>
      </c>
      <c r="I646" s="56">
        <v>800</v>
      </c>
      <c r="J646" s="59" t="s">
        <v>1181</v>
      </c>
      <c r="K646" s="59">
        <v>1</v>
      </c>
      <c r="L646" s="59">
        <f t="shared" si="10"/>
        <v>800</v>
      </c>
      <c r="M646" s="59"/>
    </row>
    <row r="647" spans="1:14" ht="30">
      <c r="A647" s="56">
        <v>1133</v>
      </c>
      <c r="B647" s="56">
        <v>1133</v>
      </c>
      <c r="C647" s="56">
        <v>1133</v>
      </c>
      <c r="D647" s="56" t="s">
        <v>2400</v>
      </c>
      <c r="F647" s="56" t="s">
        <v>24</v>
      </c>
      <c r="G647" s="56">
        <v>1</v>
      </c>
      <c r="H647" s="56">
        <v>1</v>
      </c>
      <c r="I647" s="56">
        <v>600</v>
      </c>
      <c r="J647" s="59" t="s">
        <v>1181</v>
      </c>
      <c r="K647" s="59">
        <v>1</v>
      </c>
      <c r="L647" s="59">
        <f t="shared" si="10"/>
        <v>600</v>
      </c>
      <c r="M647" s="59"/>
    </row>
    <row r="648" spans="1:14" ht="30">
      <c r="A648" s="56">
        <v>1138</v>
      </c>
      <c r="B648" s="56">
        <v>1138</v>
      </c>
      <c r="C648" s="56">
        <v>1138</v>
      </c>
      <c r="D648" s="56" t="s">
        <v>2403</v>
      </c>
      <c r="F648" s="56" t="s">
        <v>24</v>
      </c>
      <c r="G648" s="56">
        <v>1</v>
      </c>
      <c r="H648" s="56">
        <v>1</v>
      </c>
      <c r="I648" s="56">
        <v>1200</v>
      </c>
      <c r="J648" s="59" t="s">
        <v>1181</v>
      </c>
      <c r="K648" s="59">
        <v>1</v>
      </c>
      <c r="L648" s="59">
        <f t="shared" si="10"/>
        <v>1200</v>
      </c>
      <c r="M648" s="59"/>
    </row>
    <row r="649" spans="1:14" ht="30">
      <c r="A649" s="56">
        <v>1139</v>
      </c>
      <c r="B649" s="56">
        <v>1139</v>
      </c>
      <c r="C649" s="56">
        <v>1139</v>
      </c>
      <c r="D649" s="56" t="s">
        <v>2404</v>
      </c>
      <c r="F649" s="56" t="s">
        <v>24</v>
      </c>
      <c r="G649" s="56">
        <v>1</v>
      </c>
      <c r="H649" s="56">
        <v>1</v>
      </c>
      <c r="I649" s="56">
        <v>150</v>
      </c>
      <c r="J649" s="59" t="s">
        <v>1181</v>
      </c>
      <c r="K649" s="59">
        <v>1</v>
      </c>
      <c r="L649" s="59">
        <f t="shared" si="10"/>
        <v>150</v>
      </c>
      <c r="M649" s="59"/>
    </row>
    <row r="650" spans="1:14" ht="30">
      <c r="A650" s="56">
        <v>1140</v>
      </c>
      <c r="B650" s="56">
        <v>1140</v>
      </c>
      <c r="C650" s="56">
        <v>1140</v>
      </c>
      <c r="D650" s="56" t="s">
        <v>1415</v>
      </c>
      <c r="F650" s="58" t="s">
        <v>24</v>
      </c>
      <c r="G650" s="58">
        <v>1</v>
      </c>
      <c r="H650" s="58">
        <v>1</v>
      </c>
      <c r="I650" s="56">
        <v>800</v>
      </c>
      <c r="J650" s="59" t="s">
        <v>1181</v>
      </c>
      <c r="K650" s="59">
        <v>1</v>
      </c>
      <c r="L650" s="59">
        <f t="shared" si="10"/>
        <v>800</v>
      </c>
      <c r="M650" s="59"/>
      <c r="N650" s="58"/>
    </row>
    <row r="651" spans="1:14" ht="30">
      <c r="A651" s="56">
        <v>1144</v>
      </c>
      <c r="B651" s="56">
        <v>1144</v>
      </c>
      <c r="C651" s="56">
        <v>1144</v>
      </c>
      <c r="D651" s="56" t="s">
        <v>2408</v>
      </c>
      <c r="F651" s="56" t="s">
        <v>24</v>
      </c>
      <c r="G651" s="56">
        <v>1</v>
      </c>
      <c r="H651" s="56">
        <v>1</v>
      </c>
      <c r="I651" s="56">
        <v>1000</v>
      </c>
      <c r="J651" s="59" t="s">
        <v>1181</v>
      </c>
      <c r="K651" s="59">
        <v>1</v>
      </c>
      <c r="L651" s="59">
        <f t="shared" si="10"/>
        <v>1000</v>
      </c>
      <c r="M651" s="59"/>
    </row>
    <row r="652" spans="1:14" ht="30">
      <c r="A652" s="56">
        <v>1149</v>
      </c>
      <c r="B652" s="56">
        <v>1149</v>
      </c>
      <c r="C652" s="56">
        <v>1149</v>
      </c>
      <c r="D652" s="56" t="s">
        <v>2413</v>
      </c>
      <c r="F652" s="56" t="s">
        <v>24</v>
      </c>
      <c r="G652" s="56">
        <v>1</v>
      </c>
      <c r="H652" s="56">
        <v>1</v>
      </c>
      <c r="I652" s="56">
        <v>2500</v>
      </c>
      <c r="J652" s="59" t="s">
        <v>1181</v>
      </c>
      <c r="K652" s="59">
        <v>1</v>
      </c>
      <c r="L652" s="59">
        <f t="shared" si="10"/>
        <v>2500</v>
      </c>
      <c r="M652" s="59"/>
    </row>
    <row r="653" spans="1:14" ht="30">
      <c r="A653" s="56">
        <v>1185</v>
      </c>
      <c r="B653" s="56">
        <v>1185</v>
      </c>
      <c r="C653" s="56">
        <v>1185</v>
      </c>
      <c r="D653" s="56" t="s">
        <v>2435</v>
      </c>
      <c r="F653" s="56" t="s">
        <v>24</v>
      </c>
      <c r="G653" s="56">
        <v>1</v>
      </c>
      <c r="H653" s="56">
        <v>1</v>
      </c>
      <c r="I653" s="56">
        <v>1450</v>
      </c>
      <c r="J653" s="59" t="s">
        <v>1181</v>
      </c>
      <c r="K653" s="59">
        <v>1</v>
      </c>
      <c r="L653" s="59">
        <f t="shared" si="10"/>
        <v>1450</v>
      </c>
      <c r="M653" s="59"/>
    </row>
    <row r="654" spans="1:14" ht="30">
      <c r="A654" s="56">
        <v>1188</v>
      </c>
      <c r="B654" s="56">
        <v>1188</v>
      </c>
      <c r="C654" s="56">
        <v>1188</v>
      </c>
      <c r="D654" s="56" t="s">
        <v>2438</v>
      </c>
      <c r="F654" s="56" t="s">
        <v>24</v>
      </c>
      <c r="G654" s="56">
        <v>1</v>
      </c>
      <c r="H654" s="56">
        <v>1</v>
      </c>
      <c r="I654" s="56">
        <v>1450</v>
      </c>
      <c r="J654" s="59" t="s">
        <v>1181</v>
      </c>
      <c r="K654" s="59">
        <v>1</v>
      </c>
      <c r="L654" s="59">
        <f t="shared" si="10"/>
        <v>1450</v>
      </c>
      <c r="M654" s="59"/>
    </row>
    <row r="655" spans="1:14" ht="30">
      <c r="A655" s="56">
        <v>1190</v>
      </c>
      <c r="B655" s="56">
        <v>1190</v>
      </c>
      <c r="C655" s="56">
        <v>1190</v>
      </c>
      <c r="D655" s="56" t="s">
        <v>2440</v>
      </c>
      <c r="F655" s="56" t="s">
        <v>24</v>
      </c>
      <c r="G655" s="56">
        <v>1</v>
      </c>
      <c r="H655" s="56">
        <v>1</v>
      </c>
      <c r="I655" s="56">
        <v>0</v>
      </c>
      <c r="J655" s="59" t="s">
        <v>1181</v>
      </c>
      <c r="K655" s="59">
        <v>1</v>
      </c>
      <c r="L655" s="59">
        <f t="shared" si="10"/>
        <v>0</v>
      </c>
      <c r="M655" s="59"/>
    </row>
    <row r="656" spans="1:14" ht="30">
      <c r="A656" s="56">
        <v>1195</v>
      </c>
      <c r="B656" s="56">
        <v>1195</v>
      </c>
      <c r="C656" s="56">
        <v>1195</v>
      </c>
      <c r="D656" s="56" t="s">
        <v>1421</v>
      </c>
      <c r="F656" s="58" t="s">
        <v>24</v>
      </c>
      <c r="G656" s="58">
        <v>1</v>
      </c>
      <c r="H656" s="58">
        <v>1</v>
      </c>
      <c r="I656" s="56">
        <v>700</v>
      </c>
      <c r="J656" s="59" t="s">
        <v>1181</v>
      </c>
      <c r="K656" s="59">
        <v>1</v>
      </c>
      <c r="L656" s="59">
        <f t="shared" si="10"/>
        <v>700</v>
      </c>
      <c r="M656" s="59"/>
      <c r="N656" s="58"/>
    </row>
    <row r="657" spans="1:14" ht="30">
      <c r="A657" s="56">
        <v>1197</v>
      </c>
      <c r="B657" s="56">
        <v>1197</v>
      </c>
      <c r="C657" s="56">
        <v>1197</v>
      </c>
      <c r="D657" s="56" t="s">
        <v>2446</v>
      </c>
      <c r="F657" s="56" t="s">
        <v>24</v>
      </c>
      <c r="G657" s="56">
        <v>1</v>
      </c>
      <c r="H657" s="56">
        <v>1</v>
      </c>
      <c r="I657" s="56">
        <v>1100</v>
      </c>
      <c r="J657" s="59" t="s">
        <v>1181</v>
      </c>
      <c r="K657" s="59">
        <v>1</v>
      </c>
      <c r="L657" s="59">
        <f t="shared" si="10"/>
        <v>1100</v>
      </c>
      <c r="M657" s="59"/>
    </row>
    <row r="658" spans="1:14" ht="30">
      <c r="A658" s="56">
        <v>1200</v>
      </c>
      <c r="B658" s="56">
        <v>1200</v>
      </c>
      <c r="C658" s="56">
        <v>1200</v>
      </c>
      <c r="D658" s="56" t="s">
        <v>2449</v>
      </c>
      <c r="F658" s="56" t="s">
        <v>24</v>
      </c>
      <c r="G658" s="56">
        <v>1</v>
      </c>
      <c r="H658" s="56">
        <v>1</v>
      </c>
      <c r="I658" s="56">
        <v>500</v>
      </c>
      <c r="J658" s="59" t="s">
        <v>1181</v>
      </c>
      <c r="K658" s="59">
        <v>1</v>
      </c>
      <c r="L658" s="59">
        <f t="shared" si="10"/>
        <v>500</v>
      </c>
      <c r="M658" s="59"/>
    </row>
    <row r="659" spans="1:14" ht="30">
      <c r="A659" s="56">
        <v>1202</v>
      </c>
      <c r="B659" s="56">
        <v>1202</v>
      </c>
      <c r="C659" s="56">
        <v>1202</v>
      </c>
      <c r="D659" s="56" t="s">
        <v>2450</v>
      </c>
      <c r="F659" s="56" t="s">
        <v>24</v>
      </c>
      <c r="G659" s="56">
        <v>1</v>
      </c>
      <c r="H659" s="56">
        <v>1</v>
      </c>
      <c r="I659" s="56">
        <v>100</v>
      </c>
      <c r="J659" s="59" t="s">
        <v>1181</v>
      </c>
      <c r="K659" s="59">
        <v>1</v>
      </c>
      <c r="L659" s="59">
        <f t="shared" si="10"/>
        <v>100</v>
      </c>
      <c r="M659" s="59"/>
    </row>
    <row r="660" spans="1:14" ht="30">
      <c r="A660" s="56">
        <v>1208</v>
      </c>
      <c r="B660" s="56">
        <v>1208</v>
      </c>
      <c r="C660" s="56">
        <v>1208</v>
      </c>
      <c r="D660" s="56" t="s">
        <v>2456</v>
      </c>
      <c r="F660" s="56" t="s">
        <v>24</v>
      </c>
      <c r="G660" s="56">
        <v>1</v>
      </c>
      <c r="H660" s="56">
        <v>1</v>
      </c>
      <c r="I660" s="56">
        <v>100</v>
      </c>
      <c r="J660" s="59" t="s">
        <v>1181</v>
      </c>
      <c r="K660" s="59">
        <v>1</v>
      </c>
      <c r="L660" s="59">
        <f t="shared" si="10"/>
        <v>100</v>
      </c>
      <c r="M660" s="59"/>
    </row>
    <row r="661" spans="1:14" ht="30">
      <c r="A661" s="56">
        <v>1210</v>
      </c>
      <c r="B661" s="56">
        <v>1210</v>
      </c>
      <c r="C661" s="56">
        <v>1210</v>
      </c>
      <c r="D661" s="56" t="s">
        <v>2458</v>
      </c>
      <c r="F661" s="56" t="s">
        <v>24</v>
      </c>
      <c r="G661" s="56">
        <v>1</v>
      </c>
      <c r="H661" s="56">
        <v>1</v>
      </c>
      <c r="I661" s="56">
        <v>200</v>
      </c>
      <c r="J661" s="59" t="s">
        <v>1181</v>
      </c>
      <c r="K661" s="59">
        <v>1</v>
      </c>
      <c r="L661" s="59">
        <f t="shared" si="10"/>
        <v>200</v>
      </c>
      <c r="M661" s="59"/>
    </row>
    <row r="662" spans="1:14" ht="30">
      <c r="A662" s="56">
        <v>1211</v>
      </c>
      <c r="B662" s="56">
        <v>1211</v>
      </c>
      <c r="C662" s="56">
        <v>1211</v>
      </c>
      <c r="D662" s="56" t="s">
        <v>2459</v>
      </c>
      <c r="F662" s="56" t="s">
        <v>24</v>
      </c>
      <c r="G662" s="56">
        <v>1</v>
      </c>
      <c r="H662" s="56">
        <v>1</v>
      </c>
      <c r="I662" s="56">
        <v>200</v>
      </c>
      <c r="J662" s="59" t="s">
        <v>1181</v>
      </c>
      <c r="K662" s="59">
        <v>1</v>
      </c>
      <c r="L662" s="59">
        <f t="shared" si="10"/>
        <v>200</v>
      </c>
      <c r="M662" s="59"/>
    </row>
    <row r="663" spans="1:14" ht="30">
      <c r="A663" s="56">
        <v>1216</v>
      </c>
      <c r="B663" s="56">
        <v>1216</v>
      </c>
      <c r="C663" s="56">
        <v>1216</v>
      </c>
      <c r="D663" s="56" t="s">
        <v>2464</v>
      </c>
      <c r="F663" s="56" t="s">
        <v>24</v>
      </c>
      <c r="G663" s="56">
        <v>1</v>
      </c>
      <c r="H663" s="56">
        <v>1</v>
      </c>
      <c r="I663" s="56">
        <v>150</v>
      </c>
      <c r="J663" s="59" t="s">
        <v>1181</v>
      </c>
      <c r="K663" s="59">
        <v>1</v>
      </c>
      <c r="L663" s="59">
        <f t="shared" si="10"/>
        <v>150</v>
      </c>
      <c r="M663" s="59"/>
    </row>
    <row r="664" spans="1:14" ht="30">
      <c r="A664" s="56">
        <v>1217</v>
      </c>
      <c r="B664" s="56">
        <v>1217</v>
      </c>
      <c r="C664" s="56">
        <v>1217</v>
      </c>
      <c r="D664" s="56" t="s">
        <v>2465</v>
      </c>
      <c r="F664" s="56" t="s">
        <v>24</v>
      </c>
      <c r="G664" s="56">
        <v>1</v>
      </c>
      <c r="H664" s="56">
        <v>1</v>
      </c>
      <c r="I664" s="56">
        <v>150</v>
      </c>
      <c r="J664" s="59" t="s">
        <v>1181</v>
      </c>
      <c r="K664" s="59">
        <v>1</v>
      </c>
      <c r="L664" s="59">
        <f t="shared" si="10"/>
        <v>150</v>
      </c>
      <c r="M664" s="59"/>
    </row>
    <row r="665" spans="1:14" ht="30">
      <c r="A665" s="56">
        <v>1218</v>
      </c>
      <c r="B665" s="56">
        <v>1218</v>
      </c>
      <c r="C665" s="56">
        <v>1218</v>
      </c>
      <c r="D665" s="56" t="s">
        <v>2466</v>
      </c>
      <c r="F665" s="56" t="s">
        <v>24</v>
      </c>
      <c r="G665" s="56">
        <v>1</v>
      </c>
      <c r="H665" s="56">
        <v>1</v>
      </c>
      <c r="I665" s="56">
        <v>150</v>
      </c>
      <c r="J665" s="59" t="s">
        <v>1181</v>
      </c>
      <c r="K665" s="59">
        <v>1</v>
      </c>
      <c r="L665" s="59">
        <f t="shared" si="10"/>
        <v>150</v>
      </c>
      <c r="M665" s="59"/>
    </row>
    <row r="666" spans="1:14" ht="30">
      <c r="A666" s="56">
        <v>1223</v>
      </c>
      <c r="B666" s="56">
        <v>1223</v>
      </c>
      <c r="C666" s="56">
        <v>1223</v>
      </c>
      <c r="D666" s="56" t="s">
        <v>2470</v>
      </c>
      <c r="F666" s="56" t="s">
        <v>24</v>
      </c>
      <c r="G666" s="56">
        <v>1</v>
      </c>
      <c r="H666" s="56">
        <v>1</v>
      </c>
      <c r="I666" s="56">
        <v>400</v>
      </c>
      <c r="J666" s="59" t="s">
        <v>1181</v>
      </c>
      <c r="K666" s="59">
        <v>1</v>
      </c>
      <c r="L666" s="59">
        <f t="shared" si="10"/>
        <v>400</v>
      </c>
      <c r="M666" s="59"/>
    </row>
    <row r="667" spans="1:14" ht="30">
      <c r="A667" s="56">
        <v>1235</v>
      </c>
      <c r="B667" s="56">
        <v>1235</v>
      </c>
      <c r="C667" s="56">
        <v>1235</v>
      </c>
      <c r="D667" s="56" t="s">
        <v>1430</v>
      </c>
      <c r="F667" s="58" t="s">
        <v>1190</v>
      </c>
      <c r="G667" s="58">
        <v>1</v>
      </c>
      <c r="H667" s="58">
        <v>1</v>
      </c>
      <c r="I667" s="56">
        <v>125</v>
      </c>
      <c r="J667" s="59" t="s">
        <v>1181</v>
      </c>
      <c r="K667" s="59">
        <v>1</v>
      </c>
      <c r="L667" s="59">
        <f t="shared" si="10"/>
        <v>125</v>
      </c>
      <c r="M667" s="59"/>
      <c r="N667" s="58"/>
    </row>
    <row r="668" spans="1:14" ht="30">
      <c r="A668" s="56">
        <v>1263</v>
      </c>
      <c r="B668" s="56">
        <v>1263</v>
      </c>
      <c r="C668" s="56">
        <v>1263</v>
      </c>
      <c r="D668" s="56" t="s">
        <v>2488</v>
      </c>
      <c r="F668" s="56" t="s">
        <v>24</v>
      </c>
      <c r="G668" s="56">
        <v>1</v>
      </c>
      <c r="H668" s="56">
        <v>1</v>
      </c>
      <c r="I668" s="56">
        <v>800</v>
      </c>
      <c r="J668" s="59" t="s">
        <v>1181</v>
      </c>
      <c r="K668" s="59">
        <v>1</v>
      </c>
      <c r="L668" s="59">
        <f t="shared" si="10"/>
        <v>800</v>
      </c>
      <c r="M668" s="59"/>
    </row>
    <row r="669" spans="1:14" ht="30">
      <c r="A669" s="56">
        <v>1264</v>
      </c>
      <c r="B669" s="56">
        <v>1264</v>
      </c>
      <c r="C669" s="56">
        <v>1264</v>
      </c>
      <c r="D669" s="56" t="s">
        <v>2489</v>
      </c>
      <c r="F669" s="56" t="s">
        <v>24</v>
      </c>
      <c r="G669" s="56">
        <v>1</v>
      </c>
      <c r="H669" s="56">
        <v>1</v>
      </c>
      <c r="I669" s="56">
        <v>1000</v>
      </c>
      <c r="J669" s="59" t="s">
        <v>1181</v>
      </c>
      <c r="K669" s="59">
        <v>1</v>
      </c>
      <c r="L669" s="59">
        <f t="shared" si="10"/>
        <v>1000</v>
      </c>
      <c r="M669" s="59"/>
    </row>
    <row r="670" spans="1:14" ht="30">
      <c r="A670" s="56">
        <v>1265</v>
      </c>
      <c r="B670" s="56">
        <v>1265</v>
      </c>
      <c r="C670" s="56">
        <v>1265</v>
      </c>
      <c r="D670" s="56" t="s">
        <v>2490</v>
      </c>
      <c r="F670" s="56" t="s">
        <v>24</v>
      </c>
      <c r="G670" s="56">
        <v>1</v>
      </c>
      <c r="H670" s="56">
        <v>1</v>
      </c>
      <c r="I670" s="56">
        <v>800</v>
      </c>
      <c r="J670" s="59" t="s">
        <v>1181</v>
      </c>
      <c r="K670" s="59">
        <v>1</v>
      </c>
      <c r="L670" s="59">
        <f t="shared" si="10"/>
        <v>800</v>
      </c>
      <c r="M670" s="59"/>
    </row>
    <row r="671" spans="1:14" ht="30">
      <c r="A671" s="56">
        <v>1269</v>
      </c>
      <c r="B671" s="56">
        <v>1269</v>
      </c>
      <c r="C671" s="56">
        <v>1269</v>
      </c>
      <c r="D671" s="56" t="s">
        <v>2494</v>
      </c>
      <c r="F671" s="56" t="s">
        <v>24</v>
      </c>
      <c r="G671" s="56">
        <v>1</v>
      </c>
      <c r="H671" s="56">
        <v>1</v>
      </c>
      <c r="I671" s="56">
        <v>860</v>
      </c>
      <c r="J671" s="59" t="s">
        <v>1181</v>
      </c>
      <c r="K671" s="59">
        <v>1</v>
      </c>
      <c r="L671" s="59">
        <f t="shared" si="10"/>
        <v>860</v>
      </c>
      <c r="M671" s="59"/>
    </row>
    <row r="672" spans="1:14" ht="30">
      <c r="A672" s="56">
        <v>1270</v>
      </c>
      <c r="B672" s="56">
        <v>1270</v>
      </c>
      <c r="C672" s="56">
        <v>1270</v>
      </c>
      <c r="D672" s="56" t="s">
        <v>2495</v>
      </c>
      <c r="F672" s="56" t="s">
        <v>24</v>
      </c>
      <c r="G672" s="56">
        <v>1</v>
      </c>
      <c r="H672" s="56">
        <v>1</v>
      </c>
      <c r="I672" s="56">
        <v>870</v>
      </c>
      <c r="J672" s="59" t="s">
        <v>1181</v>
      </c>
      <c r="K672" s="59">
        <v>1</v>
      </c>
      <c r="L672" s="59">
        <f t="shared" si="10"/>
        <v>870</v>
      </c>
      <c r="M672" s="59"/>
    </row>
    <row r="673" spans="1:14" ht="30">
      <c r="A673" s="56">
        <v>1272</v>
      </c>
      <c r="B673" s="56">
        <v>1272</v>
      </c>
      <c r="C673" s="56">
        <v>1272</v>
      </c>
      <c r="D673" s="56" t="s">
        <v>2497</v>
      </c>
      <c r="F673" s="56" t="s">
        <v>24</v>
      </c>
      <c r="G673" s="56">
        <v>1</v>
      </c>
      <c r="H673" s="56">
        <v>1</v>
      </c>
      <c r="I673" s="56">
        <v>900</v>
      </c>
      <c r="J673" s="59" t="s">
        <v>1181</v>
      </c>
      <c r="K673" s="59">
        <v>1</v>
      </c>
      <c r="L673" s="59">
        <f t="shared" si="10"/>
        <v>900</v>
      </c>
      <c r="M673" s="59"/>
    </row>
    <row r="674" spans="1:14" ht="30">
      <c r="A674" s="56">
        <v>1274</v>
      </c>
      <c r="B674" s="56">
        <v>1274</v>
      </c>
      <c r="C674" s="56">
        <v>1274</v>
      </c>
      <c r="D674" s="56" t="s">
        <v>2499</v>
      </c>
      <c r="F674" s="56" t="s">
        <v>24</v>
      </c>
      <c r="G674" s="56">
        <v>1</v>
      </c>
      <c r="H674" s="56">
        <v>1</v>
      </c>
      <c r="I674" s="56">
        <v>890</v>
      </c>
      <c r="J674" s="59" t="s">
        <v>1181</v>
      </c>
      <c r="K674" s="59">
        <v>1</v>
      </c>
      <c r="L674" s="59">
        <f t="shared" si="10"/>
        <v>890</v>
      </c>
      <c r="M674" s="59"/>
    </row>
    <row r="675" spans="1:14" ht="30">
      <c r="A675" s="56">
        <v>1275</v>
      </c>
      <c r="B675" s="56">
        <v>1275</v>
      </c>
      <c r="C675" s="56">
        <v>1275</v>
      </c>
      <c r="D675" s="56" t="s">
        <v>2500</v>
      </c>
      <c r="F675" s="56" t="s">
        <v>24</v>
      </c>
      <c r="G675" s="56">
        <v>1</v>
      </c>
      <c r="H675" s="56">
        <v>1</v>
      </c>
      <c r="I675" s="56">
        <v>870</v>
      </c>
      <c r="J675" s="59" t="s">
        <v>1181</v>
      </c>
      <c r="K675" s="59">
        <v>1</v>
      </c>
      <c r="L675" s="59">
        <f t="shared" si="10"/>
        <v>870</v>
      </c>
      <c r="M675" s="59"/>
    </row>
    <row r="676" spans="1:14" ht="30">
      <c r="A676" s="56">
        <v>1298</v>
      </c>
      <c r="B676" s="56">
        <v>1298</v>
      </c>
      <c r="C676" s="56">
        <v>1298</v>
      </c>
      <c r="D676" s="56" t="s">
        <v>2523</v>
      </c>
      <c r="F676" s="56" t="s">
        <v>24</v>
      </c>
      <c r="G676" s="56">
        <v>1</v>
      </c>
      <c r="H676" s="56">
        <v>1</v>
      </c>
      <c r="I676" s="56">
        <v>300</v>
      </c>
      <c r="J676" s="59" t="s">
        <v>1181</v>
      </c>
      <c r="K676" s="59">
        <v>1</v>
      </c>
      <c r="L676" s="59">
        <f t="shared" si="10"/>
        <v>300</v>
      </c>
      <c r="M676" s="59"/>
    </row>
    <row r="677" spans="1:14" ht="30">
      <c r="A677" s="56">
        <v>1309</v>
      </c>
      <c r="B677" s="56">
        <v>1309</v>
      </c>
      <c r="C677" s="56">
        <v>1309</v>
      </c>
      <c r="D677" s="56" t="s">
        <v>2533</v>
      </c>
      <c r="F677" s="56" t="s">
        <v>24</v>
      </c>
      <c r="G677" s="56">
        <v>1</v>
      </c>
      <c r="H677" s="56">
        <v>1</v>
      </c>
      <c r="I677" s="56">
        <v>267</v>
      </c>
      <c r="J677" s="59" t="s">
        <v>1181</v>
      </c>
      <c r="K677" s="59">
        <v>1</v>
      </c>
      <c r="L677" s="59">
        <f t="shared" si="10"/>
        <v>267</v>
      </c>
      <c r="M677" s="59"/>
    </row>
    <row r="678" spans="1:14" ht="30">
      <c r="A678" s="56">
        <v>1318</v>
      </c>
      <c r="B678" s="56">
        <v>1318</v>
      </c>
      <c r="C678" s="56">
        <v>1318</v>
      </c>
      <c r="D678" s="56" t="s">
        <v>2541</v>
      </c>
      <c r="F678" s="56" t="s">
        <v>24</v>
      </c>
      <c r="G678" s="56">
        <v>1</v>
      </c>
      <c r="H678" s="56">
        <v>1</v>
      </c>
      <c r="I678" s="56">
        <v>84</v>
      </c>
      <c r="J678" s="59" t="s">
        <v>1181</v>
      </c>
      <c r="K678" s="59">
        <v>1</v>
      </c>
      <c r="L678" s="59">
        <f t="shared" si="10"/>
        <v>84</v>
      </c>
      <c r="M678" s="59"/>
    </row>
    <row r="679" spans="1:14" ht="30">
      <c r="A679" s="56">
        <v>1351</v>
      </c>
      <c r="B679" s="56">
        <v>1351</v>
      </c>
      <c r="C679" s="56">
        <v>1351</v>
      </c>
      <c r="D679" s="56" t="s">
        <v>2573</v>
      </c>
      <c r="F679" s="56" t="s">
        <v>24</v>
      </c>
      <c r="G679" s="56">
        <v>1</v>
      </c>
      <c r="H679" s="56">
        <v>1</v>
      </c>
      <c r="I679" s="56">
        <v>150</v>
      </c>
      <c r="J679" s="59" t="s">
        <v>1181</v>
      </c>
      <c r="K679" s="59">
        <v>1</v>
      </c>
      <c r="L679" s="59">
        <f t="shared" si="10"/>
        <v>150</v>
      </c>
      <c r="M679" s="59"/>
    </row>
    <row r="680" spans="1:14" ht="30">
      <c r="A680" s="56">
        <v>1352</v>
      </c>
      <c r="B680" s="56">
        <v>1352</v>
      </c>
      <c r="C680" s="56">
        <v>1352</v>
      </c>
      <c r="D680" s="56" t="s">
        <v>2574</v>
      </c>
      <c r="F680" s="56" t="s">
        <v>24</v>
      </c>
      <c r="G680" s="56">
        <v>1</v>
      </c>
      <c r="H680" s="56">
        <v>1</v>
      </c>
      <c r="I680" s="56">
        <v>200</v>
      </c>
      <c r="J680" s="59" t="s">
        <v>1181</v>
      </c>
      <c r="K680" s="59">
        <v>1</v>
      </c>
      <c r="L680" s="59">
        <f t="shared" si="10"/>
        <v>200</v>
      </c>
      <c r="M680" s="59"/>
    </row>
    <row r="681" spans="1:14" ht="30">
      <c r="A681" s="56">
        <v>1367</v>
      </c>
      <c r="B681" s="56">
        <v>1367</v>
      </c>
      <c r="C681" s="56">
        <v>1367</v>
      </c>
      <c r="D681" s="56" t="s">
        <v>2588</v>
      </c>
      <c r="F681" s="56" t="s">
        <v>24</v>
      </c>
      <c r="G681" s="56">
        <v>1</v>
      </c>
      <c r="H681" s="56">
        <v>1</v>
      </c>
      <c r="I681" s="56">
        <v>400</v>
      </c>
      <c r="J681" s="59" t="s">
        <v>1181</v>
      </c>
      <c r="K681" s="59">
        <v>1</v>
      </c>
      <c r="L681" s="59">
        <f t="shared" si="10"/>
        <v>400</v>
      </c>
      <c r="M681" s="59"/>
    </row>
    <row r="682" spans="1:14" ht="30">
      <c r="A682" s="56">
        <v>1368</v>
      </c>
      <c r="B682" s="56">
        <v>1368</v>
      </c>
      <c r="C682" s="56">
        <v>1368</v>
      </c>
      <c r="D682" s="56" t="s">
        <v>1433</v>
      </c>
      <c r="F682" s="58" t="s">
        <v>24</v>
      </c>
      <c r="G682" s="58">
        <v>1</v>
      </c>
      <c r="H682" s="58">
        <v>1</v>
      </c>
      <c r="I682" s="56">
        <v>800</v>
      </c>
      <c r="J682" s="59" t="s">
        <v>1181</v>
      </c>
      <c r="K682" s="59">
        <v>1</v>
      </c>
      <c r="L682" s="59">
        <f t="shared" si="10"/>
        <v>800</v>
      </c>
      <c r="M682" s="59"/>
      <c r="N682" s="58"/>
    </row>
    <row r="683" spans="1:14" ht="30">
      <c r="A683" s="56">
        <v>1379</v>
      </c>
      <c r="B683" s="56">
        <v>1379</v>
      </c>
      <c r="C683" s="56">
        <v>1379</v>
      </c>
      <c r="D683" s="56" t="s">
        <v>2593</v>
      </c>
      <c r="F683" s="56" t="s">
        <v>24</v>
      </c>
      <c r="G683" s="56">
        <v>1</v>
      </c>
      <c r="H683" s="56">
        <v>1</v>
      </c>
      <c r="I683" s="56">
        <v>800</v>
      </c>
      <c r="J683" s="59" t="s">
        <v>1181</v>
      </c>
      <c r="K683" s="59">
        <v>1</v>
      </c>
      <c r="L683" s="59">
        <f t="shared" si="10"/>
        <v>800</v>
      </c>
      <c r="M683" s="59"/>
    </row>
    <row r="684" spans="1:14" ht="30">
      <c r="A684" s="56">
        <v>1381</v>
      </c>
      <c r="B684" s="56">
        <v>1381</v>
      </c>
      <c r="C684" s="56">
        <v>1381</v>
      </c>
      <c r="D684" s="56" t="s">
        <v>2595</v>
      </c>
      <c r="F684" s="56" t="s">
        <v>24</v>
      </c>
      <c r="G684" s="56">
        <v>1</v>
      </c>
      <c r="H684" s="56">
        <v>1</v>
      </c>
      <c r="I684" s="56">
        <v>600</v>
      </c>
      <c r="J684" s="59" t="s">
        <v>1181</v>
      </c>
      <c r="K684" s="59">
        <v>1</v>
      </c>
      <c r="L684" s="59">
        <f t="shared" si="10"/>
        <v>600</v>
      </c>
      <c r="M684" s="59"/>
    </row>
    <row r="685" spans="1:14" ht="30">
      <c r="A685" s="56">
        <v>1387</v>
      </c>
      <c r="B685" s="56">
        <v>1387</v>
      </c>
      <c r="C685" s="56">
        <v>1387</v>
      </c>
      <c r="D685" s="56" t="s">
        <v>2601</v>
      </c>
      <c r="F685" s="56" t="s">
        <v>24</v>
      </c>
      <c r="G685" s="56">
        <v>1</v>
      </c>
      <c r="H685" s="56">
        <v>1</v>
      </c>
      <c r="I685" s="56">
        <v>2650</v>
      </c>
      <c r="J685" s="59" t="s">
        <v>1181</v>
      </c>
      <c r="K685" s="59">
        <v>1</v>
      </c>
      <c r="L685" s="59">
        <f t="shared" si="10"/>
        <v>2650</v>
      </c>
      <c r="M685" s="59"/>
    </row>
    <row r="686" spans="1:14" ht="30">
      <c r="A686" s="56">
        <v>1388</v>
      </c>
      <c r="B686" s="56">
        <v>1388</v>
      </c>
      <c r="C686" s="56">
        <v>1388</v>
      </c>
      <c r="D686" s="56" t="s">
        <v>2602</v>
      </c>
      <c r="F686" s="56" t="s">
        <v>24</v>
      </c>
      <c r="G686" s="56">
        <v>1</v>
      </c>
      <c r="H686" s="56">
        <v>1</v>
      </c>
      <c r="I686" s="56">
        <v>1780</v>
      </c>
      <c r="J686" s="59" t="s">
        <v>1181</v>
      </c>
      <c r="K686" s="59">
        <v>1</v>
      </c>
      <c r="L686" s="59">
        <f t="shared" si="10"/>
        <v>1780</v>
      </c>
      <c r="M686" s="59"/>
    </row>
    <row r="687" spans="1:14" ht="30">
      <c r="A687" s="56">
        <v>1389</v>
      </c>
      <c r="B687" s="56">
        <v>1389</v>
      </c>
      <c r="C687" s="56">
        <v>1389</v>
      </c>
      <c r="D687" s="56" t="s">
        <v>2603</v>
      </c>
      <c r="F687" s="56" t="s">
        <v>24</v>
      </c>
      <c r="G687" s="56">
        <v>1</v>
      </c>
      <c r="H687" s="56">
        <v>1</v>
      </c>
      <c r="I687" s="56">
        <v>1200</v>
      </c>
      <c r="J687" s="59" t="s">
        <v>1181</v>
      </c>
      <c r="K687" s="59">
        <v>1</v>
      </c>
      <c r="L687" s="59">
        <f t="shared" si="10"/>
        <v>1200</v>
      </c>
      <c r="M687" s="59"/>
    </row>
    <row r="688" spans="1:14" ht="30">
      <c r="A688" s="56">
        <v>1399</v>
      </c>
      <c r="B688" s="56">
        <v>1399</v>
      </c>
      <c r="C688" s="56">
        <v>1399</v>
      </c>
      <c r="D688" s="56" t="s">
        <v>2611</v>
      </c>
      <c r="F688" s="56" t="s">
        <v>24</v>
      </c>
      <c r="G688" s="56">
        <v>1</v>
      </c>
      <c r="H688" s="56">
        <v>1</v>
      </c>
      <c r="I688" s="56">
        <v>170</v>
      </c>
      <c r="J688" s="59" t="s">
        <v>1181</v>
      </c>
      <c r="K688" s="59">
        <v>1</v>
      </c>
      <c r="L688" s="59">
        <f t="shared" si="10"/>
        <v>170</v>
      </c>
      <c r="M688" s="59"/>
    </row>
    <row r="689" spans="1:13" ht="30">
      <c r="A689" s="56">
        <v>1400</v>
      </c>
      <c r="B689" s="56">
        <v>1400</v>
      </c>
      <c r="C689" s="56">
        <v>1400</v>
      </c>
      <c r="D689" s="56" t="s">
        <v>2612</v>
      </c>
      <c r="F689" s="56" t="s">
        <v>24</v>
      </c>
      <c r="G689" s="56">
        <v>1</v>
      </c>
      <c r="H689" s="56">
        <v>1</v>
      </c>
      <c r="I689" s="56">
        <v>250</v>
      </c>
      <c r="J689" s="59" t="s">
        <v>1181</v>
      </c>
      <c r="K689" s="59">
        <v>1</v>
      </c>
      <c r="L689" s="59">
        <f t="shared" si="10"/>
        <v>250</v>
      </c>
      <c r="M689" s="59"/>
    </row>
    <row r="690" spans="1:13" ht="30">
      <c r="A690" s="56">
        <v>1402</v>
      </c>
      <c r="B690" s="56">
        <v>1402</v>
      </c>
      <c r="C690" s="56">
        <v>1402</v>
      </c>
      <c r="D690" s="56" t="s">
        <v>2614</v>
      </c>
      <c r="F690" s="56" t="s">
        <v>24</v>
      </c>
      <c r="G690" s="56">
        <v>1</v>
      </c>
      <c r="H690" s="56">
        <v>1</v>
      </c>
      <c r="I690" s="56">
        <v>450</v>
      </c>
      <c r="J690" s="59" t="s">
        <v>1181</v>
      </c>
      <c r="K690" s="59">
        <v>1</v>
      </c>
      <c r="L690" s="59">
        <f t="shared" si="10"/>
        <v>450</v>
      </c>
      <c r="M690" s="59"/>
    </row>
    <row r="691" spans="1:13" ht="30">
      <c r="A691" s="56">
        <v>1403</v>
      </c>
      <c r="B691" s="56">
        <v>1403</v>
      </c>
      <c r="C691" s="56">
        <v>1403</v>
      </c>
      <c r="D691" s="56" t="s">
        <v>2615</v>
      </c>
      <c r="F691" s="56" t="s">
        <v>24</v>
      </c>
      <c r="G691" s="56">
        <v>1</v>
      </c>
      <c r="H691" s="56">
        <v>1</v>
      </c>
      <c r="I691" s="56">
        <v>200</v>
      </c>
      <c r="J691" s="59" t="s">
        <v>1181</v>
      </c>
      <c r="K691" s="59">
        <v>1</v>
      </c>
      <c r="L691" s="59">
        <f t="shared" si="10"/>
        <v>200</v>
      </c>
      <c r="M691" s="59"/>
    </row>
    <row r="692" spans="1:13" ht="30">
      <c r="A692" s="56">
        <v>1404</v>
      </c>
      <c r="B692" s="56">
        <v>1404</v>
      </c>
      <c r="C692" s="56">
        <v>1404</v>
      </c>
      <c r="D692" s="56" t="s">
        <v>2616</v>
      </c>
      <c r="F692" s="56" t="s">
        <v>24</v>
      </c>
      <c r="G692" s="56">
        <v>1</v>
      </c>
      <c r="H692" s="56">
        <v>1</v>
      </c>
      <c r="I692" s="56">
        <v>200</v>
      </c>
      <c r="J692" s="59" t="s">
        <v>1181</v>
      </c>
      <c r="K692" s="59">
        <v>1</v>
      </c>
      <c r="L692" s="59">
        <f t="shared" si="10"/>
        <v>200</v>
      </c>
      <c r="M692" s="59"/>
    </row>
    <row r="693" spans="1:13" ht="30">
      <c r="A693" s="56">
        <v>1414</v>
      </c>
      <c r="B693" s="56">
        <v>1414</v>
      </c>
      <c r="C693" s="56">
        <v>1414</v>
      </c>
      <c r="D693" s="56" t="s">
        <v>2625</v>
      </c>
      <c r="F693" s="56" t="s">
        <v>24</v>
      </c>
      <c r="G693" s="56">
        <v>1</v>
      </c>
      <c r="H693" s="56">
        <v>1</v>
      </c>
      <c r="I693" s="56">
        <v>500</v>
      </c>
      <c r="J693" s="59" t="s">
        <v>1181</v>
      </c>
      <c r="K693" s="59">
        <v>1</v>
      </c>
      <c r="L693" s="59">
        <f t="shared" si="10"/>
        <v>500</v>
      </c>
      <c r="M693" s="59"/>
    </row>
    <row r="694" spans="1:13" ht="30">
      <c r="A694" s="56">
        <v>1415</v>
      </c>
      <c r="B694" s="56">
        <v>1415</v>
      </c>
      <c r="C694" s="56">
        <v>1415</v>
      </c>
      <c r="D694" s="56" t="s">
        <v>2626</v>
      </c>
      <c r="F694" s="56" t="s">
        <v>24</v>
      </c>
      <c r="G694" s="56">
        <v>1</v>
      </c>
      <c r="H694" s="56">
        <v>1</v>
      </c>
      <c r="I694" s="56">
        <v>500</v>
      </c>
      <c r="J694" s="59" t="s">
        <v>1181</v>
      </c>
      <c r="K694" s="59">
        <v>1</v>
      </c>
      <c r="L694" s="59">
        <f t="shared" si="10"/>
        <v>500</v>
      </c>
      <c r="M694" s="59"/>
    </row>
    <row r="695" spans="1:13" ht="30">
      <c r="A695" s="56">
        <v>1416</v>
      </c>
      <c r="B695" s="56">
        <v>1416</v>
      </c>
      <c r="C695" s="56">
        <v>1416</v>
      </c>
      <c r="D695" s="56" t="s">
        <v>2627</v>
      </c>
      <c r="F695" s="56" t="s">
        <v>24</v>
      </c>
      <c r="G695" s="56">
        <v>1</v>
      </c>
      <c r="H695" s="56">
        <v>1</v>
      </c>
      <c r="I695" s="56">
        <v>500</v>
      </c>
      <c r="J695" s="59" t="s">
        <v>1181</v>
      </c>
      <c r="K695" s="59">
        <v>1</v>
      </c>
      <c r="L695" s="59">
        <f t="shared" si="10"/>
        <v>500</v>
      </c>
      <c r="M695" s="59"/>
    </row>
    <row r="696" spans="1:13" ht="30">
      <c r="A696" s="56">
        <v>1420</v>
      </c>
      <c r="B696" s="56">
        <v>1420</v>
      </c>
      <c r="C696" s="56">
        <v>1420</v>
      </c>
      <c r="D696" s="56" t="s">
        <v>2629</v>
      </c>
      <c r="F696" s="56" t="s">
        <v>24</v>
      </c>
      <c r="G696" s="56">
        <v>1</v>
      </c>
      <c r="H696" s="56">
        <v>1</v>
      </c>
      <c r="I696" s="56">
        <v>250</v>
      </c>
      <c r="J696" s="59" t="s">
        <v>1181</v>
      </c>
      <c r="K696" s="59">
        <v>1</v>
      </c>
      <c r="L696" s="59">
        <f t="shared" si="10"/>
        <v>250</v>
      </c>
      <c r="M696" s="59"/>
    </row>
    <row r="697" spans="1:13" ht="30">
      <c r="A697" s="56">
        <v>1448</v>
      </c>
      <c r="B697" s="56">
        <v>1448</v>
      </c>
      <c r="C697" s="56">
        <v>1448</v>
      </c>
      <c r="D697" s="56" t="s">
        <v>2644</v>
      </c>
      <c r="F697" s="56" t="s">
        <v>24</v>
      </c>
      <c r="G697" s="56">
        <v>1</v>
      </c>
      <c r="H697" s="56">
        <v>1</v>
      </c>
      <c r="I697" s="56">
        <v>240</v>
      </c>
      <c r="J697" s="59" t="s">
        <v>1181</v>
      </c>
      <c r="K697" s="59">
        <v>1</v>
      </c>
      <c r="L697" s="59">
        <f t="shared" si="10"/>
        <v>240</v>
      </c>
      <c r="M697" s="59"/>
    </row>
    <row r="698" spans="1:13" ht="30">
      <c r="A698" s="56">
        <v>1455</v>
      </c>
      <c r="B698" s="56">
        <v>1455</v>
      </c>
      <c r="C698" s="56">
        <v>1455</v>
      </c>
      <c r="D698" s="56" t="s">
        <v>2651</v>
      </c>
      <c r="F698" s="56" t="s">
        <v>24</v>
      </c>
      <c r="G698" s="56">
        <v>1</v>
      </c>
      <c r="H698" s="56">
        <v>1</v>
      </c>
      <c r="I698" s="56">
        <v>1400</v>
      </c>
      <c r="J698" s="59" t="s">
        <v>1181</v>
      </c>
      <c r="K698" s="59">
        <v>1</v>
      </c>
      <c r="L698" s="59">
        <f t="shared" si="10"/>
        <v>1400</v>
      </c>
      <c r="M698" s="59"/>
    </row>
    <row r="699" spans="1:13" ht="30">
      <c r="A699" s="56">
        <v>1456</v>
      </c>
      <c r="B699" s="56">
        <v>1456</v>
      </c>
      <c r="C699" s="56">
        <v>1456</v>
      </c>
      <c r="D699" s="56" t="s">
        <v>2652</v>
      </c>
      <c r="F699" s="56" t="s">
        <v>24</v>
      </c>
      <c r="G699" s="56">
        <v>1</v>
      </c>
      <c r="H699" s="56">
        <v>1</v>
      </c>
      <c r="I699" s="56">
        <v>1200</v>
      </c>
      <c r="J699" s="59" t="s">
        <v>1181</v>
      </c>
      <c r="K699" s="59">
        <v>1</v>
      </c>
      <c r="L699" s="59">
        <f t="shared" si="10"/>
        <v>1200</v>
      </c>
      <c r="M699" s="59"/>
    </row>
    <row r="700" spans="1:13" ht="30">
      <c r="A700" s="56">
        <v>1457</v>
      </c>
      <c r="B700" s="56">
        <v>1457</v>
      </c>
      <c r="C700" s="56">
        <v>1457</v>
      </c>
      <c r="D700" s="56" t="s">
        <v>2653</v>
      </c>
      <c r="F700" s="56" t="s">
        <v>24</v>
      </c>
      <c r="G700" s="56">
        <v>1</v>
      </c>
      <c r="H700" s="56">
        <v>1</v>
      </c>
      <c r="I700" s="56">
        <v>900</v>
      </c>
      <c r="J700" s="59" t="s">
        <v>1181</v>
      </c>
      <c r="K700" s="59">
        <v>1</v>
      </c>
      <c r="L700" s="59">
        <f t="shared" si="10"/>
        <v>900</v>
      </c>
      <c r="M700" s="59"/>
    </row>
    <row r="701" spans="1:13" ht="30">
      <c r="A701" s="56">
        <v>1458</v>
      </c>
      <c r="B701" s="56">
        <v>1458</v>
      </c>
      <c r="C701" s="56">
        <v>1458</v>
      </c>
      <c r="D701" s="56" t="s">
        <v>2654</v>
      </c>
      <c r="F701" s="56" t="s">
        <v>24</v>
      </c>
      <c r="G701" s="56">
        <v>1</v>
      </c>
      <c r="H701" s="56">
        <v>1</v>
      </c>
      <c r="I701" s="56">
        <v>400</v>
      </c>
      <c r="J701" s="59" t="s">
        <v>1181</v>
      </c>
      <c r="K701" s="59">
        <v>1</v>
      </c>
      <c r="L701" s="59">
        <f t="shared" si="10"/>
        <v>400</v>
      </c>
      <c r="M701" s="59"/>
    </row>
    <row r="702" spans="1:13" ht="30">
      <c r="A702" s="56">
        <v>1459</v>
      </c>
      <c r="B702" s="56">
        <v>1459</v>
      </c>
      <c r="C702" s="56">
        <v>1459</v>
      </c>
      <c r="D702" s="56" t="s">
        <v>2655</v>
      </c>
      <c r="F702" s="56" t="s">
        <v>24</v>
      </c>
      <c r="G702" s="56">
        <v>1</v>
      </c>
      <c r="H702" s="56">
        <v>1</v>
      </c>
      <c r="I702" s="56">
        <v>400</v>
      </c>
      <c r="J702" s="59" t="s">
        <v>1181</v>
      </c>
      <c r="K702" s="59">
        <v>1</v>
      </c>
      <c r="L702" s="59">
        <f t="shared" si="10"/>
        <v>400</v>
      </c>
      <c r="M702" s="59"/>
    </row>
    <row r="703" spans="1:13" ht="30">
      <c r="A703" s="56">
        <v>1465</v>
      </c>
      <c r="B703" s="56">
        <v>1465</v>
      </c>
      <c r="C703" s="56">
        <v>1465</v>
      </c>
      <c r="D703" s="56" t="s">
        <v>2661</v>
      </c>
      <c r="F703" s="56" t="s">
        <v>24</v>
      </c>
      <c r="G703" s="56">
        <v>1</v>
      </c>
      <c r="H703" s="56">
        <v>1</v>
      </c>
      <c r="I703" s="56">
        <v>1100</v>
      </c>
      <c r="J703" s="59" t="s">
        <v>1181</v>
      </c>
      <c r="K703" s="59">
        <v>1</v>
      </c>
      <c r="L703" s="59">
        <f t="shared" si="10"/>
        <v>1100</v>
      </c>
      <c r="M703" s="59"/>
    </row>
    <row r="704" spans="1:13" ht="30">
      <c r="A704" s="56">
        <v>1483</v>
      </c>
      <c r="B704" s="56">
        <v>1483</v>
      </c>
      <c r="C704" s="56">
        <v>1483</v>
      </c>
      <c r="D704" s="56" t="s">
        <v>2675</v>
      </c>
      <c r="F704" s="56" t="s">
        <v>24</v>
      </c>
      <c r="G704" s="56">
        <v>1</v>
      </c>
      <c r="H704" s="56">
        <v>1</v>
      </c>
      <c r="I704" s="56">
        <v>2400</v>
      </c>
      <c r="J704" s="59" t="s">
        <v>1181</v>
      </c>
      <c r="K704" s="59">
        <v>1</v>
      </c>
      <c r="L704" s="59">
        <f t="shared" si="10"/>
        <v>2400</v>
      </c>
      <c r="M704" s="59"/>
    </row>
    <row r="705" spans="1:13" ht="30">
      <c r="A705" s="56">
        <v>1487</v>
      </c>
      <c r="B705" s="56">
        <v>1487</v>
      </c>
      <c r="C705" s="56">
        <v>1487</v>
      </c>
      <c r="D705" s="56" t="s">
        <v>2679</v>
      </c>
      <c r="F705" s="56" t="s">
        <v>24</v>
      </c>
      <c r="G705" s="56">
        <v>1</v>
      </c>
      <c r="H705" s="56">
        <v>1</v>
      </c>
      <c r="I705" s="56">
        <v>300</v>
      </c>
      <c r="J705" s="59" t="s">
        <v>1181</v>
      </c>
      <c r="K705" s="59">
        <v>1</v>
      </c>
      <c r="L705" s="59">
        <f t="shared" si="10"/>
        <v>300</v>
      </c>
      <c r="M705" s="59"/>
    </row>
    <row r="706" spans="1:13" ht="30">
      <c r="A706" s="56">
        <v>1488</v>
      </c>
      <c r="B706" s="56">
        <v>1488</v>
      </c>
      <c r="C706" s="56">
        <v>1488</v>
      </c>
      <c r="D706" s="56" t="s">
        <v>2680</v>
      </c>
      <c r="F706" s="56" t="s">
        <v>24</v>
      </c>
      <c r="G706" s="56">
        <v>1</v>
      </c>
      <c r="H706" s="56">
        <v>1</v>
      </c>
      <c r="I706" s="56">
        <v>250</v>
      </c>
      <c r="J706" s="59" t="s">
        <v>1181</v>
      </c>
      <c r="K706" s="59">
        <v>1</v>
      </c>
      <c r="L706" s="59">
        <f t="shared" ref="L706:L769" si="11">H706*I706</f>
        <v>250</v>
      </c>
      <c r="M706" s="59"/>
    </row>
    <row r="707" spans="1:13" ht="30">
      <c r="A707" s="56">
        <v>1489</v>
      </c>
      <c r="B707" s="56">
        <v>1489</v>
      </c>
      <c r="C707" s="56">
        <v>1489</v>
      </c>
      <c r="D707" s="56" t="s">
        <v>2681</v>
      </c>
      <c r="F707" s="56" t="s">
        <v>24</v>
      </c>
      <c r="G707" s="56">
        <v>1</v>
      </c>
      <c r="H707" s="56">
        <v>1</v>
      </c>
      <c r="I707" s="56">
        <v>250</v>
      </c>
      <c r="J707" s="59" t="s">
        <v>1181</v>
      </c>
      <c r="K707" s="59">
        <v>1</v>
      </c>
      <c r="L707" s="59">
        <f t="shared" si="11"/>
        <v>250</v>
      </c>
      <c r="M707" s="59"/>
    </row>
    <row r="708" spans="1:13" ht="30">
      <c r="A708" s="56">
        <v>1497</v>
      </c>
      <c r="B708" s="56">
        <v>1497</v>
      </c>
      <c r="C708" s="56">
        <v>1497</v>
      </c>
      <c r="D708" s="56" t="s">
        <v>2689</v>
      </c>
      <c r="F708" s="56" t="s">
        <v>24</v>
      </c>
      <c r="G708" s="56">
        <v>1</v>
      </c>
      <c r="H708" s="56">
        <v>1</v>
      </c>
      <c r="I708" s="56">
        <v>120</v>
      </c>
      <c r="J708" s="59" t="s">
        <v>1181</v>
      </c>
      <c r="K708" s="59">
        <v>1</v>
      </c>
      <c r="L708" s="59">
        <f t="shared" si="11"/>
        <v>120</v>
      </c>
      <c r="M708" s="59"/>
    </row>
    <row r="709" spans="1:13" ht="30">
      <c r="A709" s="56">
        <v>1500</v>
      </c>
      <c r="B709" s="56">
        <v>1500</v>
      </c>
      <c r="C709" s="56">
        <v>1500</v>
      </c>
      <c r="D709" s="56" t="s">
        <v>2691</v>
      </c>
      <c r="F709" s="56" t="s">
        <v>24</v>
      </c>
      <c r="G709" s="56">
        <v>1</v>
      </c>
      <c r="H709" s="56">
        <v>1</v>
      </c>
      <c r="I709" s="56">
        <v>56</v>
      </c>
      <c r="J709" s="59" t="s">
        <v>1181</v>
      </c>
      <c r="K709" s="59">
        <v>1</v>
      </c>
      <c r="L709" s="59">
        <f t="shared" si="11"/>
        <v>56</v>
      </c>
      <c r="M709" s="59"/>
    </row>
    <row r="710" spans="1:13" ht="30">
      <c r="A710" s="56">
        <v>1511</v>
      </c>
      <c r="B710" s="56">
        <v>1511</v>
      </c>
      <c r="C710" s="56">
        <v>1511</v>
      </c>
      <c r="D710" s="56" t="s">
        <v>2701</v>
      </c>
      <c r="F710" s="56" t="s">
        <v>24</v>
      </c>
      <c r="G710" s="56">
        <v>1</v>
      </c>
      <c r="H710" s="56">
        <v>1</v>
      </c>
      <c r="I710" s="56">
        <v>700</v>
      </c>
      <c r="J710" s="59" t="s">
        <v>1181</v>
      </c>
      <c r="K710" s="59">
        <v>1</v>
      </c>
      <c r="L710" s="59">
        <f t="shared" si="11"/>
        <v>700</v>
      </c>
      <c r="M710" s="59"/>
    </row>
    <row r="711" spans="1:13" ht="30">
      <c r="A711" s="56">
        <v>1512</v>
      </c>
      <c r="B711" s="56">
        <v>1512</v>
      </c>
      <c r="C711" s="56">
        <v>1512</v>
      </c>
      <c r="D711" s="56" t="s">
        <v>2702</v>
      </c>
      <c r="F711" s="56" t="s">
        <v>24</v>
      </c>
      <c r="G711" s="56">
        <v>1</v>
      </c>
      <c r="H711" s="56">
        <v>1</v>
      </c>
      <c r="I711" s="56">
        <v>650</v>
      </c>
      <c r="J711" s="59" t="s">
        <v>1181</v>
      </c>
      <c r="K711" s="59">
        <v>1</v>
      </c>
      <c r="L711" s="59">
        <f t="shared" si="11"/>
        <v>650</v>
      </c>
      <c r="M711" s="59"/>
    </row>
    <row r="712" spans="1:13" ht="30">
      <c r="A712" s="56">
        <v>1514</v>
      </c>
      <c r="B712" s="56">
        <v>1514</v>
      </c>
      <c r="C712" s="56">
        <v>1514</v>
      </c>
      <c r="D712" s="56" t="s">
        <v>2704</v>
      </c>
      <c r="F712" s="56" t="s">
        <v>24</v>
      </c>
      <c r="G712" s="56">
        <v>1</v>
      </c>
      <c r="H712" s="56">
        <v>1</v>
      </c>
      <c r="I712" s="56">
        <v>600</v>
      </c>
      <c r="J712" s="59" t="s">
        <v>1181</v>
      </c>
      <c r="K712" s="59">
        <v>1</v>
      </c>
      <c r="L712" s="59">
        <f t="shared" si="11"/>
        <v>600</v>
      </c>
      <c r="M712" s="59"/>
    </row>
    <row r="713" spans="1:13" ht="30">
      <c r="A713" s="56">
        <v>1515</v>
      </c>
      <c r="B713" s="56">
        <v>1515</v>
      </c>
      <c r="C713" s="56">
        <v>1515</v>
      </c>
      <c r="D713" s="56" t="s">
        <v>2705</v>
      </c>
      <c r="F713" s="56" t="s">
        <v>24</v>
      </c>
      <c r="G713" s="56">
        <v>1</v>
      </c>
      <c r="H713" s="56">
        <v>1</v>
      </c>
      <c r="I713" s="56">
        <v>600</v>
      </c>
      <c r="J713" s="59" t="s">
        <v>1181</v>
      </c>
      <c r="K713" s="59">
        <v>1</v>
      </c>
      <c r="L713" s="59">
        <f t="shared" si="11"/>
        <v>600</v>
      </c>
      <c r="M713" s="59"/>
    </row>
    <row r="714" spans="1:13" ht="30">
      <c r="A714" s="56">
        <v>1521</v>
      </c>
      <c r="B714" s="56">
        <v>1521</v>
      </c>
      <c r="C714" s="56">
        <v>1521</v>
      </c>
      <c r="D714" s="56" t="s">
        <v>2711</v>
      </c>
      <c r="F714" s="56" t="s">
        <v>24</v>
      </c>
      <c r="G714" s="56">
        <v>1</v>
      </c>
      <c r="H714" s="56">
        <v>1</v>
      </c>
      <c r="I714" s="56">
        <v>650</v>
      </c>
      <c r="J714" s="59" t="s">
        <v>1181</v>
      </c>
      <c r="K714" s="59">
        <v>1</v>
      </c>
      <c r="L714" s="59">
        <f t="shared" si="11"/>
        <v>650</v>
      </c>
      <c r="M714" s="59"/>
    </row>
    <row r="715" spans="1:13" ht="30">
      <c r="A715" s="56">
        <v>1523</v>
      </c>
      <c r="B715" s="56">
        <v>1523</v>
      </c>
      <c r="C715" s="56">
        <v>1523</v>
      </c>
      <c r="D715" s="56" t="s">
        <v>2713</v>
      </c>
      <c r="F715" s="56" t="s">
        <v>24</v>
      </c>
      <c r="G715" s="56">
        <v>1</v>
      </c>
      <c r="H715" s="56">
        <v>1</v>
      </c>
      <c r="I715" s="56">
        <v>650</v>
      </c>
      <c r="J715" s="59" t="s">
        <v>1181</v>
      </c>
      <c r="K715" s="59">
        <v>1</v>
      </c>
      <c r="L715" s="59">
        <f t="shared" si="11"/>
        <v>650</v>
      </c>
      <c r="M715" s="59"/>
    </row>
    <row r="716" spans="1:13" ht="30">
      <c r="A716" s="56">
        <v>1525</v>
      </c>
      <c r="B716" s="56">
        <v>1525</v>
      </c>
      <c r="C716" s="56">
        <v>1525</v>
      </c>
      <c r="D716" s="56" t="s">
        <v>2715</v>
      </c>
      <c r="F716" s="56" t="s">
        <v>24</v>
      </c>
      <c r="G716" s="56">
        <v>1</v>
      </c>
      <c r="H716" s="56">
        <v>1</v>
      </c>
      <c r="I716" s="56">
        <v>700</v>
      </c>
      <c r="J716" s="59" t="s">
        <v>1181</v>
      </c>
      <c r="K716" s="59">
        <v>1</v>
      </c>
      <c r="L716" s="59">
        <f t="shared" si="11"/>
        <v>700</v>
      </c>
      <c r="M716" s="59"/>
    </row>
    <row r="717" spans="1:13" ht="30">
      <c r="A717" s="56">
        <v>1527</v>
      </c>
      <c r="B717" s="56">
        <v>1527</v>
      </c>
      <c r="C717" s="56">
        <v>1527</v>
      </c>
      <c r="D717" s="56" t="s">
        <v>2717</v>
      </c>
      <c r="F717" s="56" t="s">
        <v>24</v>
      </c>
      <c r="G717" s="56">
        <v>1</v>
      </c>
      <c r="H717" s="56">
        <v>1</v>
      </c>
      <c r="I717" s="56">
        <v>500</v>
      </c>
      <c r="J717" s="59" t="s">
        <v>1181</v>
      </c>
      <c r="K717" s="59">
        <v>1</v>
      </c>
      <c r="L717" s="59">
        <f t="shared" si="11"/>
        <v>500</v>
      </c>
      <c r="M717" s="59"/>
    </row>
    <row r="718" spans="1:13" ht="30">
      <c r="A718" s="56">
        <v>1529</v>
      </c>
      <c r="B718" s="56">
        <v>1529</v>
      </c>
      <c r="C718" s="56">
        <v>1529</v>
      </c>
      <c r="D718" s="56" t="s">
        <v>2719</v>
      </c>
      <c r="F718" s="56" t="s">
        <v>24</v>
      </c>
      <c r="G718" s="56">
        <v>1</v>
      </c>
      <c r="H718" s="56">
        <v>1</v>
      </c>
      <c r="I718" s="56">
        <v>650</v>
      </c>
      <c r="J718" s="59" t="s">
        <v>1181</v>
      </c>
      <c r="K718" s="59">
        <v>1</v>
      </c>
      <c r="L718" s="59">
        <f t="shared" si="11"/>
        <v>650</v>
      </c>
      <c r="M718" s="59"/>
    </row>
    <row r="719" spans="1:13" ht="30">
      <c r="A719" s="56">
        <v>1531</v>
      </c>
      <c r="B719" s="56">
        <v>1531</v>
      </c>
      <c r="C719" s="56">
        <v>1531</v>
      </c>
      <c r="D719" s="56" t="s">
        <v>2721</v>
      </c>
      <c r="F719" s="56" t="s">
        <v>24</v>
      </c>
      <c r="G719" s="56">
        <v>1</v>
      </c>
      <c r="H719" s="56">
        <v>1</v>
      </c>
      <c r="I719" s="56">
        <v>850</v>
      </c>
      <c r="J719" s="59" t="s">
        <v>1181</v>
      </c>
      <c r="K719" s="59">
        <v>1</v>
      </c>
      <c r="L719" s="59">
        <f t="shared" si="11"/>
        <v>850</v>
      </c>
      <c r="M719" s="59"/>
    </row>
    <row r="720" spans="1:13" ht="30">
      <c r="A720" s="56">
        <v>1535</v>
      </c>
      <c r="B720" s="56">
        <v>1535</v>
      </c>
      <c r="C720" s="56">
        <v>1535</v>
      </c>
      <c r="D720" s="56" t="s">
        <v>2725</v>
      </c>
      <c r="F720" s="56" t="s">
        <v>24</v>
      </c>
      <c r="G720" s="56">
        <v>1</v>
      </c>
      <c r="H720" s="56">
        <v>1</v>
      </c>
      <c r="I720" s="56">
        <v>500</v>
      </c>
      <c r="J720" s="59" t="s">
        <v>1181</v>
      </c>
      <c r="K720" s="59">
        <v>1</v>
      </c>
      <c r="L720" s="59">
        <f t="shared" si="11"/>
        <v>500</v>
      </c>
      <c r="M720" s="59"/>
    </row>
    <row r="721" spans="1:14" ht="30">
      <c r="A721" s="56">
        <v>1541</v>
      </c>
      <c r="B721" s="56">
        <v>1541</v>
      </c>
      <c r="C721" s="56">
        <v>1541</v>
      </c>
      <c r="D721" s="56" t="s">
        <v>2731</v>
      </c>
      <c r="F721" s="56" t="s">
        <v>24</v>
      </c>
      <c r="G721" s="56">
        <v>1</v>
      </c>
      <c r="H721" s="56">
        <v>1</v>
      </c>
      <c r="I721" s="56">
        <v>1200</v>
      </c>
      <c r="J721" s="59" t="s">
        <v>1181</v>
      </c>
      <c r="K721" s="59">
        <v>1</v>
      </c>
      <c r="L721" s="59">
        <f t="shared" si="11"/>
        <v>1200</v>
      </c>
      <c r="M721" s="59"/>
    </row>
    <row r="722" spans="1:14" ht="30">
      <c r="A722" s="56">
        <v>1545</v>
      </c>
      <c r="B722" s="56">
        <v>1545</v>
      </c>
      <c r="C722" s="56">
        <v>1545</v>
      </c>
      <c r="D722" s="56" t="s">
        <v>2735</v>
      </c>
      <c r="F722" s="56" t="s">
        <v>24</v>
      </c>
      <c r="G722" s="56">
        <v>1</v>
      </c>
      <c r="H722" s="56">
        <v>1</v>
      </c>
      <c r="I722" s="56">
        <v>1200</v>
      </c>
      <c r="J722" s="59" t="s">
        <v>1181</v>
      </c>
      <c r="K722" s="59">
        <v>1</v>
      </c>
      <c r="L722" s="59">
        <f t="shared" si="11"/>
        <v>1200</v>
      </c>
      <c r="M722" s="59"/>
    </row>
    <row r="723" spans="1:14" ht="30">
      <c r="A723" s="56">
        <v>1547</v>
      </c>
      <c r="B723" s="56">
        <v>1547</v>
      </c>
      <c r="C723" s="56">
        <v>1547</v>
      </c>
      <c r="D723" s="56" t="s">
        <v>2737</v>
      </c>
      <c r="F723" s="56" t="s">
        <v>24</v>
      </c>
      <c r="G723" s="56">
        <v>1</v>
      </c>
      <c r="H723" s="56">
        <v>1</v>
      </c>
      <c r="I723" s="56">
        <v>1200</v>
      </c>
      <c r="J723" s="59" t="s">
        <v>1181</v>
      </c>
      <c r="K723" s="59">
        <v>1</v>
      </c>
      <c r="L723" s="59">
        <f t="shared" si="11"/>
        <v>1200</v>
      </c>
      <c r="M723" s="59"/>
    </row>
    <row r="724" spans="1:14" ht="30">
      <c r="A724" s="56">
        <v>1549</v>
      </c>
      <c r="B724" s="56">
        <v>1549</v>
      </c>
      <c r="C724" s="56">
        <v>1549</v>
      </c>
      <c r="D724" s="56" t="s">
        <v>2739</v>
      </c>
      <c r="F724" s="56" t="s">
        <v>24</v>
      </c>
      <c r="G724" s="56">
        <v>1</v>
      </c>
      <c r="H724" s="56">
        <v>1</v>
      </c>
      <c r="I724" s="56">
        <v>650</v>
      </c>
      <c r="J724" s="59" t="s">
        <v>1181</v>
      </c>
      <c r="K724" s="59">
        <v>1</v>
      </c>
      <c r="L724" s="59">
        <f t="shared" si="11"/>
        <v>650</v>
      </c>
      <c r="M724" s="59"/>
    </row>
    <row r="725" spans="1:14" ht="30">
      <c r="A725" s="56">
        <v>1552</v>
      </c>
      <c r="B725" s="56">
        <v>1552</v>
      </c>
      <c r="C725" s="56">
        <v>1552</v>
      </c>
      <c r="D725" s="56" t="s">
        <v>2742</v>
      </c>
      <c r="F725" s="56" t="s">
        <v>24</v>
      </c>
      <c r="G725" s="56">
        <v>1</v>
      </c>
      <c r="H725" s="56">
        <v>1</v>
      </c>
      <c r="I725" s="56">
        <v>1700</v>
      </c>
      <c r="J725" s="59" t="s">
        <v>1181</v>
      </c>
      <c r="K725" s="59">
        <v>1</v>
      </c>
      <c r="L725" s="59">
        <f t="shared" si="11"/>
        <v>1700</v>
      </c>
      <c r="M725" s="59"/>
    </row>
    <row r="726" spans="1:14" ht="30">
      <c r="A726" s="56">
        <v>1560</v>
      </c>
      <c r="B726" s="56">
        <v>1560</v>
      </c>
      <c r="C726" s="56">
        <v>1560</v>
      </c>
      <c r="D726" s="56" t="s">
        <v>2750</v>
      </c>
      <c r="F726" s="56" t="s">
        <v>24</v>
      </c>
      <c r="G726" s="56">
        <v>1</v>
      </c>
      <c r="H726" s="56">
        <v>1</v>
      </c>
      <c r="I726" s="56">
        <v>600</v>
      </c>
      <c r="J726" s="59" t="s">
        <v>1181</v>
      </c>
      <c r="K726" s="59">
        <v>1</v>
      </c>
      <c r="L726" s="59">
        <f t="shared" si="11"/>
        <v>600</v>
      </c>
      <c r="M726" s="59"/>
    </row>
    <row r="727" spans="1:14" ht="30">
      <c r="A727" s="56">
        <v>1561</v>
      </c>
      <c r="B727" s="56">
        <v>1561</v>
      </c>
      <c r="C727" s="56">
        <v>1561</v>
      </c>
      <c r="D727" s="56" t="s">
        <v>2751</v>
      </c>
      <c r="F727" s="56" t="s">
        <v>24</v>
      </c>
      <c r="G727" s="56">
        <v>1</v>
      </c>
      <c r="H727" s="56">
        <v>1</v>
      </c>
      <c r="I727" s="56">
        <v>600</v>
      </c>
      <c r="J727" s="59" t="s">
        <v>1181</v>
      </c>
      <c r="K727" s="59">
        <v>1</v>
      </c>
      <c r="L727" s="59">
        <f t="shared" si="11"/>
        <v>600</v>
      </c>
      <c r="M727" s="59"/>
    </row>
    <row r="728" spans="1:14" ht="30">
      <c r="A728" s="56">
        <v>1562</v>
      </c>
      <c r="B728" s="56">
        <v>1562</v>
      </c>
      <c r="C728" s="56">
        <v>1562</v>
      </c>
      <c r="D728" s="56" t="s">
        <v>2752</v>
      </c>
      <c r="F728" s="56" t="s">
        <v>24</v>
      </c>
      <c r="G728" s="56">
        <v>1</v>
      </c>
      <c r="H728" s="56">
        <v>1</v>
      </c>
      <c r="I728" s="56">
        <v>800</v>
      </c>
      <c r="J728" s="59" t="s">
        <v>1181</v>
      </c>
      <c r="K728" s="59">
        <v>1</v>
      </c>
      <c r="L728" s="59">
        <f t="shared" si="11"/>
        <v>800</v>
      </c>
      <c r="M728" s="59"/>
    </row>
    <row r="729" spans="1:14" ht="30">
      <c r="A729" s="56">
        <v>1563</v>
      </c>
      <c r="B729" s="56">
        <v>1563</v>
      </c>
      <c r="C729" s="56">
        <v>1563</v>
      </c>
      <c r="D729" s="56" t="s">
        <v>2753</v>
      </c>
      <c r="F729" s="56" t="s">
        <v>24</v>
      </c>
      <c r="G729" s="56">
        <v>1</v>
      </c>
      <c r="H729" s="56">
        <v>1</v>
      </c>
      <c r="I729" s="56">
        <v>1100</v>
      </c>
      <c r="J729" s="59" t="s">
        <v>1181</v>
      </c>
      <c r="K729" s="59">
        <v>1</v>
      </c>
      <c r="L729" s="59">
        <f t="shared" si="11"/>
        <v>1100</v>
      </c>
      <c r="M729" s="59"/>
    </row>
    <row r="730" spans="1:14" ht="30">
      <c r="A730" s="56">
        <v>1572</v>
      </c>
      <c r="B730" s="56">
        <v>1572</v>
      </c>
      <c r="C730" s="56">
        <v>1572</v>
      </c>
      <c r="D730" s="56" t="s">
        <v>2762</v>
      </c>
      <c r="F730" s="56" t="s">
        <v>24</v>
      </c>
      <c r="G730" s="56">
        <v>1</v>
      </c>
      <c r="H730" s="56">
        <v>1</v>
      </c>
      <c r="I730" s="56">
        <v>300</v>
      </c>
      <c r="J730" s="59" t="s">
        <v>1181</v>
      </c>
      <c r="K730" s="59">
        <v>1</v>
      </c>
      <c r="L730" s="59">
        <f t="shared" si="11"/>
        <v>300</v>
      </c>
      <c r="M730" s="59"/>
    </row>
    <row r="731" spans="1:14" ht="30">
      <c r="A731" s="56">
        <v>1580</v>
      </c>
      <c r="B731" s="56">
        <v>1580</v>
      </c>
      <c r="C731" s="56">
        <v>1580</v>
      </c>
      <c r="D731" s="56" t="s">
        <v>1254</v>
      </c>
      <c r="F731" s="61" t="s">
        <v>24</v>
      </c>
      <c r="G731" s="61">
        <v>1</v>
      </c>
      <c r="H731" s="61">
        <v>1</v>
      </c>
      <c r="I731" s="56">
        <v>85</v>
      </c>
      <c r="J731" s="59" t="s">
        <v>1181</v>
      </c>
      <c r="K731" s="59">
        <v>1</v>
      </c>
      <c r="L731" s="59">
        <f t="shared" si="11"/>
        <v>85</v>
      </c>
      <c r="M731" s="59"/>
      <c r="N731" s="58"/>
    </row>
    <row r="732" spans="1:14" ht="30">
      <c r="A732" s="56">
        <v>1592</v>
      </c>
      <c r="B732" s="56">
        <v>1592</v>
      </c>
      <c r="C732" s="56">
        <v>1592</v>
      </c>
      <c r="D732" s="56" t="s">
        <v>2778</v>
      </c>
      <c r="F732" s="56" t="s">
        <v>24</v>
      </c>
      <c r="G732" s="56">
        <v>1</v>
      </c>
      <c r="H732" s="56">
        <v>1</v>
      </c>
      <c r="I732" s="56">
        <v>40</v>
      </c>
      <c r="J732" s="59" t="s">
        <v>1181</v>
      </c>
      <c r="K732" s="59">
        <v>1</v>
      </c>
      <c r="L732" s="59">
        <f t="shared" si="11"/>
        <v>40</v>
      </c>
      <c r="M732" s="59"/>
    </row>
    <row r="733" spans="1:14" ht="30">
      <c r="A733" s="56">
        <v>1604</v>
      </c>
      <c r="B733" s="56">
        <v>1604</v>
      </c>
      <c r="C733" s="56">
        <v>1604</v>
      </c>
      <c r="D733" s="56" t="s">
        <v>2787</v>
      </c>
      <c r="F733" s="56" t="s">
        <v>24</v>
      </c>
      <c r="G733" s="56">
        <v>1</v>
      </c>
      <c r="H733" s="56">
        <v>1</v>
      </c>
      <c r="I733" s="56">
        <v>350</v>
      </c>
      <c r="J733" s="59" t="s">
        <v>1181</v>
      </c>
      <c r="K733" s="59">
        <v>1</v>
      </c>
      <c r="L733" s="59">
        <f t="shared" si="11"/>
        <v>350</v>
      </c>
      <c r="M733" s="59"/>
    </row>
    <row r="734" spans="1:14" ht="30">
      <c r="A734" s="56">
        <v>1606</v>
      </c>
      <c r="B734" s="56">
        <v>1606</v>
      </c>
      <c r="C734" s="56">
        <v>1606</v>
      </c>
      <c r="D734" s="56" t="s">
        <v>2789</v>
      </c>
      <c r="F734" s="56" t="s">
        <v>24</v>
      </c>
      <c r="G734" s="56">
        <v>1</v>
      </c>
      <c r="H734" s="56">
        <v>1</v>
      </c>
      <c r="I734" s="56">
        <v>600</v>
      </c>
      <c r="J734" s="59" t="s">
        <v>1181</v>
      </c>
      <c r="K734" s="59">
        <v>1</v>
      </c>
      <c r="L734" s="59">
        <f t="shared" si="11"/>
        <v>600</v>
      </c>
      <c r="M734" s="59"/>
    </row>
    <row r="735" spans="1:14" ht="30">
      <c r="A735" s="56">
        <v>1613</v>
      </c>
      <c r="B735" s="56">
        <v>1613</v>
      </c>
      <c r="C735" s="56">
        <v>1613</v>
      </c>
      <c r="D735" s="56" t="s">
        <v>2795</v>
      </c>
      <c r="F735" s="56" t="s">
        <v>24</v>
      </c>
      <c r="G735" s="56">
        <v>1</v>
      </c>
      <c r="H735" s="56">
        <v>1</v>
      </c>
      <c r="I735" s="56">
        <v>250</v>
      </c>
      <c r="J735" s="59" t="s">
        <v>1181</v>
      </c>
      <c r="K735" s="59">
        <v>1</v>
      </c>
      <c r="L735" s="59">
        <f t="shared" si="11"/>
        <v>250</v>
      </c>
      <c r="M735" s="59"/>
    </row>
    <row r="736" spans="1:14" ht="30">
      <c r="A736" s="56">
        <v>1618</v>
      </c>
      <c r="B736" s="56">
        <v>1618</v>
      </c>
      <c r="C736" s="56">
        <v>1618</v>
      </c>
      <c r="D736" s="56" t="s">
        <v>2799</v>
      </c>
      <c r="F736" s="56" t="s">
        <v>24</v>
      </c>
      <c r="G736" s="56">
        <v>1</v>
      </c>
      <c r="H736" s="56">
        <v>1</v>
      </c>
      <c r="I736" s="56">
        <v>400</v>
      </c>
      <c r="J736" s="59" t="s">
        <v>1181</v>
      </c>
      <c r="K736" s="59">
        <v>1</v>
      </c>
      <c r="L736" s="59">
        <f t="shared" si="11"/>
        <v>400</v>
      </c>
      <c r="M736" s="59"/>
    </row>
    <row r="737" spans="1:13" ht="30">
      <c r="A737" s="56">
        <v>1633</v>
      </c>
      <c r="B737" s="56">
        <v>1633</v>
      </c>
      <c r="C737" s="56">
        <v>1633</v>
      </c>
      <c r="D737" s="56" t="s">
        <v>2812</v>
      </c>
      <c r="F737" s="56" t="s">
        <v>24</v>
      </c>
      <c r="G737" s="56">
        <v>1</v>
      </c>
      <c r="H737" s="56">
        <v>1</v>
      </c>
      <c r="I737" s="56">
        <v>140</v>
      </c>
      <c r="J737" s="59" t="s">
        <v>1181</v>
      </c>
      <c r="K737" s="59">
        <v>1</v>
      </c>
      <c r="L737" s="59">
        <f t="shared" si="11"/>
        <v>140</v>
      </c>
      <c r="M737" s="59"/>
    </row>
    <row r="738" spans="1:13" ht="30">
      <c r="A738" s="56">
        <v>1682</v>
      </c>
      <c r="B738" s="56">
        <v>1682</v>
      </c>
      <c r="C738" s="56">
        <v>1682</v>
      </c>
      <c r="D738" s="56" t="s">
        <v>2841</v>
      </c>
      <c r="F738" s="56" t="s">
        <v>24</v>
      </c>
      <c r="G738" s="56">
        <v>1</v>
      </c>
      <c r="H738" s="56">
        <v>1</v>
      </c>
      <c r="I738" s="56">
        <v>350</v>
      </c>
      <c r="J738" s="59" t="s">
        <v>1181</v>
      </c>
      <c r="K738" s="59">
        <v>1</v>
      </c>
      <c r="L738" s="59">
        <f t="shared" si="11"/>
        <v>350</v>
      </c>
      <c r="M738" s="59"/>
    </row>
    <row r="739" spans="1:13" ht="30">
      <c r="A739" s="56">
        <v>1684</v>
      </c>
      <c r="B739" s="56">
        <v>1684</v>
      </c>
      <c r="C739" s="56">
        <v>1684</v>
      </c>
      <c r="D739" s="56" t="s">
        <v>1463</v>
      </c>
      <c r="F739" s="58" t="s">
        <v>24</v>
      </c>
      <c r="G739" s="58">
        <v>1</v>
      </c>
      <c r="H739" s="58">
        <v>1</v>
      </c>
      <c r="I739" s="56">
        <v>125</v>
      </c>
      <c r="J739" s="59" t="s">
        <v>1181</v>
      </c>
      <c r="K739" s="59">
        <v>1</v>
      </c>
      <c r="L739" s="59">
        <f t="shared" si="11"/>
        <v>125</v>
      </c>
      <c r="M739" s="59"/>
    </row>
    <row r="740" spans="1:13" ht="30">
      <c r="A740" s="56">
        <v>1685</v>
      </c>
      <c r="B740" s="56">
        <v>1685</v>
      </c>
      <c r="C740" s="56">
        <v>1685</v>
      </c>
      <c r="D740" s="56" t="s">
        <v>2843</v>
      </c>
      <c r="F740" s="56" t="s">
        <v>24</v>
      </c>
      <c r="G740" s="56">
        <v>1</v>
      </c>
      <c r="H740" s="56">
        <v>1</v>
      </c>
      <c r="I740" s="56">
        <v>350</v>
      </c>
      <c r="J740" s="59" t="s">
        <v>1181</v>
      </c>
      <c r="K740" s="59">
        <v>1</v>
      </c>
      <c r="L740" s="59">
        <f t="shared" si="11"/>
        <v>350</v>
      </c>
      <c r="M740" s="59"/>
    </row>
    <row r="741" spans="1:13" ht="30">
      <c r="A741" s="56">
        <v>1686</v>
      </c>
      <c r="B741" s="56">
        <v>1686</v>
      </c>
      <c r="C741" s="56">
        <v>1686</v>
      </c>
      <c r="D741" s="56" t="s">
        <v>68</v>
      </c>
      <c r="F741" s="56" t="s">
        <v>24</v>
      </c>
      <c r="G741" s="56">
        <v>1</v>
      </c>
      <c r="H741" s="56">
        <v>1</v>
      </c>
      <c r="I741" s="56">
        <v>200</v>
      </c>
      <c r="J741" s="59" t="s">
        <v>1181</v>
      </c>
      <c r="K741" s="59">
        <v>1</v>
      </c>
      <c r="L741" s="59">
        <f t="shared" si="11"/>
        <v>200</v>
      </c>
      <c r="M741" s="59"/>
    </row>
    <row r="742" spans="1:13" ht="30">
      <c r="A742" s="56">
        <v>1689</v>
      </c>
      <c r="B742" s="56">
        <v>1689</v>
      </c>
      <c r="C742" s="56">
        <v>1689</v>
      </c>
      <c r="D742" s="56" t="s">
        <v>2846</v>
      </c>
      <c r="F742" s="56" t="s">
        <v>24</v>
      </c>
      <c r="G742" s="56">
        <v>1</v>
      </c>
      <c r="H742" s="56">
        <v>1</v>
      </c>
      <c r="I742" s="56">
        <v>350</v>
      </c>
      <c r="J742" s="59" t="s">
        <v>1181</v>
      </c>
      <c r="K742" s="59">
        <v>1</v>
      </c>
      <c r="L742" s="59">
        <f t="shared" si="11"/>
        <v>350</v>
      </c>
      <c r="M742" s="59"/>
    </row>
    <row r="743" spans="1:13" ht="30">
      <c r="A743" s="56">
        <v>1706</v>
      </c>
      <c r="B743" s="56">
        <v>1706</v>
      </c>
      <c r="C743" s="56">
        <v>1706</v>
      </c>
      <c r="D743" s="56" t="s">
        <v>2860</v>
      </c>
      <c r="F743" s="56" t="s">
        <v>24</v>
      </c>
      <c r="G743" s="56">
        <v>1</v>
      </c>
      <c r="H743" s="56">
        <v>1</v>
      </c>
      <c r="I743" s="56">
        <v>180</v>
      </c>
      <c r="J743" s="59" t="s">
        <v>1181</v>
      </c>
      <c r="K743" s="59">
        <v>1</v>
      </c>
      <c r="L743" s="59">
        <f t="shared" si="11"/>
        <v>180</v>
      </c>
      <c r="M743" s="59"/>
    </row>
    <row r="744" spans="1:13" ht="30">
      <c r="A744" s="56">
        <v>1733</v>
      </c>
      <c r="B744" s="56">
        <v>1733</v>
      </c>
      <c r="C744" s="56">
        <v>1733</v>
      </c>
      <c r="D744" s="56" t="s">
        <v>1471</v>
      </c>
      <c r="F744" s="58" t="s">
        <v>24</v>
      </c>
      <c r="G744" s="58">
        <v>1</v>
      </c>
      <c r="H744" s="58">
        <v>1</v>
      </c>
      <c r="I744" s="56">
        <v>500</v>
      </c>
      <c r="J744" s="59" t="s">
        <v>1181</v>
      </c>
      <c r="K744" s="59">
        <v>1</v>
      </c>
      <c r="L744" s="59">
        <f t="shared" si="11"/>
        <v>500</v>
      </c>
      <c r="M744" s="59"/>
    </row>
    <row r="745" spans="1:13" ht="30">
      <c r="A745" s="56">
        <v>1741</v>
      </c>
      <c r="B745" s="56">
        <v>1741</v>
      </c>
      <c r="C745" s="56">
        <v>1741</v>
      </c>
      <c r="D745" s="56" t="s">
        <v>1772</v>
      </c>
      <c r="F745" s="56" t="s">
        <v>24</v>
      </c>
      <c r="G745" s="56">
        <v>1</v>
      </c>
      <c r="H745" s="56">
        <v>1</v>
      </c>
      <c r="I745" s="56">
        <v>220</v>
      </c>
      <c r="J745" s="59" t="s">
        <v>1181</v>
      </c>
      <c r="K745" s="59">
        <v>1</v>
      </c>
      <c r="L745" s="59">
        <f t="shared" si="11"/>
        <v>220</v>
      </c>
      <c r="M745" s="59"/>
    </row>
    <row r="746" spans="1:13" ht="30">
      <c r="A746" s="56">
        <v>1754</v>
      </c>
      <c r="B746" s="56">
        <v>1754</v>
      </c>
      <c r="C746" s="56">
        <v>1754</v>
      </c>
      <c r="D746" s="56" t="s">
        <v>2898</v>
      </c>
      <c r="F746" s="56" t="s">
        <v>24</v>
      </c>
      <c r="G746" s="56">
        <v>1</v>
      </c>
      <c r="H746" s="56">
        <v>1</v>
      </c>
      <c r="I746" s="56">
        <v>600</v>
      </c>
      <c r="J746" s="59" t="s">
        <v>1181</v>
      </c>
      <c r="K746" s="59">
        <v>1</v>
      </c>
      <c r="L746" s="59">
        <f t="shared" si="11"/>
        <v>600</v>
      </c>
      <c r="M746" s="59"/>
    </row>
    <row r="747" spans="1:13" ht="30">
      <c r="A747" s="56">
        <v>1755</v>
      </c>
      <c r="B747" s="56">
        <v>1755</v>
      </c>
      <c r="C747" s="56">
        <v>1755</v>
      </c>
      <c r="D747" s="56" t="s">
        <v>2899</v>
      </c>
      <c r="F747" s="56" t="s">
        <v>24</v>
      </c>
      <c r="G747" s="56">
        <v>1</v>
      </c>
      <c r="H747" s="56">
        <v>1</v>
      </c>
      <c r="I747" s="56">
        <v>500</v>
      </c>
      <c r="J747" s="59" t="s">
        <v>1181</v>
      </c>
      <c r="K747" s="59">
        <v>1</v>
      </c>
      <c r="L747" s="59">
        <f t="shared" si="11"/>
        <v>500</v>
      </c>
      <c r="M747" s="59"/>
    </row>
    <row r="748" spans="1:13" ht="30">
      <c r="A748" s="56">
        <v>1756</v>
      </c>
      <c r="B748" s="56">
        <v>1756</v>
      </c>
      <c r="C748" s="56">
        <v>1756</v>
      </c>
      <c r="D748" s="56" t="s">
        <v>2900</v>
      </c>
      <c r="F748" s="56" t="s">
        <v>24</v>
      </c>
      <c r="G748" s="56">
        <v>1</v>
      </c>
      <c r="H748" s="56">
        <v>1</v>
      </c>
      <c r="I748" s="56">
        <v>270</v>
      </c>
      <c r="J748" s="59" t="s">
        <v>1181</v>
      </c>
      <c r="K748" s="59">
        <v>1</v>
      </c>
      <c r="L748" s="59">
        <f t="shared" si="11"/>
        <v>270</v>
      </c>
      <c r="M748" s="59"/>
    </row>
    <row r="749" spans="1:13" ht="30">
      <c r="A749" s="56">
        <v>1760</v>
      </c>
      <c r="B749" s="56">
        <v>1760</v>
      </c>
      <c r="C749" s="56">
        <v>1760</v>
      </c>
      <c r="D749" s="56" t="s">
        <v>2904</v>
      </c>
      <c r="F749" s="56" t="s">
        <v>24</v>
      </c>
      <c r="G749" s="56">
        <v>1</v>
      </c>
      <c r="H749" s="56">
        <v>1</v>
      </c>
      <c r="I749" s="56">
        <v>1150</v>
      </c>
      <c r="J749" s="59" t="s">
        <v>1181</v>
      </c>
      <c r="K749" s="59">
        <v>1</v>
      </c>
      <c r="L749" s="59">
        <f t="shared" si="11"/>
        <v>1150</v>
      </c>
      <c r="M749" s="59"/>
    </row>
    <row r="750" spans="1:13" ht="30">
      <c r="A750" s="56">
        <v>1761</v>
      </c>
      <c r="B750" s="56">
        <v>1761</v>
      </c>
      <c r="C750" s="56">
        <v>1761</v>
      </c>
      <c r="D750" s="56" t="s">
        <v>2905</v>
      </c>
      <c r="F750" s="56" t="s">
        <v>24</v>
      </c>
      <c r="G750" s="56">
        <v>1</v>
      </c>
      <c r="H750" s="56">
        <v>1</v>
      </c>
      <c r="I750" s="56">
        <v>900</v>
      </c>
      <c r="J750" s="59" t="s">
        <v>1181</v>
      </c>
      <c r="K750" s="59">
        <v>1</v>
      </c>
      <c r="L750" s="59">
        <f t="shared" si="11"/>
        <v>900</v>
      </c>
      <c r="M750" s="59"/>
    </row>
    <row r="751" spans="1:13" ht="30">
      <c r="A751" s="56">
        <v>1765</v>
      </c>
      <c r="B751" s="56">
        <v>1765</v>
      </c>
      <c r="C751" s="56">
        <v>1765</v>
      </c>
      <c r="D751" s="56" t="s">
        <v>2909</v>
      </c>
      <c r="F751" s="56" t="s">
        <v>24</v>
      </c>
      <c r="G751" s="56">
        <v>1</v>
      </c>
      <c r="H751" s="56">
        <v>1</v>
      </c>
      <c r="I751" s="56">
        <v>850</v>
      </c>
      <c r="J751" s="59" t="s">
        <v>1181</v>
      </c>
      <c r="K751" s="59">
        <v>1</v>
      </c>
      <c r="L751" s="59">
        <f t="shared" si="11"/>
        <v>850</v>
      </c>
      <c r="M751" s="59"/>
    </row>
    <row r="752" spans="1:13" ht="30">
      <c r="A752" s="56">
        <v>1766</v>
      </c>
      <c r="B752" s="56">
        <v>1766</v>
      </c>
      <c r="C752" s="56">
        <v>1766</v>
      </c>
      <c r="D752" s="56" t="s">
        <v>2910</v>
      </c>
      <c r="F752" s="56" t="s">
        <v>24</v>
      </c>
      <c r="G752" s="56">
        <v>1</v>
      </c>
      <c r="H752" s="56">
        <v>1</v>
      </c>
      <c r="I752" s="56">
        <v>120</v>
      </c>
      <c r="J752" s="59" t="s">
        <v>1181</v>
      </c>
      <c r="K752" s="59">
        <v>1</v>
      </c>
      <c r="L752" s="59">
        <f t="shared" si="11"/>
        <v>120</v>
      </c>
      <c r="M752" s="59"/>
    </row>
    <row r="753" spans="1:13" ht="30">
      <c r="A753" s="56">
        <v>1768</v>
      </c>
      <c r="B753" s="56">
        <v>1768</v>
      </c>
      <c r="C753" s="56">
        <v>1768</v>
      </c>
      <c r="D753" s="56" t="s">
        <v>2912</v>
      </c>
      <c r="F753" s="56" t="s">
        <v>24</v>
      </c>
      <c r="G753" s="56">
        <v>1</v>
      </c>
      <c r="H753" s="56">
        <v>1</v>
      </c>
      <c r="I753" s="56">
        <v>0</v>
      </c>
      <c r="J753" s="59" t="s">
        <v>1181</v>
      </c>
      <c r="K753" s="59">
        <v>1</v>
      </c>
      <c r="L753" s="59">
        <f t="shared" si="11"/>
        <v>0</v>
      </c>
      <c r="M753" s="59"/>
    </row>
    <row r="754" spans="1:13" ht="30">
      <c r="A754" s="56">
        <v>1769</v>
      </c>
      <c r="B754" s="56">
        <v>1769</v>
      </c>
      <c r="C754" s="56">
        <v>1769</v>
      </c>
      <c r="D754" s="56" t="s">
        <v>2913</v>
      </c>
      <c r="F754" s="56" t="s">
        <v>24</v>
      </c>
      <c r="G754" s="56">
        <v>1</v>
      </c>
      <c r="H754" s="56">
        <v>1</v>
      </c>
      <c r="I754" s="56">
        <v>350</v>
      </c>
      <c r="J754" s="59" t="s">
        <v>1181</v>
      </c>
      <c r="K754" s="59">
        <v>1</v>
      </c>
      <c r="L754" s="59">
        <f t="shared" si="11"/>
        <v>350</v>
      </c>
      <c r="M754" s="59"/>
    </row>
    <row r="755" spans="1:13" ht="30">
      <c r="A755" s="56">
        <v>1771</v>
      </c>
      <c r="B755" s="56">
        <v>1771</v>
      </c>
      <c r="C755" s="56">
        <v>1771</v>
      </c>
      <c r="D755" s="56" t="s">
        <v>2915</v>
      </c>
      <c r="F755" s="56" t="s">
        <v>24</v>
      </c>
      <c r="G755" s="56">
        <v>1</v>
      </c>
      <c r="H755" s="56">
        <v>1</v>
      </c>
      <c r="I755" s="56">
        <v>370</v>
      </c>
      <c r="J755" s="59" t="s">
        <v>1181</v>
      </c>
      <c r="K755" s="59">
        <v>1</v>
      </c>
      <c r="L755" s="59">
        <f t="shared" si="11"/>
        <v>370</v>
      </c>
      <c r="M755" s="59"/>
    </row>
    <row r="756" spans="1:13" ht="30">
      <c r="A756" s="56">
        <v>1772</v>
      </c>
      <c r="B756" s="56">
        <v>1772</v>
      </c>
      <c r="C756" s="56">
        <v>1772</v>
      </c>
      <c r="D756" s="56" t="s">
        <v>2916</v>
      </c>
      <c r="F756" s="56" t="s">
        <v>24</v>
      </c>
      <c r="G756" s="56">
        <v>1</v>
      </c>
      <c r="H756" s="56">
        <v>1</v>
      </c>
      <c r="I756" s="56">
        <v>113</v>
      </c>
      <c r="J756" s="59" t="s">
        <v>1181</v>
      </c>
      <c r="K756" s="59">
        <v>1</v>
      </c>
      <c r="L756" s="59">
        <f t="shared" si="11"/>
        <v>113</v>
      </c>
      <c r="M756" s="59"/>
    </row>
    <row r="757" spans="1:13" ht="30">
      <c r="A757" s="56">
        <v>1775</v>
      </c>
      <c r="B757" s="56">
        <v>1775</v>
      </c>
      <c r="C757" s="56">
        <v>1775</v>
      </c>
      <c r="D757" s="56" t="s">
        <v>2918</v>
      </c>
      <c r="F757" s="56" t="s">
        <v>24</v>
      </c>
      <c r="G757" s="56">
        <v>1</v>
      </c>
      <c r="H757" s="56">
        <v>1</v>
      </c>
      <c r="I757" s="56">
        <v>400</v>
      </c>
      <c r="J757" s="59" t="s">
        <v>1181</v>
      </c>
      <c r="K757" s="59">
        <v>1</v>
      </c>
      <c r="L757" s="59">
        <f t="shared" si="11"/>
        <v>400</v>
      </c>
      <c r="M757" s="59"/>
    </row>
    <row r="758" spans="1:13" ht="30">
      <c r="A758" s="56">
        <v>1776</v>
      </c>
      <c r="B758" s="56">
        <v>1776</v>
      </c>
      <c r="C758" s="56">
        <v>1776</v>
      </c>
      <c r="D758" s="56" t="s">
        <v>2919</v>
      </c>
      <c r="F758" s="56" t="s">
        <v>24</v>
      </c>
      <c r="G758" s="56">
        <v>1</v>
      </c>
      <c r="H758" s="56">
        <v>1</v>
      </c>
      <c r="I758" s="56">
        <v>320</v>
      </c>
      <c r="J758" s="59" t="s">
        <v>1181</v>
      </c>
      <c r="K758" s="59">
        <v>1</v>
      </c>
      <c r="L758" s="59">
        <f t="shared" si="11"/>
        <v>320</v>
      </c>
      <c r="M758" s="59"/>
    </row>
    <row r="759" spans="1:13" ht="30">
      <c r="A759" s="56">
        <v>1784</v>
      </c>
      <c r="B759" s="56">
        <v>1784</v>
      </c>
      <c r="C759" s="56">
        <v>1784</v>
      </c>
      <c r="D759" s="56" t="s">
        <v>2927</v>
      </c>
      <c r="F759" s="56" t="s">
        <v>24</v>
      </c>
      <c r="G759" s="56">
        <v>1</v>
      </c>
      <c r="H759" s="56">
        <v>1</v>
      </c>
      <c r="I759" s="56">
        <v>1500</v>
      </c>
      <c r="J759" s="59" t="s">
        <v>1181</v>
      </c>
      <c r="K759" s="59">
        <v>1</v>
      </c>
      <c r="L759" s="59">
        <f t="shared" si="11"/>
        <v>1500</v>
      </c>
      <c r="M759" s="59"/>
    </row>
    <row r="760" spans="1:13" ht="30">
      <c r="A760" s="56">
        <v>1789</v>
      </c>
      <c r="B760" s="56">
        <v>1789</v>
      </c>
      <c r="C760" s="56">
        <v>1789</v>
      </c>
      <c r="D760" s="56" t="s">
        <v>2932</v>
      </c>
      <c r="F760" s="56" t="s">
        <v>24</v>
      </c>
      <c r="G760" s="56">
        <v>1</v>
      </c>
      <c r="H760" s="56">
        <v>1</v>
      </c>
      <c r="I760" s="56">
        <v>900</v>
      </c>
      <c r="J760" s="59" t="s">
        <v>1181</v>
      </c>
      <c r="K760" s="59">
        <v>1</v>
      </c>
      <c r="L760" s="59">
        <f t="shared" si="11"/>
        <v>900</v>
      </c>
      <c r="M760" s="59"/>
    </row>
    <row r="761" spans="1:13" ht="30">
      <c r="A761" s="56">
        <v>1792</v>
      </c>
      <c r="B761" s="56">
        <v>1792</v>
      </c>
      <c r="C761" s="56">
        <v>1792</v>
      </c>
      <c r="D761" s="56" t="s">
        <v>2935</v>
      </c>
      <c r="F761" s="56" t="s">
        <v>24</v>
      </c>
      <c r="G761" s="56">
        <v>1</v>
      </c>
      <c r="H761" s="56">
        <v>1</v>
      </c>
      <c r="I761" s="56">
        <v>3500</v>
      </c>
      <c r="J761" s="59" t="s">
        <v>1181</v>
      </c>
      <c r="K761" s="59">
        <v>1</v>
      </c>
      <c r="L761" s="59">
        <f t="shared" si="11"/>
        <v>3500</v>
      </c>
      <c r="M761" s="59"/>
    </row>
    <row r="762" spans="1:13" ht="30">
      <c r="A762" s="56">
        <v>1796</v>
      </c>
      <c r="B762" s="56">
        <v>1796</v>
      </c>
      <c r="C762" s="56">
        <v>1796</v>
      </c>
      <c r="D762" s="56" t="s">
        <v>2939</v>
      </c>
      <c r="F762" s="56" t="s">
        <v>24</v>
      </c>
      <c r="G762" s="56">
        <v>1</v>
      </c>
      <c r="H762" s="56">
        <v>1</v>
      </c>
      <c r="I762" s="56">
        <v>2000</v>
      </c>
      <c r="J762" s="59" t="s">
        <v>1181</v>
      </c>
      <c r="K762" s="59">
        <v>1</v>
      </c>
      <c r="L762" s="59">
        <f t="shared" si="11"/>
        <v>2000</v>
      </c>
      <c r="M762" s="59"/>
    </row>
    <row r="763" spans="1:13" ht="30">
      <c r="A763" s="56">
        <v>1798</v>
      </c>
      <c r="B763" s="56">
        <v>1798</v>
      </c>
      <c r="C763" s="56">
        <v>1798</v>
      </c>
      <c r="D763" s="56" t="s">
        <v>2941</v>
      </c>
      <c r="F763" s="56" t="s">
        <v>24</v>
      </c>
      <c r="G763" s="56">
        <v>1</v>
      </c>
      <c r="H763" s="56">
        <v>1</v>
      </c>
      <c r="I763" s="56">
        <v>2500</v>
      </c>
      <c r="J763" s="59" t="s">
        <v>1181</v>
      </c>
      <c r="K763" s="59">
        <v>1</v>
      </c>
      <c r="L763" s="59">
        <f t="shared" si="11"/>
        <v>2500</v>
      </c>
      <c r="M763" s="59"/>
    </row>
    <row r="764" spans="1:13" ht="30">
      <c r="A764" s="56">
        <v>1799</v>
      </c>
      <c r="B764" s="56">
        <v>1799</v>
      </c>
      <c r="C764" s="56">
        <v>1799</v>
      </c>
      <c r="D764" s="56" t="s">
        <v>2942</v>
      </c>
      <c r="F764" s="56" t="s">
        <v>24</v>
      </c>
      <c r="G764" s="56">
        <v>1</v>
      </c>
      <c r="H764" s="56">
        <v>1</v>
      </c>
      <c r="I764" s="56">
        <v>270</v>
      </c>
      <c r="J764" s="59" t="s">
        <v>1181</v>
      </c>
      <c r="K764" s="59">
        <v>1</v>
      </c>
      <c r="L764" s="59">
        <f t="shared" si="11"/>
        <v>270</v>
      </c>
      <c r="M764" s="59"/>
    </row>
    <row r="765" spans="1:13" ht="30">
      <c r="A765" s="56">
        <v>1831</v>
      </c>
      <c r="B765" s="56">
        <v>1831</v>
      </c>
      <c r="C765" s="56">
        <v>1831</v>
      </c>
      <c r="D765" s="56" t="s">
        <v>2964</v>
      </c>
      <c r="F765" s="56" t="s">
        <v>24</v>
      </c>
      <c r="G765" s="56">
        <v>1</v>
      </c>
      <c r="H765" s="56">
        <v>1</v>
      </c>
      <c r="I765" s="56">
        <v>1000</v>
      </c>
      <c r="J765" s="59" t="s">
        <v>1181</v>
      </c>
      <c r="K765" s="59">
        <v>1</v>
      </c>
      <c r="L765" s="59">
        <f t="shared" si="11"/>
        <v>1000</v>
      </c>
      <c r="M765" s="59"/>
    </row>
    <row r="766" spans="1:13" ht="30">
      <c r="A766" s="56">
        <v>1835</v>
      </c>
      <c r="B766" s="56">
        <v>1835</v>
      </c>
      <c r="C766" s="56">
        <v>1835</v>
      </c>
      <c r="D766" s="56" t="s">
        <v>2968</v>
      </c>
      <c r="F766" s="56" t="s">
        <v>24</v>
      </c>
      <c r="G766" s="56">
        <v>1</v>
      </c>
      <c r="H766" s="56">
        <v>1</v>
      </c>
      <c r="I766" s="56">
        <v>1200</v>
      </c>
      <c r="J766" s="59" t="s">
        <v>1181</v>
      </c>
      <c r="K766" s="59">
        <v>1</v>
      </c>
      <c r="L766" s="59">
        <f t="shared" si="11"/>
        <v>1200</v>
      </c>
      <c r="M766" s="59"/>
    </row>
    <row r="767" spans="1:13" ht="30">
      <c r="A767" s="56">
        <v>1836</v>
      </c>
      <c r="B767" s="56">
        <v>1836</v>
      </c>
      <c r="C767" s="56">
        <v>1836</v>
      </c>
      <c r="D767" s="56" t="s">
        <v>2969</v>
      </c>
      <c r="F767" s="56" t="s">
        <v>24</v>
      </c>
      <c r="G767" s="56">
        <v>1</v>
      </c>
      <c r="H767" s="56">
        <v>1</v>
      </c>
      <c r="I767" s="56">
        <v>2500</v>
      </c>
      <c r="J767" s="59" t="s">
        <v>1181</v>
      </c>
      <c r="K767" s="59">
        <v>1</v>
      </c>
      <c r="L767" s="59">
        <f t="shared" si="11"/>
        <v>2500</v>
      </c>
      <c r="M767" s="59"/>
    </row>
    <row r="768" spans="1:13" ht="30">
      <c r="A768" s="56">
        <v>1837</v>
      </c>
      <c r="B768" s="56">
        <v>1837</v>
      </c>
      <c r="C768" s="56">
        <v>1837</v>
      </c>
      <c r="D768" s="56" t="s">
        <v>1573</v>
      </c>
      <c r="F768" s="56" t="s">
        <v>24</v>
      </c>
      <c r="G768" s="56">
        <v>1</v>
      </c>
      <c r="H768" s="56">
        <v>1</v>
      </c>
      <c r="I768" s="56">
        <v>1200</v>
      </c>
      <c r="J768" s="59" t="s">
        <v>1181</v>
      </c>
      <c r="K768" s="59">
        <v>1</v>
      </c>
      <c r="L768" s="59">
        <f t="shared" si="11"/>
        <v>1200</v>
      </c>
      <c r="M768" s="59"/>
    </row>
    <row r="769" spans="1:13" ht="30">
      <c r="A769" s="56">
        <v>1838</v>
      </c>
      <c r="B769" s="56">
        <v>1838</v>
      </c>
      <c r="C769" s="56">
        <v>1838</v>
      </c>
      <c r="D769" s="56" t="s">
        <v>26</v>
      </c>
      <c r="F769" s="56" t="s">
        <v>24</v>
      </c>
      <c r="G769" s="56">
        <v>1</v>
      </c>
      <c r="H769" s="56">
        <v>1</v>
      </c>
      <c r="I769" s="56">
        <v>2200</v>
      </c>
      <c r="J769" s="59" t="s">
        <v>1181</v>
      </c>
      <c r="K769" s="59">
        <v>1</v>
      </c>
      <c r="L769" s="59">
        <f t="shared" si="11"/>
        <v>2200</v>
      </c>
      <c r="M769" s="59"/>
    </row>
    <row r="770" spans="1:13" ht="30">
      <c r="A770" s="56">
        <v>1839</v>
      </c>
      <c r="B770" s="56">
        <v>1839</v>
      </c>
      <c r="C770" s="56">
        <v>1839</v>
      </c>
      <c r="D770" s="56" t="s">
        <v>2970</v>
      </c>
      <c r="F770" s="56" t="s">
        <v>24</v>
      </c>
      <c r="G770" s="56">
        <v>1</v>
      </c>
      <c r="H770" s="56">
        <v>1</v>
      </c>
      <c r="I770" s="56">
        <v>1200</v>
      </c>
      <c r="J770" s="59" t="s">
        <v>1181</v>
      </c>
      <c r="K770" s="59">
        <v>1</v>
      </c>
      <c r="L770" s="59">
        <f t="shared" ref="L770:L833" si="12">H770*I770</f>
        <v>1200</v>
      </c>
      <c r="M770" s="59"/>
    </row>
    <row r="771" spans="1:13" ht="30">
      <c r="A771" s="56">
        <v>1840</v>
      </c>
      <c r="B771" s="56">
        <v>1840</v>
      </c>
      <c r="C771" s="56">
        <v>1840</v>
      </c>
      <c r="D771" s="56" t="s">
        <v>2971</v>
      </c>
      <c r="F771" s="56" t="s">
        <v>24</v>
      </c>
      <c r="G771" s="56">
        <v>1</v>
      </c>
      <c r="H771" s="56">
        <v>1</v>
      </c>
      <c r="I771" s="56">
        <v>800</v>
      </c>
      <c r="J771" s="59" t="s">
        <v>1181</v>
      </c>
      <c r="K771" s="59">
        <v>1</v>
      </c>
      <c r="L771" s="59">
        <f t="shared" si="12"/>
        <v>800</v>
      </c>
      <c r="M771" s="59"/>
    </row>
    <row r="772" spans="1:13" ht="30">
      <c r="A772" s="56">
        <v>1841</v>
      </c>
      <c r="B772" s="56">
        <v>1841</v>
      </c>
      <c r="C772" s="56">
        <v>1841</v>
      </c>
      <c r="D772" s="56" t="s">
        <v>2972</v>
      </c>
      <c r="F772" s="56" t="s">
        <v>24</v>
      </c>
      <c r="G772" s="56">
        <v>1</v>
      </c>
      <c r="H772" s="56">
        <v>1</v>
      </c>
      <c r="I772" s="56">
        <v>1000</v>
      </c>
      <c r="J772" s="59" t="s">
        <v>1181</v>
      </c>
      <c r="K772" s="59">
        <v>1</v>
      </c>
      <c r="L772" s="59">
        <f t="shared" si="12"/>
        <v>1000</v>
      </c>
      <c r="M772" s="59"/>
    </row>
    <row r="773" spans="1:13" ht="30">
      <c r="A773" s="56">
        <v>1847</v>
      </c>
      <c r="B773" s="56">
        <v>1847</v>
      </c>
      <c r="C773" s="56">
        <v>1847</v>
      </c>
      <c r="D773" s="56" t="s">
        <v>2976</v>
      </c>
      <c r="F773" s="56" t="s">
        <v>24</v>
      </c>
      <c r="G773" s="56">
        <v>1</v>
      </c>
      <c r="H773" s="56">
        <v>1</v>
      </c>
      <c r="I773" s="56">
        <v>700</v>
      </c>
      <c r="J773" s="59" t="s">
        <v>1181</v>
      </c>
      <c r="K773" s="59">
        <v>1</v>
      </c>
      <c r="L773" s="59">
        <f t="shared" si="12"/>
        <v>700</v>
      </c>
      <c r="M773" s="59"/>
    </row>
    <row r="774" spans="1:13" ht="30">
      <c r="A774" s="56">
        <v>1848</v>
      </c>
      <c r="B774" s="56">
        <v>1848</v>
      </c>
      <c r="C774" s="56">
        <v>1848</v>
      </c>
      <c r="D774" s="56" t="s">
        <v>2977</v>
      </c>
      <c r="F774" s="56" t="s">
        <v>24</v>
      </c>
      <c r="G774" s="56">
        <v>1</v>
      </c>
      <c r="H774" s="56">
        <v>1</v>
      </c>
      <c r="I774" s="56">
        <v>800</v>
      </c>
      <c r="J774" s="59" t="s">
        <v>1181</v>
      </c>
      <c r="K774" s="59">
        <v>1</v>
      </c>
      <c r="L774" s="59">
        <f t="shared" si="12"/>
        <v>800</v>
      </c>
      <c r="M774" s="59"/>
    </row>
    <row r="775" spans="1:13" ht="30">
      <c r="A775" s="56">
        <v>1851</v>
      </c>
      <c r="B775" s="56">
        <v>1851</v>
      </c>
      <c r="C775" s="56">
        <v>1851</v>
      </c>
      <c r="D775" s="56" t="s">
        <v>2980</v>
      </c>
      <c r="F775" s="56" t="s">
        <v>24</v>
      </c>
      <c r="G775" s="56">
        <v>1</v>
      </c>
      <c r="H775" s="56">
        <v>1</v>
      </c>
      <c r="I775" s="56">
        <v>4200</v>
      </c>
      <c r="J775" s="59" t="s">
        <v>1181</v>
      </c>
      <c r="K775" s="59">
        <v>1</v>
      </c>
      <c r="L775" s="59">
        <f t="shared" si="12"/>
        <v>4200</v>
      </c>
      <c r="M775" s="59"/>
    </row>
    <row r="776" spans="1:13" ht="30">
      <c r="A776" s="56">
        <v>1852</v>
      </c>
      <c r="B776" s="56">
        <v>1852</v>
      </c>
      <c r="C776" s="56">
        <v>1852</v>
      </c>
      <c r="D776" s="56" t="s">
        <v>2981</v>
      </c>
      <c r="F776" s="56" t="s">
        <v>24</v>
      </c>
      <c r="G776" s="56">
        <v>1</v>
      </c>
      <c r="H776" s="56">
        <v>1</v>
      </c>
      <c r="I776" s="56">
        <v>3800</v>
      </c>
      <c r="J776" s="59" t="s">
        <v>1181</v>
      </c>
      <c r="K776" s="59">
        <v>1</v>
      </c>
      <c r="L776" s="59">
        <f t="shared" si="12"/>
        <v>3800</v>
      </c>
      <c r="M776" s="59"/>
    </row>
    <row r="777" spans="1:13" ht="30">
      <c r="A777" s="56">
        <v>1853</v>
      </c>
      <c r="B777" s="56">
        <v>1853</v>
      </c>
      <c r="C777" s="56">
        <v>1853</v>
      </c>
      <c r="D777" s="56" t="s">
        <v>2982</v>
      </c>
      <c r="F777" s="56" t="s">
        <v>24</v>
      </c>
      <c r="G777" s="56">
        <v>1</v>
      </c>
      <c r="H777" s="56">
        <v>1</v>
      </c>
      <c r="I777" s="56">
        <v>2600</v>
      </c>
      <c r="J777" s="59" t="s">
        <v>1181</v>
      </c>
      <c r="K777" s="59">
        <v>1</v>
      </c>
      <c r="L777" s="59">
        <f t="shared" si="12"/>
        <v>2600</v>
      </c>
      <c r="M777" s="59"/>
    </row>
    <row r="778" spans="1:13" ht="30">
      <c r="A778" s="56">
        <v>1854</v>
      </c>
      <c r="B778" s="56">
        <v>1854</v>
      </c>
      <c r="C778" s="56">
        <v>1854</v>
      </c>
      <c r="D778" s="56" t="s">
        <v>2983</v>
      </c>
      <c r="F778" s="56" t="s">
        <v>24</v>
      </c>
      <c r="G778" s="56">
        <v>1</v>
      </c>
      <c r="H778" s="56">
        <v>1</v>
      </c>
      <c r="I778" s="56">
        <v>4500</v>
      </c>
      <c r="J778" s="59" t="s">
        <v>1181</v>
      </c>
      <c r="K778" s="59">
        <v>1</v>
      </c>
      <c r="L778" s="59">
        <f t="shared" si="12"/>
        <v>4500</v>
      </c>
      <c r="M778" s="59"/>
    </row>
    <row r="779" spans="1:13" ht="30">
      <c r="A779" s="56">
        <v>1855</v>
      </c>
      <c r="B779" s="56">
        <v>1855</v>
      </c>
      <c r="C779" s="56">
        <v>1855</v>
      </c>
      <c r="D779" s="56" t="s">
        <v>2984</v>
      </c>
      <c r="F779" s="56" t="s">
        <v>24</v>
      </c>
      <c r="G779" s="56">
        <v>1</v>
      </c>
      <c r="H779" s="56">
        <v>1</v>
      </c>
      <c r="I779" s="56">
        <v>2500</v>
      </c>
      <c r="J779" s="59" t="s">
        <v>1181</v>
      </c>
      <c r="K779" s="59">
        <v>1</v>
      </c>
      <c r="L779" s="59">
        <f t="shared" si="12"/>
        <v>2500</v>
      </c>
      <c r="M779" s="59"/>
    </row>
    <row r="780" spans="1:13" ht="30">
      <c r="A780" s="56">
        <v>1856</v>
      </c>
      <c r="B780" s="56">
        <v>1856</v>
      </c>
      <c r="C780" s="56">
        <v>1856</v>
      </c>
      <c r="D780" s="56" t="s">
        <v>2985</v>
      </c>
      <c r="F780" s="56" t="s">
        <v>24</v>
      </c>
      <c r="G780" s="56">
        <v>1</v>
      </c>
      <c r="H780" s="56">
        <v>1</v>
      </c>
      <c r="I780" s="56">
        <v>2200</v>
      </c>
      <c r="J780" s="59" t="s">
        <v>1181</v>
      </c>
      <c r="K780" s="59">
        <v>1</v>
      </c>
      <c r="L780" s="59">
        <f t="shared" si="12"/>
        <v>2200</v>
      </c>
      <c r="M780" s="59"/>
    </row>
    <row r="781" spans="1:13" ht="30">
      <c r="A781" s="56">
        <v>1857</v>
      </c>
      <c r="B781" s="56">
        <v>1857</v>
      </c>
      <c r="C781" s="56">
        <v>1857</v>
      </c>
      <c r="D781" s="56" t="s">
        <v>2986</v>
      </c>
      <c r="F781" s="56" t="s">
        <v>24</v>
      </c>
      <c r="G781" s="56">
        <v>1</v>
      </c>
      <c r="H781" s="56">
        <v>1</v>
      </c>
      <c r="I781" s="56">
        <v>3200</v>
      </c>
      <c r="J781" s="59" t="s">
        <v>1181</v>
      </c>
      <c r="K781" s="59">
        <v>1</v>
      </c>
      <c r="L781" s="59">
        <f t="shared" si="12"/>
        <v>3200</v>
      </c>
      <c r="M781" s="59"/>
    </row>
    <row r="782" spans="1:13" ht="30">
      <c r="A782" s="56">
        <v>1858</v>
      </c>
      <c r="B782" s="56">
        <v>1858</v>
      </c>
      <c r="C782" s="56">
        <v>1858</v>
      </c>
      <c r="D782" s="56" t="s">
        <v>2987</v>
      </c>
      <c r="F782" s="56" t="s">
        <v>24</v>
      </c>
      <c r="G782" s="56">
        <v>1</v>
      </c>
      <c r="H782" s="56">
        <v>1</v>
      </c>
      <c r="I782" s="56">
        <v>0</v>
      </c>
      <c r="J782" s="59" t="s">
        <v>1181</v>
      </c>
      <c r="K782" s="59">
        <v>1</v>
      </c>
      <c r="L782" s="59">
        <f t="shared" si="12"/>
        <v>0</v>
      </c>
      <c r="M782" s="59"/>
    </row>
    <row r="783" spans="1:13" ht="30">
      <c r="A783" s="56">
        <v>1859</v>
      </c>
      <c r="B783" s="56">
        <v>1859</v>
      </c>
      <c r="C783" s="56">
        <v>1859</v>
      </c>
      <c r="D783" s="56" t="s">
        <v>2988</v>
      </c>
      <c r="F783" s="56" t="s">
        <v>24</v>
      </c>
      <c r="G783" s="56">
        <v>1</v>
      </c>
      <c r="H783" s="56">
        <v>1</v>
      </c>
      <c r="I783" s="56">
        <v>0</v>
      </c>
      <c r="J783" s="59" t="s">
        <v>1181</v>
      </c>
      <c r="K783" s="59">
        <v>1</v>
      </c>
      <c r="L783" s="59">
        <f t="shared" si="12"/>
        <v>0</v>
      </c>
      <c r="M783" s="59"/>
    </row>
    <row r="784" spans="1:13" ht="30">
      <c r="A784" s="56">
        <v>1860</v>
      </c>
      <c r="B784" s="56">
        <v>1860</v>
      </c>
      <c r="C784" s="56">
        <v>1860</v>
      </c>
      <c r="D784" s="56" t="s">
        <v>2989</v>
      </c>
      <c r="F784" s="56" t="s">
        <v>24</v>
      </c>
      <c r="G784" s="56">
        <v>1</v>
      </c>
      <c r="H784" s="56">
        <v>1</v>
      </c>
      <c r="I784" s="56">
        <v>0</v>
      </c>
      <c r="J784" s="59" t="s">
        <v>1181</v>
      </c>
      <c r="K784" s="59">
        <v>1</v>
      </c>
      <c r="L784" s="59">
        <f t="shared" si="12"/>
        <v>0</v>
      </c>
      <c r="M784" s="59"/>
    </row>
    <row r="785" spans="1:13" ht="30">
      <c r="A785" s="56">
        <v>1861</v>
      </c>
      <c r="B785" s="56">
        <v>1861</v>
      </c>
      <c r="C785" s="56">
        <v>1861</v>
      </c>
      <c r="D785" s="56" t="s">
        <v>2990</v>
      </c>
      <c r="F785" s="56" t="s">
        <v>24</v>
      </c>
      <c r="G785" s="56">
        <v>1</v>
      </c>
      <c r="H785" s="56">
        <v>1</v>
      </c>
      <c r="I785" s="56">
        <v>0</v>
      </c>
      <c r="J785" s="59" t="s">
        <v>1181</v>
      </c>
      <c r="K785" s="59">
        <v>1</v>
      </c>
      <c r="L785" s="59">
        <f t="shared" si="12"/>
        <v>0</v>
      </c>
      <c r="M785" s="59"/>
    </row>
    <row r="786" spans="1:13" ht="30">
      <c r="A786" s="56">
        <v>1862</v>
      </c>
      <c r="B786" s="56">
        <v>1862</v>
      </c>
      <c r="C786" s="56">
        <v>1862</v>
      </c>
      <c r="D786" s="56" t="s">
        <v>2991</v>
      </c>
      <c r="F786" s="56" t="s">
        <v>24</v>
      </c>
      <c r="G786" s="56">
        <v>1</v>
      </c>
      <c r="H786" s="56">
        <v>1</v>
      </c>
      <c r="I786" s="56">
        <v>0</v>
      </c>
      <c r="J786" s="59" t="s">
        <v>1181</v>
      </c>
      <c r="K786" s="59">
        <v>1</v>
      </c>
      <c r="L786" s="59">
        <f t="shared" si="12"/>
        <v>0</v>
      </c>
      <c r="M786" s="59"/>
    </row>
    <row r="787" spans="1:13" ht="30">
      <c r="A787" s="56">
        <v>1863</v>
      </c>
      <c r="B787" s="56">
        <v>1863</v>
      </c>
      <c r="C787" s="56">
        <v>1863</v>
      </c>
      <c r="D787" s="56" t="s">
        <v>2992</v>
      </c>
      <c r="F787" s="56" t="s">
        <v>24</v>
      </c>
      <c r="G787" s="56">
        <v>1</v>
      </c>
      <c r="H787" s="56">
        <v>1</v>
      </c>
      <c r="I787" s="56">
        <v>2000</v>
      </c>
      <c r="J787" s="59" t="s">
        <v>1181</v>
      </c>
      <c r="K787" s="59">
        <v>1</v>
      </c>
      <c r="L787" s="59">
        <f t="shared" si="12"/>
        <v>2000</v>
      </c>
      <c r="M787" s="59"/>
    </row>
    <row r="788" spans="1:13" ht="30">
      <c r="A788" s="56">
        <v>1864</v>
      </c>
      <c r="B788" s="56">
        <v>1864</v>
      </c>
      <c r="C788" s="56">
        <v>1864</v>
      </c>
      <c r="D788" s="56" t="s">
        <v>2993</v>
      </c>
      <c r="F788" s="56" t="s">
        <v>24</v>
      </c>
      <c r="G788" s="56">
        <v>1</v>
      </c>
      <c r="H788" s="56">
        <v>1</v>
      </c>
      <c r="I788" s="56">
        <v>3200</v>
      </c>
      <c r="J788" s="59" t="s">
        <v>1181</v>
      </c>
      <c r="K788" s="59">
        <v>1</v>
      </c>
      <c r="L788" s="59">
        <f t="shared" si="12"/>
        <v>3200</v>
      </c>
      <c r="M788" s="59"/>
    </row>
    <row r="789" spans="1:13" ht="30">
      <c r="A789" s="56">
        <v>1865</v>
      </c>
      <c r="B789" s="56">
        <v>1865</v>
      </c>
      <c r="C789" s="56">
        <v>1865</v>
      </c>
      <c r="D789" s="56" t="s">
        <v>2994</v>
      </c>
      <c r="F789" s="56" t="s">
        <v>24</v>
      </c>
      <c r="G789" s="56">
        <v>1</v>
      </c>
      <c r="H789" s="56">
        <v>1</v>
      </c>
      <c r="I789" s="56">
        <v>0</v>
      </c>
      <c r="J789" s="59" t="s">
        <v>1181</v>
      </c>
      <c r="K789" s="59">
        <v>1</v>
      </c>
      <c r="L789" s="59">
        <f t="shared" si="12"/>
        <v>0</v>
      </c>
      <c r="M789" s="59"/>
    </row>
    <row r="790" spans="1:13" ht="30">
      <c r="A790" s="56">
        <v>1866</v>
      </c>
      <c r="B790" s="56">
        <v>1866</v>
      </c>
      <c r="C790" s="56">
        <v>1866</v>
      </c>
      <c r="D790" s="56" t="s">
        <v>2995</v>
      </c>
      <c r="F790" s="56" t="s">
        <v>24</v>
      </c>
      <c r="G790" s="56">
        <v>1</v>
      </c>
      <c r="H790" s="56">
        <v>1</v>
      </c>
      <c r="I790" s="56">
        <v>0</v>
      </c>
      <c r="J790" s="59" t="s">
        <v>1181</v>
      </c>
      <c r="K790" s="59">
        <v>1</v>
      </c>
      <c r="L790" s="59">
        <f t="shared" si="12"/>
        <v>0</v>
      </c>
      <c r="M790" s="59"/>
    </row>
    <row r="791" spans="1:13" ht="30">
      <c r="A791" s="56">
        <v>1867</v>
      </c>
      <c r="B791" s="56">
        <v>1867</v>
      </c>
      <c r="C791" s="56">
        <v>1867</v>
      </c>
      <c r="D791" s="56" t="s">
        <v>2996</v>
      </c>
      <c r="F791" s="56" t="s">
        <v>24</v>
      </c>
      <c r="G791" s="56">
        <v>1</v>
      </c>
      <c r="H791" s="56">
        <v>1</v>
      </c>
      <c r="I791" s="56">
        <v>0</v>
      </c>
      <c r="J791" s="59" t="s">
        <v>1181</v>
      </c>
      <c r="K791" s="59">
        <v>1</v>
      </c>
      <c r="L791" s="59">
        <f t="shared" si="12"/>
        <v>0</v>
      </c>
      <c r="M791" s="59"/>
    </row>
    <row r="792" spans="1:13" ht="30">
      <c r="A792" s="56">
        <v>1869</v>
      </c>
      <c r="B792" s="56">
        <v>1869</v>
      </c>
      <c r="C792" s="56">
        <v>1869</v>
      </c>
      <c r="D792" s="56" t="s">
        <v>2998</v>
      </c>
      <c r="F792" s="56" t="s">
        <v>24</v>
      </c>
      <c r="G792" s="56">
        <v>1</v>
      </c>
      <c r="H792" s="56">
        <v>1</v>
      </c>
      <c r="I792" s="56">
        <v>2400</v>
      </c>
      <c r="J792" s="59" t="s">
        <v>1181</v>
      </c>
      <c r="K792" s="59">
        <v>1</v>
      </c>
      <c r="L792" s="59">
        <f t="shared" si="12"/>
        <v>2400</v>
      </c>
      <c r="M792" s="59"/>
    </row>
    <row r="793" spans="1:13" ht="30">
      <c r="A793" s="56">
        <v>1870</v>
      </c>
      <c r="B793" s="56">
        <v>1870</v>
      </c>
      <c r="C793" s="56">
        <v>1870</v>
      </c>
      <c r="D793" s="56" t="s">
        <v>2999</v>
      </c>
      <c r="F793" s="56" t="s">
        <v>24</v>
      </c>
      <c r="G793" s="56">
        <v>1</v>
      </c>
      <c r="H793" s="56">
        <v>1</v>
      </c>
      <c r="I793" s="56">
        <v>2000</v>
      </c>
      <c r="J793" s="59" t="s">
        <v>1181</v>
      </c>
      <c r="K793" s="59">
        <v>1</v>
      </c>
      <c r="L793" s="59">
        <f t="shared" si="12"/>
        <v>2000</v>
      </c>
      <c r="M793" s="59"/>
    </row>
    <row r="794" spans="1:13" ht="30">
      <c r="A794" s="56">
        <v>1871</v>
      </c>
      <c r="B794" s="56">
        <v>1871</v>
      </c>
      <c r="C794" s="56">
        <v>1871</v>
      </c>
      <c r="D794" s="56" t="s">
        <v>3000</v>
      </c>
      <c r="F794" s="56" t="s">
        <v>24</v>
      </c>
      <c r="G794" s="56">
        <v>1</v>
      </c>
      <c r="H794" s="56">
        <v>1</v>
      </c>
      <c r="I794" s="56">
        <v>4000</v>
      </c>
      <c r="J794" s="59" t="s">
        <v>1181</v>
      </c>
      <c r="K794" s="59">
        <v>1</v>
      </c>
      <c r="L794" s="59">
        <f t="shared" si="12"/>
        <v>4000</v>
      </c>
      <c r="M794" s="59"/>
    </row>
    <row r="795" spans="1:13" ht="30">
      <c r="A795" s="56">
        <v>1872</v>
      </c>
      <c r="B795" s="56">
        <v>1872</v>
      </c>
      <c r="C795" s="56">
        <v>1872</v>
      </c>
      <c r="D795" s="56" t="s">
        <v>3001</v>
      </c>
      <c r="F795" s="56" t="s">
        <v>24</v>
      </c>
      <c r="G795" s="56">
        <v>1</v>
      </c>
      <c r="H795" s="56">
        <v>1</v>
      </c>
      <c r="I795" s="56">
        <v>4000</v>
      </c>
      <c r="J795" s="59" t="s">
        <v>1181</v>
      </c>
      <c r="K795" s="59">
        <v>1</v>
      </c>
      <c r="L795" s="59">
        <f t="shared" si="12"/>
        <v>4000</v>
      </c>
      <c r="M795" s="59"/>
    </row>
    <row r="796" spans="1:13" ht="30">
      <c r="A796" s="56">
        <v>1873</v>
      </c>
      <c r="B796" s="56">
        <v>1873</v>
      </c>
      <c r="C796" s="56">
        <v>1873</v>
      </c>
      <c r="D796" s="56" t="s">
        <v>3002</v>
      </c>
      <c r="F796" s="56" t="s">
        <v>24</v>
      </c>
      <c r="G796" s="56">
        <v>1</v>
      </c>
      <c r="H796" s="56">
        <v>1</v>
      </c>
      <c r="I796" s="56">
        <v>3500</v>
      </c>
      <c r="J796" s="59" t="s">
        <v>1181</v>
      </c>
      <c r="K796" s="59">
        <v>1</v>
      </c>
      <c r="L796" s="59">
        <f t="shared" si="12"/>
        <v>3500</v>
      </c>
      <c r="M796" s="59"/>
    </row>
    <row r="797" spans="1:13" ht="30">
      <c r="A797" s="56">
        <v>1874</v>
      </c>
      <c r="B797" s="56">
        <v>1874</v>
      </c>
      <c r="C797" s="56">
        <v>1874</v>
      </c>
      <c r="D797" s="56" t="s">
        <v>3003</v>
      </c>
      <c r="F797" s="56" t="s">
        <v>24</v>
      </c>
      <c r="G797" s="56">
        <v>1</v>
      </c>
      <c r="H797" s="56">
        <v>1</v>
      </c>
      <c r="I797" s="56">
        <v>3000</v>
      </c>
      <c r="J797" s="59" t="s">
        <v>1181</v>
      </c>
      <c r="K797" s="59">
        <v>1</v>
      </c>
      <c r="L797" s="59">
        <f t="shared" si="12"/>
        <v>3000</v>
      </c>
      <c r="M797" s="59"/>
    </row>
    <row r="798" spans="1:13" ht="30">
      <c r="A798" s="56">
        <v>1875</v>
      </c>
      <c r="B798" s="56">
        <v>1875</v>
      </c>
      <c r="C798" s="56">
        <v>1875</v>
      </c>
      <c r="D798" s="56" t="s">
        <v>3004</v>
      </c>
      <c r="F798" s="56" t="s">
        <v>24</v>
      </c>
      <c r="G798" s="56">
        <v>1</v>
      </c>
      <c r="H798" s="56">
        <v>1</v>
      </c>
      <c r="I798" s="56">
        <v>3000</v>
      </c>
      <c r="J798" s="59" t="s">
        <v>1181</v>
      </c>
      <c r="K798" s="59">
        <v>1</v>
      </c>
      <c r="L798" s="59">
        <f t="shared" si="12"/>
        <v>3000</v>
      </c>
      <c r="M798" s="59"/>
    </row>
    <row r="799" spans="1:13" ht="30">
      <c r="A799" s="56">
        <v>1876</v>
      </c>
      <c r="B799" s="56">
        <v>1876</v>
      </c>
      <c r="C799" s="56">
        <v>1876</v>
      </c>
      <c r="D799" s="56" t="s">
        <v>3005</v>
      </c>
      <c r="F799" s="56" t="s">
        <v>24</v>
      </c>
      <c r="G799" s="56">
        <v>1</v>
      </c>
      <c r="H799" s="56">
        <v>1</v>
      </c>
      <c r="I799" s="56">
        <v>4000</v>
      </c>
      <c r="J799" s="59" t="s">
        <v>1181</v>
      </c>
      <c r="K799" s="59">
        <v>1</v>
      </c>
      <c r="L799" s="59">
        <f t="shared" si="12"/>
        <v>4000</v>
      </c>
      <c r="M799" s="59"/>
    </row>
    <row r="800" spans="1:13" ht="30">
      <c r="A800" s="56">
        <v>1877</v>
      </c>
      <c r="B800" s="56">
        <v>1877</v>
      </c>
      <c r="C800" s="56">
        <v>1877</v>
      </c>
      <c r="D800" s="56" t="s">
        <v>3006</v>
      </c>
      <c r="F800" s="56" t="s">
        <v>24</v>
      </c>
      <c r="G800" s="56">
        <v>1</v>
      </c>
      <c r="H800" s="56">
        <v>1</v>
      </c>
      <c r="I800" s="56">
        <v>4200</v>
      </c>
      <c r="J800" s="59" t="s">
        <v>1181</v>
      </c>
      <c r="K800" s="59">
        <v>1</v>
      </c>
      <c r="L800" s="59">
        <f t="shared" si="12"/>
        <v>4200</v>
      </c>
      <c r="M800" s="59"/>
    </row>
    <row r="801" spans="1:13" ht="30">
      <c r="A801" s="56">
        <v>1878</v>
      </c>
      <c r="B801" s="56">
        <v>1878</v>
      </c>
      <c r="C801" s="56">
        <v>1878</v>
      </c>
      <c r="D801" s="56" t="s">
        <v>3007</v>
      </c>
      <c r="F801" s="56" t="s">
        <v>24</v>
      </c>
      <c r="G801" s="56">
        <v>1</v>
      </c>
      <c r="H801" s="56">
        <v>1</v>
      </c>
      <c r="I801" s="56">
        <v>0</v>
      </c>
      <c r="J801" s="59" t="s">
        <v>1181</v>
      </c>
      <c r="K801" s="59">
        <v>1</v>
      </c>
      <c r="L801" s="59">
        <f t="shared" si="12"/>
        <v>0</v>
      </c>
      <c r="M801" s="59"/>
    </row>
    <row r="802" spans="1:13" ht="30">
      <c r="A802" s="56">
        <v>1879</v>
      </c>
      <c r="B802" s="56">
        <v>1879</v>
      </c>
      <c r="C802" s="56">
        <v>1879</v>
      </c>
      <c r="D802" s="56" t="s">
        <v>3008</v>
      </c>
      <c r="F802" s="56" t="s">
        <v>24</v>
      </c>
      <c r="G802" s="56">
        <v>1</v>
      </c>
      <c r="H802" s="56">
        <v>1</v>
      </c>
      <c r="I802" s="56">
        <v>0</v>
      </c>
      <c r="J802" s="59" t="s">
        <v>1181</v>
      </c>
      <c r="K802" s="59">
        <v>1</v>
      </c>
      <c r="L802" s="59">
        <f t="shared" si="12"/>
        <v>0</v>
      </c>
      <c r="M802" s="59"/>
    </row>
    <row r="803" spans="1:13" ht="30">
      <c r="A803" s="56">
        <v>1880</v>
      </c>
      <c r="B803" s="56">
        <v>1880</v>
      </c>
      <c r="C803" s="56">
        <v>1880</v>
      </c>
      <c r="D803" s="56" t="s">
        <v>3009</v>
      </c>
      <c r="F803" s="56" t="s">
        <v>24</v>
      </c>
      <c r="G803" s="56">
        <v>1</v>
      </c>
      <c r="H803" s="56">
        <v>1</v>
      </c>
      <c r="I803" s="56">
        <v>1500</v>
      </c>
      <c r="J803" s="59" t="s">
        <v>1181</v>
      </c>
      <c r="K803" s="59">
        <v>1</v>
      </c>
      <c r="L803" s="59">
        <f t="shared" si="12"/>
        <v>1500</v>
      </c>
      <c r="M803" s="59"/>
    </row>
    <row r="804" spans="1:13" ht="30">
      <c r="A804" s="56">
        <v>1892</v>
      </c>
      <c r="B804" s="56">
        <v>1892</v>
      </c>
      <c r="C804" s="56">
        <v>1892</v>
      </c>
      <c r="D804" s="56" t="s">
        <v>3021</v>
      </c>
      <c r="F804" s="56" t="s">
        <v>24</v>
      </c>
      <c r="G804" s="56">
        <v>1</v>
      </c>
      <c r="H804" s="56">
        <v>1</v>
      </c>
      <c r="I804" s="56">
        <v>1200</v>
      </c>
      <c r="J804" s="59" t="s">
        <v>1181</v>
      </c>
      <c r="K804" s="59">
        <v>1</v>
      </c>
      <c r="L804" s="59">
        <f t="shared" si="12"/>
        <v>1200</v>
      </c>
      <c r="M804" s="59"/>
    </row>
    <row r="805" spans="1:13" ht="30">
      <c r="A805" s="56">
        <v>1893</v>
      </c>
      <c r="B805" s="56">
        <v>1893</v>
      </c>
      <c r="C805" s="56">
        <v>1893</v>
      </c>
      <c r="D805" s="56" t="s">
        <v>3022</v>
      </c>
      <c r="F805" s="56" t="s">
        <v>24</v>
      </c>
      <c r="G805" s="56">
        <v>1</v>
      </c>
      <c r="H805" s="56">
        <v>1</v>
      </c>
      <c r="I805" s="56">
        <v>1500</v>
      </c>
      <c r="J805" s="59" t="s">
        <v>1181</v>
      </c>
      <c r="K805" s="59">
        <v>1</v>
      </c>
      <c r="L805" s="59">
        <f t="shared" si="12"/>
        <v>1500</v>
      </c>
      <c r="M805" s="59"/>
    </row>
    <row r="806" spans="1:13" ht="30">
      <c r="A806" s="56">
        <v>1894</v>
      </c>
      <c r="B806" s="56">
        <v>1894</v>
      </c>
      <c r="C806" s="56">
        <v>1894</v>
      </c>
      <c r="D806" s="56" t="s">
        <v>3023</v>
      </c>
      <c r="F806" s="56" t="s">
        <v>24</v>
      </c>
      <c r="G806" s="56">
        <v>1</v>
      </c>
      <c r="H806" s="56">
        <v>1</v>
      </c>
      <c r="I806" s="56">
        <v>1800</v>
      </c>
      <c r="J806" s="59" t="s">
        <v>1181</v>
      </c>
      <c r="K806" s="59">
        <v>1</v>
      </c>
      <c r="L806" s="59">
        <f t="shared" si="12"/>
        <v>1800</v>
      </c>
      <c r="M806" s="59"/>
    </row>
    <row r="807" spans="1:13" ht="30">
      <c r="A807" s="56">
        <v>1896</v>
      </c>
      <c r="B807" s="56">
        <v>1896</v>
      </c>
      <c r="C807" s="56">
        <v>1896</v>
      </c>
      <c r="D807" s="56" t="s">
        <v>3025</v>
      </c>
      <c r="F807" s="56" t="s">
        <v>24</v>
      </c>
      <c r="G807" s="56">
        <v>1</v>
      </c>
      <c r="H807" s="56">
        <v>1</v>
      </c>
      <c r="I807" s="56">
        <v>2000</v>
      </c>
      <c r="J807" s="59" t="s">
        <v>1181</v>
      </c>
      <c r="K807" s="59">
        <v>1</v>
      </c>
      <c r="L807" s="59">
        <f t="shared" si="12"/>
        <v>2000</v>
      </c>
      <c r="M807" s="59"/>
    </row>
    <row r="808" spans="1:13" ht="30">
      <c r="A808" s="56">
        <v>1900</v>
      </c>
      <c r="B808" s="56">
        <v>1900</v>
      </c>
      <c r="C808" s="56">
        <v>1900</v>
      </c>
      <c r="D808" s="56" t="s">
        <v>3029</v>
      </c>
      <c r="F808" s="56" t="s">
        <v>24</v>
      </c>
      <c r="G808" s="56">
        <v>1</v>
      </c>
      <c r="H808" s="56">
        <v>1</v>
      </c>
      <c r="I808" s="56">
        <v>350</v>
      </c>
      <c r="J808" s="59" t="s">
        <v>1181</v>
      </c>
      <c r="K808" s="59">
        <v>1</v>
      </c>
      <c r="L808" s="59">
        <f t="shared" si="12"/>
        <v>350</v>
      </c>
      <c r="M808" s="59"/>
    </row>
    <row r="809" spans="1:13" ht="30">
      <c r="A809" s="56">
        <v>1901</v>
      </c>
      <c r="B809" s="56">
        <v>1901</v>
      </c>
      <c r="C809" s="56">
        <v>1901</v>
      </c>
      <c r="D809" s="56" t="s">
        <v>3030</v>
      </c>
      <c r="F809" s="56" t="s">
        <v>24</v>
      </c>
      <c r="G809" s="56">
        <v>1</v>
      </c>
      <c r="H809" s="56">
        <v>1</v>
      </c>
      <c r="I809" s="56">
        <v>4800</v>
      </c>
      <c r="J809" s="59" t="s">
        <v>1181</v>
      </c>
      <c r="K809" s="59">
        <v>1</v>
      </c>
      <c r="L809" s="59">
        <f t="shared" si="12"/>
        <v>4800</v>
      </c>
      <c r="M809" s="59"/>
    </row>
    <row r="810" spans="1:13" ht="30">
      <c r="A810" s="56">
        <v>1902</v>
      </c>
      <c r="B810" s="56">
        <v>1902</v>
      </c>
      <c r="C810" s="56">
        <v>1902</v>
      </c>
      <c r="D810" s="56" t="s">
        <v>3030</v>
      </c>
      <c r="F810" s="56" t="s">
        <v>24</v>
      </c>
      <c r="G810" s="56">
        <v>1</v>
      </c>
      <c r="H810" s="56">
        <v>1</v>
      </c>
      <c r="I810" s="56">
        <v>3500</v>
      </c>
      <c r="J810" s="59" t="s">
        <v>1181</v>
      </c>
      <c r="K810" s="59">
        <v>1</v>
      </c>
      <c r="L810" s="59">
        <f t="shared" si="12"/>
        <v>3500</v>
      </c>
      <c r="M810" s="59"/>
    </row>
    <row r="811" spans="1:13" ht="30">
      <c r="A811" s="56">
        <v>1903</v>
      </c>
      <c r="B811" s="56">
        <v>1903</v>
      </c>
      <c r="C811" s="56">
        <v>1903</v>
      </c>
      <c r="D811" s="56" t="s">
        <v>3030</v>
      </c>
      <c r="F811" s="56" t="s">
        <v>24</v>
      </c>
      <c r="G811" s="56">
        <v>1</v>
      </c>
      <c r="H811" s="56">
        <v>1</v>
      </c>
      <c r="I811" s="56">
        <v>2900</v>
      </c>
      <c r="J811" s="59" t="s">
        <v>1181</v>
      </c>
      <c r="K811" s="59">
        <v>1</v>
      </c>
      <c r="L811" s="59">
        <f t="shared" si="12"/>
        <v>2900</v>
      </c>
      <c r="M811" s="59"/>
    </row>
    <row r="812" spans="1:13" ht="30">
      <c r="A812" s="56">
        <v>1904</v>
      </c>
      <c r="B812" s="56">
        <v>1904</v>
      </c>
      <c r="C812" s="56">
        <v>1904</v>
      </c>
      <c r="D812" s="56" t="s">
        <v>3031</v>
      </c>
      <c r="F812" s="56" t="s">
        <v>24</v>
      </c>
      <c r="G812" s="56">
        <v>1</v>
      </c>
      <c r="H812" s="56">
        <v>1</v>
      </c>
      <c r="I812" s="56">
        <v>2300</v>
      </c>
      <c r="J812" s="59" t="s">
        <v>1181</v>
      </c>
      <c r="K812" s="59">
        <v>1</v>
      </c>
      <c r="L812" s="59">
        <f t="shared" si="12"/>
        <v>2300</v>
      </c>
      <c r="M812" s="59"/>
    </row>
    <row r="813" spans="1:13" ht="30">
      <c r="A813" s="56">
        <v>1905</v>
      </c>
      <c r="B813" s="56">
        <v>1905</v>
      </c>
      <c r="C813" s="56">
        <v>1905</v>
      </c>
      <c r="D813" s="56" t="s">
        <v>3032</v>
      </c>
      <c r="F813" s="56" t="s">
        <v>24</v>
      </c>
      <c r="G813" s="56">
        <v>1</v>
      </c>
      <c r="H813" s="56">
        <v>1</v>
      </c>
      <c r="I813" s="56">
        <v>1700</v>
      </c>
      <c r="J813" s="59" t="s">
        <v>1181</v>
      </c>
      <c r="K813" s="59">
        <v>1</v>
      </c>
      <c r="L813" s="59">
        <f t="shared" si="12"/>
        <v>1700</v>
      </c>
      <c r="M813" s="59"/>
    </row>
    <row r="814" spans="1:13" ht="30">
      <c r="A814" s="56">
        <v>1906</v>
      </c>
      <c r="B814" s="56">
        <v>1906</v>
      </c>
      <c r="C814" s="56">
        <v>1906</v>
      </c>
      <c r="D814" s="56" t="s">
        <v>3033</v>
      </c>
      <c r="F814" s="56" t="s">
        <v>24</v>
      </c>
      <c r="G814" s="56">
        <v>1</v>
      </c>
      <c r="H814" s="56">
        <v>1</v>
      </c>
      <c r="I814" s="56">
        <v>2300</v>
      </c>
      <c r="J814" s="59" t="s">
        <v>1181</v>
      </c>
      <c r="K814" s="59">
        <v>1</v>
      </c>
      <c r="L814" s="59">
        <f t="shared" si="12"/>
        <v>2300</v>
      </c>
      <c r="M814" s="59"/>
    </row>
    <row r="815" spans="1:13" ht="30">
      <c r="A815" s="56">
        <v>1907</v>
      </c>
      <c r="B815" s="56">
        <v>1907</v>
      </c>
      <c r="C815" s="56">
        <v>1907</v>
      </c>
      <c r="D815" s="56" t="s">
        <v>3034</v>
      </c>
      <c r="F815" s="56" t="s">
        <v>24</v>
      </c>
      <c r="G815" s="56">
        <v>1</v>
      </c>
      <c r="H815" s="56">
        <v>1</v>
      </c>
      <c r="I815" s="56">
        <v>2300</v>
      </c>
      <c r="J815" s="59" t="s">
        <v>1181</v>
      </c>
      <c r="K815" s="59">
        <v>1</v>
      </c>
      <c r="L815" s="59">
        <f t="shared" si="12"/>
        <v>2300</v>
      </c>
      <c r="M815" s="59"/>
    </row>
    <row r="816" spans="1:13" ht="30">
      <c r="A816" s="56">
        <v>1908</v>
      </c>
      <c r="B816" s="56">
        <v>1908</v>
      </c>
      <c r="C816" s="56">
        <v>1908</v>
      </c>
      <c r="D816" s="56" t="s">
        <v>3035</v>
      </c>
      <c r="F816" s="56" t="s">
        <v>24</v>
      </c>
      <c r="G816" s="56">
        <v>1</v>
      </c>
      <c r="H816" s="56">
        <v>1</v>
      </c>
      <c r="I816" s="56">
        <v>2300</v>
      </c>
      <c r="J816" s="59" t="s">
        <v>1181</v>
      </c>
      <c r="K816" s="59">
        <v>1</v>
      </c>
      <c r="L816" s="59">
        <f t="shared" si="12"/>
        <v>2300</v>
      </c>
      <c r="M816" s="59"/>
    </row>
    <row r="817" spans="1:13" ht="30">
      <c r="A817" s="56">
        <v>1909</v>
      </c>
      <c r="B817" s="56">
        <v>1909</v>
      </c>
      <c r="C817" s="56">
        <v>1909</v>
      </c>
      <c r="D817" s="56" t="s">
        <v>3036</v>
      </c>
      <c r="F817" s="56" t="s">
        <v>24</v>
      </c>
      <c r="G817" s="56">
        <v>1</v>
      </c>
      <c r="H817" s="56">
        <v>1</v>
      </c>
      <c r="I817" s="56">
        <v>2000</v>
      </c>
      <c r="J817" s="59" t="s">
        <v>1181</v>
      </c>
      <c r="K817" s="59">
        <v>1</v>
      </c>
      <c r="L817" s="59">
        <f t="shared" si="12"/>
        <v>2000</v>
      </c>
      <c r="M817" s="59"/>
    </row>
    <row r="818" spans="1:13" ht="30">
      <c r="A818" s="56">
        <v>1910</v>
      </c>
      <c r="B818" s="56">
        <v>1910</v>
      </c>
      <c r="C818" s="56">
        <v>1910</v>
      </c>
      <c r="D818" s="56" t="s">
        <v>3037</v>
      </c>
      <c r="F818" s="56" t="s">
        <v>24</v>
      </c>
      <c r="G818" s="56">
        <v>1</v>
      </c>
      <c r="H818" s="56">
        <v>1</v>
      </c>
      <c r="I818" s="56">
        <v>3500</v>
      </c>
      <c r="J818" s="59" t="s">
        <v>1181</v>
      </c>
      <c r="K818" s="59">
        <v>1</v>
      </c>
      <c r="L818" s="59">
        <f t="shared" si="12"/>
        <v>3500</v>
      </c>
      <c r="M818" s="59"/>
    </row>
    <row r="819" spans="1:13" ht="30">
      <c r="A819" s="56">
        <v>1911</v>
      </c>
      <c r="B819" s="56">
        <v>1911</v>
      </c>
      <c r="C819" s="56">
        <v>1911</v>
      </c>
      <c r="D819" s="56" t="s">
        <v>3038</v>
      </c>
      <c r="F819" s="56" t="s">
        <v>24</v>
      </c>
      <c r="G819" s="56">
        <v>1</v>
      </c>
      <c r="H819" s="56">
        <v>1</v>
      </c>
      <c r="I819" s="56">
        <v>3700</v>
      </c>
      <c r="J819" s="59" t="s">
        <v>1181</v>
      </c>
      <c r="K819" s="59">
        <v>1</v>
      </c>
      <c r="L819" s="59">
        <f t="shared" si="12"/>
        <v>3700</v>
      </c>
      <c r="M819" s="59"/>
    </row>
    <row r="820" spans="1:13" ht="30">
      <c r="A820" s="56">
        <v>1912</v>
      </c>
      <c r="B820" s="56">
        <v>1912</v>
      </c>
      <c r="C820" s="56">
        <v>1912</v>
      </c>
      <c r="D820" s="56" t="s">
        <v>3039</v>
      </c>
      <c r="F820" s="56" t="s">
        <v>24</v>
      </c>
      <c r="G820" s="56">
        <v>1</v>
      </c>
      <c r="H820" s="56">
        <v>1</v>
      </c>
      <c r="I820" s="56">
        <v>3200</v>
      </c>
      <c r="J820" s="59" t="s">
        <v>1181</v>
      </c>
      <c r="K820" s="59">
        <v>1</v>
      </c>
      <c r="L820" s="59">
        <f t="shared" si="12"/>
        <v>3200</v>
      </c>
      <c r="M820" s="59"/>
    </row>
    <row r="821" spans="1:13" ht="30">
      <c r="A821" s="56">
        <v>1914</v>
      </c>
      <c r="B821" s="56">
        <v>1914</v>
      </c>
      <c r="C821" s="56">
        <v>1914</v>
      </c>
      <c r="D821" s="56" t="s">
        <v>3041</v>
      </c>
      <c r="F821" s="56" t="s">
        <v>24</v>
      </c>
      <c r="G821" s="56">
        <v>1</v>
      </c>
      <c r="H821" s="56">
        <v>1</v>
      </c>
      <c r="I821" s="56">
        <v>3600</v>
      </c>
      <c r="J821" s="59" t="s">
        <v>1181</v>
      </c>
      <c r="K821" s="59">
        <v>1</v>
      </c>
      <c r="L821" s="59">
        <f t="shared" si="12"/>
        <v>3600</v>
      </c>
      <c r="M821" s="59"/>
    </row>
    <row r="822" spans="1:13" ht="30">
      <c r="A822" s="56">
        <v>1915</v>
      </c>
      <c r="B822" s="56">
        <v>1915</v>
      </c>
      <c r="C822" s="56">
        <v>1915</v>
      </c>
      <c r="D822" s="56" t="s">
        <v>3042</v>
      </c>
      <c r="F822" s="56" t="s">
        <v>24</v>
      </c>
      <c r="G822" s="56">
        <v>1</v>
      </c>
      <c r="H822" s="56">
        <v>1</v>
      </c>
      <c r="I822" s="56">
        <v>4000</v>
      </c>
      <c r="J822" s="59" t="s">
        <v>1181</v>
      </c>
      <c r="K822" s="59">
        <v>1</v>
      </c>
      <c r="L822" s="59">
        <f t="shared" si="12"/>
        <v>4000</v>
      </c>
      <c r="M822" s="59"/>
    </row>
    <row r="823" spans="1:13" ht="30">
      <c r="A823" s="56">
        <v>1916</v>
      </c>
      <c r="B823" s="56">
        <v>1916</v>
      </c>
      <c r="C823" s="56">
        <v>1916</v>
      </c>
      <c r="D823" s="56" t="s">
        <v>3043</v>
      </c>
      <c r="F823" s="56" t="s">
        <v>24</v>
      </c>
      <c r="G823" s="56">
        <v>1</v>
      </c>
      <c r="H823" s="56">
        <v>1</v>
      </c>
      <c r="I823" s="56">
        <v>3400</v>
      </c>
      <c r="J823" s="59" t="s">
        <v>1181</v>
      </c>
      <c r="K823" s="59">
        <v>1</v>
      </c>
      <c r="L823" s="59">
        <f t="shared" si="12"/>
        <v>3400</v>
      </c>
      <c r="M823" s="59"/>
    </row>
    <row r="824" spans="1:13" ht="30">
      <c r="A824" s="56">
        <v>1917</v>
      </c>
      <c r="B824" s="56">
        <v>1917</v>
      </c>
      <c r="C824" s="56">
        <v>1917</v>
      </c>
      <c r="D824" s="56" t="s">
        <v>3044</v>
      </c>
      <c r="F824" s="56" t="s">
        <v>24</v>
      </c>
      <c r="G824" s="56">
        <v>1</v>
      </c>
      <c r="H824" s="56">
        <v>1</v>
      </c>
      <c r="I824" s="56">
        <v>3400</v>
      </c>
      <c r="J824" s="59" t="s">
        <v>1181</v>
      </c>
      <c r="K824" s="59">
        <v>1</v>
      </c>
      <c r="L824" s="59">
        <f t="shared" si="12"/>
        <v>3400</v>
      </c>
      <c r="M824" s="59"/>
    </row>
    <row r="825" spans="1:13" ht="30">
      <c r="A825" s="56">
        <v>1918</v>
      </c>
      <c r="B825" s="56">
        <v>1918</v>
      </c>
      <c r="C825" s="56">
        <v>1918</v>
      </c>
      <c r="D825" s="56" t="s">
        <v>3045</v>
      </c>
      <c r="F825" s="56" t="s">
        <v>24</v>
      </c>
      <c r="G825" s="56">
        <v>1</v>
      </c>
      <c r="H825" s="56">
        <v>1</v>
      </c>
      <c r="I825" s="56">
        <v>3400</v>
      </c>
      <c r="J825" s="59" t="s">
        <v>1181</v>
      </c>
      <c r="K825" s="59">
        <v>1</v>
      </c>
      <c r="L825" s="59">
        <f t="shared" si="12"/>
        <v>3400</v>
      </c>
      <c r="M825" s="59"/>
    </row>
    <row r="826" spans="1:13" ht="30">
      <c r="A826" s="56">
        <v>1919</v>
      </c>
      <c r="B826" s="56">
        <v>1919</v>
      </c>
      <c r="C826" s="56">
        <v>1919</v>
      </c>
      <c r="D826" s="56" t="s">
        <v>3046</v>
      </c>
      <c r="F826" s="56" t="s">
        <v>24</v>
      </c>
      <c r="G826" s="56">
        <v>1</v>
      </c>
      <c r="H826" s="56">
        <v>1</v>
      </c>
      <c r="I826" s="56">
        <v>2500</v>
      </c>
      <c r="J826" s="59" t="s">
        <v>1181</v>
      </c>
      <c r="K826" s="59">
        <v>1</v>
      </c>
      <c r="L826" s="59">
        <f t="shared" si="12"/>
        <v>2500</v>
      </c>
      <c r="M826" s="59"/>
    </row>
    <row r="827" spans="1:13" ht="30">
      <c r="A827" s="56">
        <v>1920</v>
      </c>
      <c r="B827" s="56">
        <v>1920</v>
      </c>
      <c r="C827" s="56">
        <v>1920</v>
      </c>
      <c r="D827" s="56" t="s">
        <v>3047</v>
      </c>
      <c r="F827" s="56" t="s">
        <v>24</v>
      </c>
      <c r="G827" s="56">
        <v>1</v>
      </c>
      <c r="H827" s="56">
        <v>1</v>
      </c>
      <c r="I827" s="56">
        <v>3000</v>
      </c>
      <c r="J827" s="59" t="s">
        <v>1181</v>
      </c>
      <c r="K827" s="59">
        <v>1</v>
      </c>
      <c r="L827" s="59">
        <f t="shared" si="12"/>
        <v>3000</v>
      </c>
      <c r="M827" s="59"/>
    </row>
    <row r="828" spans="1:13" ht="30">
      <c r="A828" s="56">
        <v>1921</v>
      </c>
      <c r="B828" s="56">
        <v>1921</v>
      </c>
      <c r="C828" s="56">
        <v>1921</v>
      </c>
      <c r="D828" s="56" t="s">
        <v>3048</v>
      </c>
      <c r="F828" s="56" t="s">
        <v>24</v>
      </c>
      <c r="G828" s="56">
        <v>1</v>
      </c>
      <c r="H828" s="56">
        <v>1</v>
      </c>
      <c r="I828" s="56">
        <v>3200</v>
      </c>
      <c r="J828" s="59" t="s">
        <v>1181</v>
      </c>
      <c r="K828" s="59">
        <v>1</v>
      </c>
      <c r="L828" s="59">
        <f t="shared" si="12"/>
        <v>3200</v>
      </c>
      <c r="M828" s="59"/>
    </row>
    <row r="829" spans="1:13" ht="30">
      <c r="A829" s="56">
        <v>1922</v>
      </c>
      <c r="B829" s="56">
        <v>1922</v>
      </c>
      <c r="C829" s="56">
        <v>1922</v>
      </c>
      <c r="D829" s="56" t="s">
        <v>3049</v>
      </c>
      <c r="F829" s="56" t="s">
        <v>24</v>
      </c>
      <c r="G829" s="56">
        <v>1</v>
      </c>
      <c r="H829" s="56">
        <v>1</v>
      </c>
      <c r="I829" s="56">
        <v>2800</v>
      </c>
      <c r="J829" s="59" t="s">
        <v>1181</v>
      </c>
      <c r="K829" s="59">
        <v>1</v>
      </c>
      <c r="L829" s="59">
        <f t="shared" si="12"/>
        <v>2800</v>
      </c>
      <c r="M829" s="59"/>
    </row>
    <row r="830" spans="1:13" ht="30">
      <c r="A830" s="56">
        <v>1923</v>
      </c>
      <c r="B830" s="56">
        <v>1923</v>
      </c>
      <c r="C830" s="56">
        <v>1923</v>
      </c>
      <c r="D830" s="56" t="s">
        <v>3050</v>
      </c>
      <c r="F830" s="56" t="s">
        <v>24</v>
      </c>
      <c r="G830" s="56">
        <v>1</v>
      </c>
      <c r="H830" s="56">
        <v>1</v>
      </c>
      <c r="I830" s="56">
        <v>2400</v>
      </c>
      <c r="J830" s="59" t="s">
        <v>1181</v>
      </c>
      <c r="K830" s="59">
        <v>1</v>
      </c>
      <c r="L830" s="59">
        <f t="shared" si="12"/>
        <v>2400</v>
      </c>
      <c r="M830" s="59"/>
    </row>
    <row r="831" spans="1:13" ht="30">
      <c r="A831" s="56">
        <v>1924</v>
      </c>
      <c r="B831" s="56">
        <v>1924</v>
      </c>
      <c r="C831" s="56">
        <v>1924</v>
      </c>
      <c r="D831" s="56" t="s">
        <v>3051</v>
      </c>
      <c r="F831" s="56" t="s">
        <v>24</v>
      </c>
      <c r="G831" s="56">
        <v>1</v>
      </c>
      <c r="H831" s="56">
        <v>1</v>
      </c>
      <c r="I831" s="56">
        <v>2600</v>
      </c>
      <c r="J831" s="59" t="s">
        <v>1181</v>
      </c>
      <c r="K831" s="59">
        <v>1</v>
      </c>
      <c r="L831" s="59">
        <f t="shared" si="12"/>
        <v>2600</v>
      </c>
      <c r="M831" s="59"/>
    </row>
    <row r="832" spans="1:13" ht="30">
      <c r="A832" s="56">
        <v>1925</v>
      </c>
      <c r="B832" s="56">
        <v>1925</v>
      </c>
      <c r="C832" s="56">
        <v>1925</v>
      </c>
      <c r="D832" s="56" t="s">
        <v>3052</v>
      </c>
      <c r="F832" s="56" t="s">
        <v>24</v>
      </c>
      <c r="G832" s="56">
        <v>1</v>
      </c>
      <c r="H832" s="56">
        <v>1</v>
      </c>
      <c r="I832" s="56">
        <v>2850</v>
      </c>
      <c r="J832" s="59" t="s">
        <v>1181</v>
      </c>
      <c r="K832" s="59">
        <v>1</v>
      </c>
      <c r="L832" s="59">
        <f t="shared" si="12"/>
        <v>2850</v>
      </c>
      <c r="M832" s="59"/>
    </row>
    <row r="833" spans="1:13" ht="30">
      <c r="A833" s="56">
        <v>1926</v>
      </c>
      <c r="B833" s="56">
        <v>1926</v>
      </c>
      <c r="C833" s="56">
        <v>1926</v>
      </c>
      <c r="D833" s="56" t="s">
        <v>3053</v>
      </c>
      <c r="F833" s="56" t="s">
        <v>24</v>
      </c>
      <c r="G833" s="56">
        <v>1</v>
      </c>
      <c r="H833" s="56">
        <v>1</v>
      </c>
      <c r="I833" s="56">
        <v>3200</v>
      </c>
      <c r="J833" s="59" t="s">
        <v>1181</v>
      </c>
      <c r="K833" s="59">
        <v>1</v>
      </c>
      <c r="L833" s="59">
        <f t="shared" si="12"/>
        <v>3200</v>
      </c>
      <c r="M833" s="59"/>
    </row>
    <row r="834" spans="1:13" ht="30">
      <c r="A834" s="56">
        <v>1928</v>
      </c>
      <c r="B834" s="56">
        <v>1928</v>
      </c>
      <c r="C834" s="56">
        <v>1928</v>
      </c>
      <c r="D834" s="56" t="s">
        <v>3055</v>
      </c>
      <c r="F834" s="56" t="s">
        <v>24</v>
      </c>
      <c r="G834" s="56">
        <v>1</v>
      </c>
      <c r="H834" s="56">
        <v>1</v>
      </c>
      <c r="I834" s="56">
        <v>800</v>
      </c>
      <c r="J834" s="59" t="s">
        <v>1181</v>
      </c>
      <c r="K834" s="59">
        <v>1</v>
      </c>
      <c r="L834" s="59">
        <f t="shared" ref="L834:L897" si="13">H834*I834</f>
        <v>800</v>
      </c>
      <c r="M834" s="59"/>
    </row>
    <row r="835" spans="1:13" ht="30">
      <c r="A835" s="56">
        <v>1929</v>
      </c>
      <c r="B835" s="56">
        <v>1929</v>
      </c>
      <c r="C835" s="56">
        <v>1929</v>
      </c>
      <c r="D835" s="56" t="s">
        <v>3056</v>
      </c>
      <c r="F835" s="56" t="s">
        <v>24</v>
      </c>
      <c r="G835" s="56">
        <v>1</v>
      </c>
      <c r="H835" s="56">
        <v>1</v>
      </c>
      <c r="I835" s="56">
        <v>800</v>
      </c>
      <c r="J835" s="59" t="s">
        <v>1181</v>
      </c>
      <c r="K835" s="59">
        <v>1</v>
      </c>
      <c r="L835" s="59">
        <f t="shared" si="13"/>
        <v>800</v>
      </c>
      <c r="M835" s="59"/>
    </row>
    <row r="836" spans="1:13" ht="30">
      <c r="A836" s="56">
        <v>1930</v>
      </c>
      <c r="B836" s="56">
        <v>1930</v>
      </c>
      <c r="C836" s="56">
        <v>1930</v>
      </c>
      <c r="D836" s="56" t="s">
        <v>3057</v>
      </c>
      <c r="F836" s="56" t="s">
        <v>24</v>
      </c>
      <c r="G836" s="56">
        <v>1</v>
      </c>
      <c r="H836" s="56">
        <v>1</v>
      </c>
      <c r="I836" s="56">
        <v>900</v>
      </c>
      <c r="J836" s="59" t="s">
        <v>1181</v>
      </c>
      <c r="K836" s="59">
        <v>1</v>
      </c>
      <c r="L836" s="59">
        <f t="shared" si="13"/>
        <v>900</v>
      </c>
      <c r="M836" s="59"/>
    </row>
    <row r="837" spans="1:13" ht="30">
      <c r="A837" s="56">
        <v>1931</v>
      </c>
      <c r="B837" s="56">
        <v>1931</v>
      </c>
      <c r="C837" s="56">
        <v>1931</v>
      </c>
      <c r="D837" s="56" t="s">
        <v>3058</v>
      </c>
      <c r="F837" s="56" t="s">
        <v>24</v>
      </c>
      <c r="G837" s="56">
        <v>1</v>
      </c>
      <c r="H837" s="56">
        <v>1</v>
      </c>
      <c r="I837" s="56">
        <v>1300</v>
      </c>
      <c r="J837" s="59" t="s">
        <v>1181</v>
      </c>
      <c r="K837" s="59">
        <v>1</v>
      </c>
      <c r="L837" s="59">
        <f t="shared" si="13"/>
        <v>1300</v>
      </c>
      <c r="M837" s="59"/>
    </row>
    <row r="838" spans="1:13" ht="30">
      <c r="A838" s="56">
        <v>1933</v>
      </c>
      <c r="B838" s="56">
        <v>1933</v>
      </c>
      <c r="C838" s="56">
        <v>1933</v>
      </c>
      <c r="D838" s="56" t="s">
        <v>3060</v>
      </c>
      <c r="F838" s="56" t="s">
        <v>24</v>
      </c>
      <c r="G838" s="56">
        <v>1</v>
      </c>
      <c r="H838" s="56">
        <v>1</v>
      </c>
      <c r="I838" s="56">
        <v>2700</v>
      </c>
      <c r="J838" s="59" t="s">
        <v>1181</v>
      </c>
      <c r="K838" s="59">
        <v>1</v>
      </c>
      <c r="L838" s="59">
        <f t="shared" si="13"/>
        <v>2700</v>
      </c>
      <c r="M838" s="59"/>
    </row>
    <row r="839" spans="1:13" ht="30">
      <c r="A839" s="56">
        <v>1934</v>
      </c>
      <c r="B839" s="56">
        <v>1934</v>
      </c>
      <c r="C839" s="56">
        <v>1934</v>
      </c>
      <c r="D839" s="56" t="s">
        <v>3061</v>
      </c>
      <c r="F839" s="56" t="s">
        <v>24</v>
      </c>
      <c r="G839" s="56">
        <v>1</v>
      </c>
      <c r="H839" s="56">
        <v>1</v>
      </c>
      <c r="I839" s="56">
        <v>2700</v>
      </c>
      <c r="J839" s="59" t="s">
        <v>1181</v>
      </c>
      <c r="K839" s="59">
        <v>1</v>
      </c>
      <c r="L839" s="59">
        <f t="shared" si="13"/>
        <v>2700</v>
      </c>
      <c r="M839" s="59"/>
    </row>
    <row r="840" spans="1:13" ht="30">
      <c r="A840" s="56">
        <v>1935</v>
      </c>
      <c r="B840" s="56">
        <v>1935</v>
      </c>
      <c r="C840" s="56">
        <v>1935</v>
      </c>
      <c r="D840" s="56" t="s">
        <v>3062</v>
      </c>
      <c r="F840" s="56" t="s">
        <v>24</v>
      </c>
      <c r="G840" s="56">
        <v>1</v>
      </c>
      <c r="H840" s="56">
        <v>1</v>
      </c>
      <c r="I840" s="56">
        <v>2800</v>
      </c>
      <c r="J840" s="59" t="s">
        <v>1181</v>
      </c>
      <c r="K840" s="59">
        <v>1</v>
      </c>
      <c r="L840" s="59">
        <f t="shared" si="13"/>
        <v>2800</v>
      </c>
      <c r="M840" s="59"/>
    </row>
    <row r="841" spans="1:13" ht="30">
      <c r="A841" s="56">
        <v>1936</v>
      </c>
      <c r="B841" s="56">
        <v>1936</v>
      </c>
      <c r="C841" s="56">
        <v>1936</v>
      </c>
      <c r="D841" s="56" t="s">
        <v>3063</v>
      </c>
      <c r="F841" s="56" t="s">
        <v>24</v>
      </c>
      <c r="G841" s="56">
        <v>1</v>
      </c>
      <c r="H841" s="56">
        <v>1</v>
      </c>
      <c r="I841" s="56">
        <v>2700</v>
      </c>
      <c r="J841" s="59" t="s">
        <v>1181</v>
      </c>
      <c r="K841" s="59">
        <v>1</v>
      </c>
      <c r="L841" s="59">
        <f t="shared" si="13"/>
        <v>2700</v>
      </c>
      <c r="M841" s="59"/>
    </row>
    <row r="842" spans="1:13" ht="30">
      <c r="A842" s="56">
        <v>1937</v>
      </c>
      <c r="B842" s="56">
        <v>1937</v>
      </c>
      <c r="C842" s="56">
        <v>1937</v>
      </c>
      <c r="D842" s="56" t="s">
        <v>3064</v>
      </c>
      <c r="F842" s="56" t="s">
        <v>24</v>
      </c>
      <c r="G842" s="56">
        <v>1</v>
      </c>
      <c r="H842" s="56">
        <v>1</v>
      </c>
      <c r="I842" s="56">
        <v>1800</v>
      </c>
      <c r="J842" s="59" t="s">
        <v>1181</v>
      </c>
      <c r="K842" s="59">
        <v>1</v>
      </c>
      <c r="L842" s="59">
        <f t="shared" si="13"/>
        <v>1800</v>
      </c>
      <c r="M842" s="59"/>
    </row>
    <row r="843" spans="1:13" ht="30">
      <c r="A843" s="56">
        <v>1938</v>
      </c>
      <c r="B843" s="56">
        <v>1938</v>
      </c>
      <c r="C843" s="56">
        <v>1938</v>
      </c>
      <c r="D843" s="56" t="s">
        <v>3065</v>
      </c>
      <c r="F843" s="56" t="s">
        <v>24</v>
      </c>
      <c r="G843" s="56">
        <v>1</v>
      </c>
      <c r="H843" s="56">
        <v>1</v>
      </c>
      <c r="I843" s="56">
        <v>1500</v>
      </c>
      <c r="J843" s="59" t="s">
        <v>1181</v>
      </c>
      <c r="K843" s="59">
        <v>1</v>
      </c>
      <c r="L843" s="59">
        <f t="shared" si="13"/>
        <v>1500</v>
      </c>
      <c r="M843" s="59"/>
    </row>
    <row r="844" spans="1:13" ht="30">
      <c r="A844" s="56">
        <v>1940</v>
      </c>
      <c r="B844" s="56">
        <v>1940</v>
      </c>
      <c r="C844" s="56">
        <v>1940</v>
      </c>
      <c r="D844" s="56" t="s">
        <v>3067</v>
      </c>
      <c r="F844" s="56" t="s">
        <v>24</v>
      </c>
      <c r="G844" s="56">
        <v>1</v>
      </c>
      <c r="H844" s="56">
        <v>1</v>
      </c>
      <c r="I844" s="56">
        <v>1500</v>
      </c>
      <c r="J844" s="59" t="s">
        <v>1181</v>
      </c>
      <c r="K844" s="59">
        <v>1</v>
      </c>
      <c r="L844" s="59">
        <f t="shared" si="13"/>
        <v>1500</v>
      </c>
      <c r="M844" s="59"/>
    </row>
    <row r="845" spans="1:13" ht="30">
      <c r="A845" s="56">
        <v>1942</v>
      </c>
      <c r="B845" s="56">
        <v>1942</v>
      </c>
      <c r="C845" s="56">
        <v>1942</v>
      </c>
      <c r="D845" s="56" t="s">
        <v>3069</v>
      </c>
      <c r="F845" s="56" t="s">
        <v>24</v>
      </c>
      <c r="G845" s="56">
        <v>1</v>
      </c>
      <c r="H845" s="56">
        <v>1</v>
      </c>
      <c r="I845" s="56">
        <v>1500</v>
      </c>
      <c r="J845" s="59" t="s">
        <v>1181</v>
      </c>
      <c r="K845" s="59">
        <v>1</v>
      </c>
      <c r="L845" s="59">
        <f t="shared" si="13"/>
        <v>1500</v>
      </c>
      <c r="M845" s="59"/>
    </row>
    <row r="846" spans="1:13" ht="30">
      <c r="A846" s="56">
        <v>1165</v>
      </c>
      <c r="B846" s="56">
        <v>1165</v>
      </c>
      <c r="C846" s="56">
        <v>1165</v>
      </c>
      <c r="D846" s="56" t="s">
        <v>1193</v>
      </c>
      <c r="F846" s="58" t="s">
        <v>1180</v>
      </c>
      <c r="G846" s="58">
        <v>100</v>
      </c>
      <c r="H846" s="56">
        <v>2</v>
      </c>
      <c r="I846" s="56">
        <v>1800</v>
      </c>
      <c r="J846" s="59" t="s">
        <v>1181</v>
      </c>
      <c r="K846" s="59">
        <v>1</v>
      </c>
      <c r="L846" s="59">
        <f t="shared" si="13"/>
        <v>3600</v>
      </c>
      <c r="M846" s="59"/>
    </row>
    <row r="847" spans="1:13" ht="30">
      <c r="A847" s="56">
        <v>1250</v>
      </c>
      <c r="B847" s="56">
        <v>1250</v>
      </c>
      <c r="C847" s="56">
        <v>1250</v>
      </c>
      <c r="D847" s="56" t="s">
        <v>1199</v>
      </c>
      <c r="F847" s="58" t="s">
        <v>1180</v>
      </c>
      <c r="G847" s="58">
        <v>100</v>
      </c>
      <c r="H847" s="56">
        <v>2</v>
      </c>
      <c r="I847" s="56">
        <v>1500</v>
      </c>
      <c r="J847" s="59" t="s">
        <v>1181</v>
      </c>
      <c r="K847" s="59">
        <v>1</v>
      </c>
      <c r="L847" s="59">
        <f t="shared" si="13"/>
        <v>3000</v>
      </c>
      <c r="M847" s="59"/>
    </row>
    <row r="848" spans="1:13" ht="30">
      <c r="A848" s="56">
        <v>1369</v>
      </c>
      <c r="B848" s="56">
        <v>1369</v>
      </c>
      <c r="C848" s="56">
        <v>1369</v>
      </c>
      <c r="D848" s="56" t="s">
        <v>1203</v>
      </c>
      <c r="F848" s="58" t="s">
        <v>1180</v>
      </c>
      <c r="G848" s="58">
        <v>100</v>
      </c>
      <c r="H848" s="56">
        <v>2</v>
      </c>
      <c r="I848" s="56">
        <v>1500</v>
      </c>
      <c r="J848" s="59" t="s">
        <v>1181</v>
      </c>
      <c r="K848" s="59">
        <v>1</v>
      </c>
      <c r="L848" s="59">
        <f t="shared" si="13"/>
        <v>3000</v>
      </c>
      <c r="M848" s="59"/>
    </row>
    <row r="849" spans="1:13" ht="30">
      <c r="A849" s="56">
        <v>1429</v>
      </c>
      <c r="B849" s="56">
        <v>1429</v>
      </c>
      <c r="C849" s="56">
        <v>1429</v>
      </c>
      <c r="D849" s="56" t="s">
        <v>1209</v>
      </c>
      <c r="F849" s="58" t="s">
        <v>1185</v>
      </c>
      <c r="G849" s="58">
        <v>100</v>
      </c>
      <c r="H849" s="56">
        <v>2</v>
      </c>
      <c r="I849" s="56">
        <v>4500</v>
      </c>
      <c r="J849" s="59" t="s">
        <v>1181</v>
      </c>
      <c r="K849" s="59">
        <v>1</v>
      </c>
      <c r="L849" s="59">
        <f t="shared" si="13"/>
        <v>9000</v>
      </c>
      <c r="M849" s="59"/>
    </row>
    <row r="850" spans="1:13" ht="30">
      <c r="A850" s="56">
        <v>1441</v>
      </c>
      <c r="B850" s="56">
        <v>1441</v>
      </c>
      <c r="C850" s="56">
        <v>1441</v>
      </c>
      <c r="D850" s="56" t="s">
        <v>1213</v>
      </c>
      <c r="F850" s="58" t="s">
        <v>1180</v>
      </c>
      <c r="G850" s="58">
        <v>100</v>
      </c>
      <c r="H850" s="56">
        <v>2</v>
      </c>
      <c r="I850" s="56">
        <v>1650</v>
      </c>
      <c r="J850" s="59" t="s">
        <v>1181</v>
      </c>
      <c r="K850" s="59">
        <v>1</v>
      </c>
      <c r="L850" s="59">
        <f t="shared" si="13"/>
        <v>3300</v>
      </c>
      <c r="M850" s="59"/>
    </row>
    <row r="851" spans="1:13" ht="30">
      <c r="A851" s="56">
        <v>1444</v>
      </c>
      <c r="B851" s="56">
        <v>1444</v>
      </c>
      <c r="C851" s="56">
        <v>1444</v>
      </c>
      <c r="D851" s="56" t="s">
        <v>1214</v>
      </c>
      <c r="F851" s="58" t="s">
        <v>1180</v>
      </c>
      <c r="G851" s="58">
        <v>100</v>
      </c>
      <c r="H851" s="56">
        <v>2</v>
      </c>
      <c r="I851" s="56">
        <v>3400</v>
      </c>
      <c r="J851" s="59" t="s">
        <v>1181</v>
      </c>
      <c r="K851" s="59">
        <v>1</v>
      </c>
      <c r="L851" s="59">
        <f t="shared" si="13"/>
        <v>6800</v>
      </c>
      <c r="M851" s="59"/>
    </row>
    <row r="852" spans="1:13" ht="30">
      <c r="A852" s="56">
        <v>1748</v>
      </c>
      <c r="B852" s="56">
        <v>1748</v>
      </c>
      <c r="C852" s="56">
        <v>1748</v>
      </c>
      <c r="D852" s="56" t="s">
        <v>1220</v>
      </c>
      <c r="F852" s="58" t="s">
        <v>1180</v>
      </c>
      <c r="G852" s="58">
        <v>100</v>
      </c>
      <c r="H852" s="56">
        <v>2</v>
      </c>
      <c r="I852" s="56">
        <v>1500</v>
      </c>
      <c r="J852" s="59" t="s">
        <v>1181</v>
      </c>
      <c r="K852" s="59">
        <v>1</v>
      </c>
      <c r="L852" s="59">
        <f t="shared" si="13"/>
        <v>3000</v>
      </c>
      <c r="M852" s="59"/>
    </row>
    <row r="853" spans="1:13" ht="30">
      <c r="A853" s="56">
        <v>581</v>
      </c>
      <c r="B853" s="56">
        <v>581</v>
      </c>
      <c r="C853" s="56">
        <v>581</v>
      </c>
      <c r="D853" s="56" t="s">
        <v>1221</v>
      </c>
      <c r="F853" s="58" t="s">
        <v>1222</v>
      </c>
      <c r="G853" s="58">
        <v>50</v>
      </c>
      <c r="H853" s="56">
        <v>2</v>
      </c>
      <c r="I853" s="56">
        <v>1400</v>
      </c>
      <c r="J853" s="59" t="s">
        <v>1181</v>
      </c>
      <c r="K853" s="59">
        <v>1</v>
      </c>
      <c r="L853" s="59">
        <f t="shared" si="13"/>
        <v>2800</v>
      </c>
      <c r="M853" s="59"/>
    </row>
    <row r="854" spans="1:13" ht="30">
      <c r="A854" s="56">
        <v>1439</v>
      </c>
      <c r="B854" s="56">
        <v>1439</v>
      </c>
      <c r="C854" s="56">
        <v>1439</v>
      </c>
      <c r="D854" s="56" t="s">
        <v>1236</v>
      </c>
      <c r="F854" s="58" t="s">
        <v>1180</v>
      </c>
      <c r="G854" s="58">
        <v>50</v>
      </c>
      <c r="H854" s="56">
        <v>2</v>
      </c>
      <c r="I854" s="56">
        <v>476</v>
      </c>
      <c r="J854" s="59" t="s">
        <v>1181</v>
      </c>
      <c r="K854" s="59">
        <v>1</v>
      </c>
      <c r="L854" s="59">
        <f t="shared" si="13"/>
        <v>952</v>
      </c>
      <c r="M854" s="59"/>
    </row>
    <row r="855" spans="1:13" ht="30">
      <c r="A855" s="56">
        <v>1663</v>
      </c>
      <c r="B855" s="56">
        <v>1663</v>
      </c>
      <c r="C855" s="56">
        <v>1663</v>
      </c>
      <c r="D855" s="56" t="s">
        <v>1239</v>
      </c>
      <c r="F855" s="58" t="s">
        <v>1185</v>
      </c>
      <c r="G855" s="58">
        <v>50</v>
      </c>
      <c r="H855" s="56">
        <v>2</v>
      </c>
      <c r="I855" s="56">
        <v>2880</v>
      </c>
      <c r="J855" s="59" t="s">
        <v>1181</v>
      </c>
      <c r="K855" s="59">
        <v>1</v>
      </c>
      <c r="L855" s="59">
        <f t="shared" si="13"/>
        <v>5760</v>
      </c>
      <c r="M855" s="59"/>
    </row>
    <row r="856" spans="1:13" ht="30">
      <c r="A856" s="56">
        <v>598</v>
      </c>
      <c r="B856" s="56">
        <v>598</v>
      </c>
      <c r="C856" s="56">
        <v>598</v>
      </c>
      <c r="D856" s="56" t="s">
        <v>1250</v>
      </c>
      <c r="F856" s="58" t="s">
        <v>1183</v>
      </c>
      <c r="G856" s="58">
        <v>24</v>
      </c>
      <c r="H856" s="56">
        <v>2</v>
      </c>
      <c r="I856" s="56">
        <v>4800</v>
      </c>
      <c r="J856" s="59" t="s">
        <v>1181</v>
      </c>
      <c r="K856" s="59">
        <v>1</v>
      </c>
      <c r="L856" s="59">
        <f t="shared" si="13"/>
        <v>9600</v>
      </c>
      <c r="M856" s="59"/>
    </row>
    <row r="857" spans="1:13" ht="30">
      <c r="A857" s="56">
        <v>958</v>
      </c>
      <c r="B857" s="56">
        <v>958</v>
      </c>
      <c r="C857" s="56">
        <v>958</v>
      </c>
      <c r="D857" s="56" t="s">
        <v>1251</v>
      </c>
      <c r="F857" s="58" t="s">
        <v>1185</v>
      </c>
      <c r="G857" s="58">
        <v>24</v>
      </c>
      <c r="H857" s="56">
        <v>2</v>
      </c>
      <c r="I857" s="56">
        <v>840</v>
      </c>
      <c r="J857" s="59" t="s">
        <v>1181</v>
      </c>
      <c r="K857" s="59">
        <v>1</v>
      </c>
      <c r="L857" s="59">
        <f t="shared" si="13"/>
        <v>1680</v>
      </c>
      <c r="M857" s="59"/>
    </row>
    <row r="858" spans="1:13" ht="30">
      <c r="A858" s="56">
        <v>1418</v>
      </c>
      <c r="B858" s="56">
        <v>1418</v>
      </c>
      <c r="C858" s="56">
        <v>1418</v>
      </c>
      <c r="D858" s="56" t="s">
        <v>1252</v>
      </c>
      <c r="F858" s="58" t="s">
        <v>1180</v>
      </c>
      <c r="G858" s="58">
        <v>24</v>
      </c>
      <c r="H858" s="56">
        <v>2</v>
      </c>
      <c r="I858" s="56">
        <v>3340</v>
      </c>
      <c r="J858" s="59" t="s">
        <v>1181</v>
      </c>
      <c r="K858" s="59">
        <v>1</v>
      </c>
      <c r="L858" s="59">
        <f t="shared" si="13"/>
        <v>6680</v>
      </c>
      <c r="M858" s="59"/>
    </row>
    <row r="859" spans="1:13" ht="30">
      <c r="A859" s="56">
        <v>594</v>
      </c>
      <c r="B859" s="56">
        <v>594</v>
      </c>
      <c r="C859" s="56">
        <v>594</v>
      </c>
      <c r="D859" s="56" t="s">
        <v>1256</v>
      </c>
      <c r="F859" s="58" t="s">
        <v>1183</v>
      </c>
      <c r="G859" s="58">
        <v>20</v>
      </c>
      <c r="H859" s="56">
        <v>2</v>
      </c>
      <c r="I859" s="56">
        <v>1460</v>
      </c>
      <c r="J859" s="59" t="s">
        <v>1181</v>
      </c>
      <c r="K859" s="59">
        <v>1</v>
      </c>
      <c r="L859" s="59">
        <f t="shared" si="13"/>
        <v>2920</v>
      </c>
      <c r="M859" s="59"/>
    </row>
    <row r="860" spans="1:13" ht="30">
      <c r="A860" s="56">
        <v>260</v>
      </c>
      <c r="B860" s="56">
        <v>260</v>
      </c>
      <c r="C860" s="56">
        <v>260</v>
      </c>
      <c r="D860" s="56" t="s">
        <v>1261</v>
      </c>
      <c r="F860" s="58" t="s">
        <v>1183</v>
      </c>
      <c r="G860" s="58">
        <v>12</v>
      </c>
      <c r="H860" s="56">
        <v>2</v>
      </c>
      <c r="I860" s="56">
        <v>900</v>
      </c>
      <c r="J860" s="59" t="s">
        <v>1181</v>
      </c>
      <c r="K860" s="59">
        <v>1</v>
      </c>
      <c r="L860" s="59">
        <f t="shared" si="13"/>
        <v>1800</v>
      </c>
      <c r="M860" s="59"/>
    </row>
    <row r="861" spans="1:13" ht="30">
      <c r="A861" s="56">
        <v>296</v>
      </c>
      <c r="B861" s="56">
        <v>296</v>
      </c>
      <c r="C861" s="56">
        <v>296</v>
      </c>
      <c r="D861" s="56" t="s">
        <v>1267</v>
      </c>
      <c r="F861" s="58" t="s">
        <v>1183</v>
      </c>
      <c r="G861" s="58">
        <v>12</v>
      </c>
      <c r="H861" s="56">
        <v>2</v>
      </c>
      <c r="I861" s="56">
        <v>1800</v>
      </c>
      <c r="J861" s="59" t="s">
        <v>1181</v>
      </c>
      <c r="K861" s="59">
        <v>1</v>
      </c>
      <c r="L861" s="59">
        <f t="shared" si="13"/>
        <v>3600</v>
      </c>
      <c r="M861" s="59"/>
    </row>
    <row r="862" spans="1:13" ht="30">
      <c r="A862" s="56">
        <v>303</v>
      </c>
      <c r="B862" s="56">
        <v>303</v>
      </c>
      <c r="C862" s="56">
        <v>303</v>
      </c>
      <c r="D862" s="56" t="s">
        <v>1269</v>
      </c>
      <c r="F862" s="58" t="s">
        <v>1185</v>
      </c>
      <c r="G862" s="58">
        <v>12</v>
      </c>
      <c r="H862" s="56">
        <v>2</v>
      </c>
      <c r="I862" s="56">
        <v>1560</v>
      </c>
      <c r="J862" s="59" t="s">
        <v>1181</v>
      </c>
      <c r="K862" s="59">
        <v>1</v>
      </c>
      <c r="L862" s="59">
        <f t="shared" si="13"/>
        <v>3120</v>
      </c>
      <c r="M862" s="59"/>
    </row>
    <row r="863" spans="1:13" ht="30">
      <c r="A863" s="56">
        <v>585</v>
      </c>
      <c r="B863" s="56">
        <v>585</v>
      </c>
      <c r="C863" s="56">
        <v>585</v>
      </c>
      <c r="D863" s="56" t="s">
        <v>1275</v>
      </c>
      <c r="F863" s="58" t="s">
        <v>1185</v>
      </c>
      <c r="G863" s="58">
        <v>12</v>
      </c>
      <c r="H863" s="56">
        <v>2</v>
      </c>
      <c r="I863" s="56">
        <v>492</v>
      </c>
      <c r="J863" s="59" t="s">
        <v>1181</v>
      </c>
      <c r="K863" s="59">
        <v>1</v>
      </c>
      <c r="L863" s="59">
        <f t="shared" si="13"/>
        <v>984</v>
      </c>
      <c r="M863" s="59"/>
    </row>
    <row r="864" spans="1:13" ht="30">
      <c r="A864" s="56">
        <v>626</v>
      </c>
      <c r="B864" s="56">
        <v>626</v>
      </c>
      <c r="C864" s="56">
        <v>626</v>
      </c>
      <c r="D864" s="56" t="s">
        <v>1282</v>
      </c>
      <c r="F864" s="58" t="s">
        <v>1183</v>
      </c>
      <c r="G864" s="58">
        <v>12</v>
      </c>
      <c r="H864" s="56">
        <v>2</v>
      </c>
      <c r="I864" s="56">
        <v>1440</v>
      </c>
      <c r="J864" s="59" t="s">
        <v>1181</v>
      </c>
      <c r="K864" s="59">
        <v>1</v>
      </c>
      <c r="L864" s="59">
        <f t="shared" si="13"/>
        <v>2880</v>
      </c>
      <c r="M864" s="59"/>
    </row>
    <row r="865" spans="1:13" ht="30">
      <c r="A865" s="56">
        <v>789</v>
      </c>
      <c r="B865" s="56">
        <v>789</v>
      </c>
      <c r="C865" s="56">
        <v>789</v>
      </c>
      <c r="D865" s="56" t="s">
        <v>1286</v>
      </c>
      <c r="F865" s="58" t="s">
        <v>1272</v>
      </c>
      <c r="G865" s="58">
        <v>12</v>
      </c>
      <c r="H865" s="56">
        <v>2</v>
      </c>
      <c r="I865" s="56">
        <v>700</v>
      </c>
      <c r="J865" s="59" t="s">
        <v>1181</v>
      </c>
      <c r="K865" s="59">
        <v>1</v>
      </c>
      <c r="L865" s="59">
        <f t="shared" si="13"/>
        <v>1400</v>
      </c>
      <c r="M865" s="59"/>
    </row>
    <row r="866" spans="1:13" ht="30">
      <c r="A866" s="56">
        <v>826</v>
      </c>
      <c r="B866" s="56">
        <v>826</v>
      </c>
      <c r="C866" s="56">
        <v>826</v>
      </c>
      <c r="D866" s="56" t="s">
        <v>1314</v>
      </c>
      <c r="F866" s="58" t="s">
        <v>1185</v>
      </c>
      <c r="G866" s="58">
        <v>12</v>
      </c>
      <c r="H866" s="56">
        <v>2</v>
      </c>
      <c r="I866" s="56">
        <v>600</v>
      </c>
      <c r="J866" s="59" t="s">
        <v>1181</v>
      </c>
      <c r="K866" s="59">
        <v>1</v>
      </c>
      <c r="L866" s="59">
        <f t="shared" si="13"/>
        <v>1200</v>
      </c>
      <c r="M866" s="59"/>
    </row>
    <row r="867" spans="1:13" ht="30">
      <c r="A867" s="56">
        <v>827</v>
      </c>
      <c r="B867" s="56">
        <v>827</v>
      </c>
      <c r="C867" s="56">
        <v>827</v>
      </c>
      <c r="D867" s="56" t="s">
        <v>1315</v>
      </c>
      <c r="F867" s="58" t="s">
        <v>1185</v>
      </c>
      <c r="G867" s="58">
        <v>12</v>
      </c>
      <c r="H867" s="56">
        <v>2</v>
      </c>
      <c r="I867" s="56">
        <v>800</v>
      </c>
      <c r="J867" s="59" t="s">
        <v>1181</v>
      </c>
      <c r="K867" s="59">
        <v>1</v>
      </c>
      <c r="L867" s="59">
        <f t="shared" si="13"/>
        <v>1600</v>
      </c>
      <c r="M867" s="59"/>
    </row>
    <row r="868" spans="1:13" ht="30">
      <c r="A868" s="56">
        <v>828</v>
      </c>
      <c r="B868" s="56">
        <v>828</v>
      </c>
      <c r="C868" s="56">
        <v>828</v>
      </c>
      <c r="D868" s="56" t="s">
        <v>1316</v>
      </c>
      <c r="F868" s="58" t="s">
        <v>1185</v>
      </c>
      <c r="G868" s="58">
        <v>12</v>
      </c>
      <c r="H868" s="56">
        <v>2</v>
      </c>
      <c r="I868" s="56">
        <v>630</v>
      </c>
      <c r="J868" s="59" t="s">
        <v>1181</v>
      </c>
      <c r="K868" s="59">
        <v>1</v>
      </c>
      <c r="L868" s="59">
        <f t="shared" si="13"/>
        <v>1260</v>
      </c>
      <c r="M868" s="59"/>
    </row>
    <row r="869" spans="1:13" ht="30">
      <c r="A869" s="56">
        <v>835</v>
      </c>
      <c r="B869" s="56">
        <v>835</v>
      </c>
      <c r="C869" s="56">
        <v>835</v>
      </c>
      <c r="D869" s="56" t="s">
        <v>1318</v>
      </c>
      <c r="F869" s="58" t="s">
        <v>1185</v>
      </c>
      <c r="G869" s="58">
        <v>12</v>
      </c>
      <c r="H869" s="56">
        <v>2</v>
      </c>
      <c r="I869" s="56">
        <v>804</v>
      </c>
      <c r="J869" s="59" t="s">
        <v>1181</v>
      </c>
      <c r="K869" s="59">
        <v>1</v>
      </c>
      <c r="L869" s="59">
        <f t="shared" si="13"/>
        <v>1608</v>
      </c>
      <c r="M869" s="59"/>
    </row>
    <row r="870" spans="1:13" ht="30">
      <c r="A870" s="56">
        <v>836</v>
      </c>
      <c r="B870" s="56">
        <v>836</v>
      </c>
      <c r="C870" s="56">
        <v>836</v>
      </c>
      <c r="D870" s="56" t="s">
        <v>1319</v>
      </c>
      <c r="F870" s="58" t="s">
        <v>1185</v>
      </c>
      <c r="G870" s="58">
        <v>12</v>
      </c>
      <c r="H870" s="56">
        <v>2</v>
      </c>
      <c r="I870" s="56">
        <v>1308</v>
      </c>
      <c r="J870" s="59" t="s">
        <v>1181</v>
      </c>
      <c r="K870" s="59">
        <v>1</v>
      </c>
      <c r="L870" s="59">
        <f t="shared" si="13"/>
        <v>2616</v>
      </c>
      <c r="M870" s="59"/>
    </row>
    <row r="871" spans="1:13" ht="30">
      <c r="A871" s="56">
        <v>847</v>
      </c>
      <c r="B871" s="56">
        <v>847</v>
      </c>
      <c r="C871" s="56">
        <v>847</v>
      </c>
      <c r="D871" s="56" t="s">
        <v>1329</v>
      </c>
      <c r="F871" s="58" t="s">
        <v>1185</v>
      </c>
      <c r="G871" s="58">
        <v>12</v>
      </c>
      <c r="H871" s="56">
        <v>2</v>
      </c>
      <c r="I871" s="56">
        <v>1440</v>
      </c>
      <c r="J871" s="59" t="s">
        <v>1181</v>
      </c>
      <c r="K871" s="59">
        <v>1</v>
      </c>
      <c r="L871" s="59">
        <f t="shared" si="13"/>
        <v>2880</v>
      </c>
      <c r="M871" s="59"/>
    </row>
    <row r="872" spans="1:13" ht="30">
      <c r="A872" s="56">
        <v>855</v>
      </c>
      <c r="B872" s="56">
        <v>855</v>
      </c>
      <c r="C872" s="56">
        <v>855</v>
      </c>
      <c r="D872" s="56" t="s">
        <v>1336</v>
      </c>
      <c r="F872" s="58" t="s">
        <v>1185</v>
      </c>
      <c r="G872" s="58">
        <v>12</v>
      </c>
      <c r="H872" s="56">
        <v>2</v>
      </c>
      <c r="I872" s="56">
        <v>2640</v>
      </c>
      <c r="J872" s="59" t="s">
        <v>1181</v>
      </c>
      <c r="K872" s="59">
        <v>1</v>
      </c>
      <c r="L872" s="59">
        <f t="shared" si="13"/>
        <v>5280</v>
      </c>
      <c r="M872" s="59"/>
    </row>
    <row r="873" spans="1:13" ht="30">
      <c r="A873" s="56">
        <v>862</v>
      </c>
      <c r="B873" s="56">
        <v>862</v>
      </c>
      <c r="C873" s="56">
        <v>862</v>
      </c>
      <c r="D873" s="56" t="s">
        <v>1342</v>
      </c>
      <c r="F873" s="58" t="s">
        <v>1185</v>
      </c>
      <c r="G873" s="58">
        <v>12</v>
      </c>
      <c r="H873" s="56">
        <v>2</v>
      </c>
      <c r="I873" s="56">
        <v>1440</v>
      </c>
      <c r="J873" s="59" t="s">
        <v>1181</v>
      </c>
      <c r="K873" s="59">
        <v>1</v>
      </c>
      <c r="L873" s="59">
        <f t="shared" si="13"/>
        <v>2880</v>
      </c>
      <c r="M873" s="59"/>
    </row>
    <row r="874" spans="1:13" ht="30">
      <c r="A874" s="56">
        <v>869</v>
      </c>
      <c r="B874" s="56">
        <v>869</v>
      </c>
      <c r="C874" s="56">
        <v>869</v>
      </c>
      <c r="D874" s="56" t="s">
        <v>1348</v>
      </c>
      <c r="F874" s="58" t="s">
        <v>1185</v>
      </c>
      <c r="G874" s="58">
        <v>12</v>
      </c>
      <c r="H874" s="56">
        <v>2</v>
      </c>
      <c r="I874" s="56">
        <v>2160</v>
      </c>
      <c r="J874" s="59" t="s">
        <v>1181</v>
      </c>
      <c r="K874" s="59">
        <v>1</v>
      </c>
      <c r="L874" s="59">
        <f t="shared" si="13"/>
        <v>4320</v>
      </c>
      <c r="M874" s="59"/>
    </row>
    <row r="875" spans="1:13" ht="30">
      <c r="A875" s="56">
        <v>871</v>
      </c>
      <c r="B875" s="56">
        <v>871</v>
      </c>
      <c r="C875" s="56">
        <v>871</v>
      </c>
      <c r="D875" s="56" t="s">
        <v>1350</v>
      </c>
      <c r="F875" s="58" t="s">
        <v>1185</v>
      </c>
      <c r="G875" s="58">
        <v>12</v>
      </c>
      <c r="H875" s="56">
        <v>2</v>
      </c>
      <c r="I875" s="56">
        <v>2256</v>
      </c>
      <c r="J875" s="59" t="s">
        <v>1181</v>
      </c>
      <c r="K875" s="59">
        <v>1</v>
      </c>
      <c r="L875" s="59">
        <f t="shared" si="13"/>
        <v>4512</v>
      </c>
      <c r="M875" s="59"/>
    </row>
    <row r="876" spans="1:13" ht="30">
      <c r="A876" s="56">
        <v>876</v>
      </c>
      <c r="B876" s="56">
        <v>876</v>
      </c>
      <c r="C876" s="56">
        <v>876</v>
      </c>
      <c r="D876" s="56" t="s">
        <v>1355</v>
      </c>
      <c r="F876" s="58" t="s">
        <v>1185</v>
      </c>
      <c r="G876" s="58">
        <v>12</v>
      </c>
      <c r="H876" s="56">
        <v>2</v>
      </c>
      <c r="I876" s="56">
        <v>1200</v>
      </c>
      <c r="J876" s="59" t="s">
        <v>1181</v>
      </c>
      <c r="K876" s="59">
        <v>1</v>
      </c>
      <c r="L876" s="59">
        <f t="shared" si="13"/>
        <v>2400</v>
      </c>
      <c r="M876" s="59"/>
    </row>
    <row r="877" spans="1:13" ht="30">
      <c r="A877" s="56">
        <v>920</v>
      </c>
      <c r="B877" s="56">
        <v>920</v>
      </c>
      <c r="C877" s="56">
        <v>920</v>
      </c>
      <c r="D877" s="56" t="s">
        <v>1366</v>
      </c>
      <c r="F877" s="58" t="s">
        <v>1185</v>
      </c>
      <c r="G877" s="58">
        <v>12</v>
      </c>
      <c r="H877" s="56">
        <v>2</v>
      </c>
      <c r="I877" s="56">
        <v>900</v>
      </c>
      <c r="J877" s="59" t="s">
        <v>1181</v>
      </c>
      <c r="K877" s="59">
        <v>1</v>
      </c>
      <c r="L877" s="59">
        <f t="shared" si="13"/>
        <v>1800</v>
      </c>
      <c r="M877" s="59"/>
    </row>
    <row r="878" spans="1:13" ht="30">
      <c r="A878" s="56">
        <v>921</v>
      </c>
      <c r="B878" s="56">
        <v>921</v>
      </c>
      <c r="C878" s="56">
        <v>921</v>
      </c>
      <c r="D878" s="56" t="s">
        <v>1367</v>
      </c>
      <c r="F878" s="58" t="s">
        <v>1185</v>
      </c>
      <c r="G878" s="58">
        <v>12</v>
      </c>
      <c r="H878" s="56">
        <v>2</v>
      </c>
      <c r="I878" s="56">
        <v>600</v>
      </c>
      <c r="J878" s="59" t="s">
        <v>1181</v>
      </c>
      <c r="K878" s="59">
        <v>1</v>
      </c>
      <c r="L878" s="59">
        <f t="shared" si="13"/>
        <v>1200</v>
      </c>
      <c r="M878" s="59"/>
    </row>
    <row r="879" spans="1:13" ht="30">
      <c r="A879" s="56">
        <v>934</v>
      </c>
      <c r="B879" s="56">
        <v>934</v>
      </c>
      <c r="C879" s="56">
        <v>934</v>
      </c>
      <c r="D879" s="56" t="s">
        <v>1375</v>
      </c>
      <c r="F879" s="58" t="s">
        <v>1185</v>
      </c>
      <c r="G879" s="58">
        <v>12</v>
      </c>
      <c r="H879" s="56">
        <v>2</v>
      </c>
      <c r="I879" s="56">
        <v>1116</v>
      </c>
      <c r="J879" s="59" t="s">
        <v>1181</v>
      </c>
      <c r="K879" s="59">
        <v>1</v>
      </c>
      <c r="L879" s="59">
        <f t="shared" si="13"/>
        <v>2232</v>
      </c>
      <c r="M879" s="59"/>
    </row>
    <row r="880" spans="1:13" ht="30">
      <c r="A880" s="56">
        <v>941</v>
      </c>
      <c r="B880" s="56">
        <v>941</v>
      </c>
      <c r="C880" s="56">
        <v>941</v>
      </c>
      <c r="D880" s="56" t="s">
        <v>1377</v>
      </c>
      <c r="F880" s="58" t="s">
        <v>1185</v>
      </c>
      <c r="G880" s="58">
        <v>12</v>
      </c>
      <c r="H880" s="56">
        <v>2</v>
      </c>
      <c r="I880" s="56">
        <v>700</v>
      </c>
      <c r="J880" s="59" t="s">
        <v>1181</v>
      </c>
      <c r="K880" s="59">
        <v>1</v>
      </c>
      <c r="L880" s="59">
        <f t="shared" si="13"/>
        <v>1400</v>
      </c>
      <c r="M880" s="59"/>
    </row>
    <row r="881" spans="1:13" ht="30">
      <c r="A881" s="56">
        <v>950</v>
      </c>
      <c r="B881" s="56">
        <v>950</v>
      </c>
      <c r="C881" s="56">
        <v>950</v>
      </c>
      <c r="D881" s="56" t="s">
        <v>1379</v>
      </c>
      <c r="F881" s="58" t="s">
        <v>1185</v>
      </c>
      <c r="G881" s="58">
        <v>12</v>
      </c>
      <c r="H881" s="56">
        <v>2</v>
      </c>
      <c r="I881" s="56">
        <v>2400</v>
      </c>
      <c r="J881" s="59" t="s">
        <v>1181</v>
      </c>
      <c r="K881" s="59">
        <v>1</v>
      </c>
      <c r="L881" s="59">
        <f t="shared" si="13"/>
        <v>4800</v>
      </c>
      <c r="M881" s="59"/>
    </row>
    <row r="882" spans="1:13" ht="30">
      <c r="A882" s="56">
        <v>963</v>
      </c>
      <c r="B882" s="56">
        <v>963</v>
      </c>
      <c r="C882" s="56">
        <v>963</v>
      </c>
      <c r="D882" s="56" t="s">
        <v>1384</v>
      </c>
      <c r="F882" s="58" t="s">
        <v>1185</v>
      </c>
      <c r="G882" s="58">
        <v>12</v>
      </c>
      <c r="H882" s="56">
        <v>2</v>
      </c>
      <c r="I882" s="56">
        <v>900</v>
      </c>
      <c r="J882" s="59" t="s">
        <v>1181</v>
      </c>
      <c r="K882" s="59">
        <v>1</v>
      </c>
      <c r="L882" s="59">
        <f t="shared" si="13"/>
        <v>1800</v>
      </c>
      <c r="M882" s="59"/>
    </row>
    <row r="883" spans="1:13" ht="30">
      <c r="A883" s="56">
        <v>1039</v>
      </c>
      <c r="B883" s="56">
        <v>1039</v>
      </c>
      <c r="C883" s="56">
        <v>1039</v>
      </c>
      <c r="D883" s="56" t="s">
        <v>1400</v>
      </c>
      <c r="F883" s="58" t="s">
        <v>1183</v>
      </c>
      <c r="G883" s="58">
        <v>12</v>
      </c>
      <c r="H883" s="56">
        <v>2</v>
      </c>
      <c r="I883" s="56">
        <v>516</v>
      </c>
      <c r="J883" s="59" t="s">
        <v>1181</v>
      </c>
      <c r="K883" s="59">
        <v>1</v>
      </c>
      <c r="L883" s="59">
        <f t="shared" si="13"/>
        <v>1032</v>
      </c>
      <c r="M883" s="59"/>
    </row>
    <row r="884" spans="1:13" ht="30">
      <c r="A884" s="56">
        <v>1407</v>
      </c>
      <c r="B884" s="56">
        <v>1407</v>
      </c>
      <c r="C884" s="56">
        <v>1407</v>
      </c>
      <c r="D884" s="56" t="s">
        <v>1437</v>
      </c>
      <c r="F884" s="61" t="s">
        <v>1185</v>
      </c>
      <c r="G884" s="61">
        <v>12</v>
      </c>
      <c r="H884" s="60">
        <v>2</v>
      </c>
      <c r="I884" s="56">
        <v>2240</v>
      </c>
      <c r="J884" s="59" t="s">
        <v>1181</v>
      </c>
      <c r="K884" s="59">
        <v>1</v>
      </c>
      <c r="L884" s="59">
        <f t="shared" si="13"/>
        <v>4480</v>
      </c>
      <c r="M884" s="59"/>
    </row>
    <row r="885" spans="1:13" ht="30">
      <c r="A885" s="56">
        <v>1597</v>
      </c>
      <c r="B885" s="56">
        <v>1597</v>
      </c>
      <c r="C885" s="56">
        <v>1597</v>
      </c>
      <c r="D885" s="56" t="s">
        <v>1443</v>
      </c>
      <c r="F885" s="58" t="s">
        <v>1183</v>
      </c>
      <c r="G885" s="58">
        <v>12</v>
      </c>
      <c r="H885" s="56">
        <v>2</v>
      </c>
      <c r="I885" s="56">
        <v>2400</v>
      </c>
      <c r="J885" s="59" t="s">
        <v>1181</v>
      </c>
      <c r="K885" s="59">
        <v>1</v>
      </c>
      <c r="L885" s="59">
        <f t="shared" si="13"/>
        <v>4800</v>
      </c>
      <c r="M885" s="59"/>
    </row>
    <row r="886" spans="1:13" ht="30">
      <c r="A886" s="56">
        <v>1598</v>
      </c>
      <c r="B886" s="56">
        <v>1598</v>
      </c>
      <c r="C886" s="56">
        <v>1598</v>
      </c>
      <c r="D886" s="56" t="s">
        <v>1444</v>
      </c>
      <c r="F886" s="58" t="s">
        <v>1183</v>
      </c>
      <c r="G886" s="58">
        <v>12</v>
      </c>
      <c r="H886" s="56">
        <v>2</v>
      </c>
      <c r="I886" s="56">
        <v>1800</v>
      </c>
      <c r="J886" s="59" t="s">
        <v>1181</v>
      </c>
      <c r="K886" s="59">
        <v>1</v>
      </c>
      <c r="L886" s="59">
        <f t="shared" si="13"/>
        <v>3600</v>
      </c>
      <c r="M886" s="59"/>
    </row>
    <row r="887" spans="1:13" ht="30">
      <c r="A887" s="56">
        <v>1645</v>
      </c>
      <c r="B887" s="56">
        <v>1645</v>
      </c>
      <c r="C887" s="56">
        <v>1645</v>
      </c>
      <c r="D887" s="56" t="s">
        <v>1452</v>
      </c>
      <c r="F887" s="58" t="s">
        <v>1272</v>
      </c>
      <c r="G887" s="58">
        <v>12</v>
      </c>
      <c r="H887" s="56">
        <v>2</v>
      </c>
      <c r="I887" s="56">
        <v>3000</v>
      </c>
      <c r="J887" s="59" t="s">
        <v>1181</v>
      </c>
      <c r="K887" s="59">
        <v>1</v>
      </c>
      <c r="L887" s="59">
        <f t="shared" si="13"/>
        <v>6000</v>
      </c>
      <c r="M887" s="59"/>
    </row>
    <row r="888" spans="1:13" ht="30">
      <c r="A888" s="56">
        <v>1648</v>
      </c>
      <c r="B888" s="56">
        <v>1648</v>
      </c>
      <c r="C888" s="56">
        <v>1648</v>
      </c>
      <c r="D888" s="56" t="s">
        <v>1454</v>
      </c>
      <c r="F888" s="58" t="s">
        <v>1183</v>
      </c>
      <c r="G888" s="58">
        <v>12</v>
      </c>
      <c r="H888" s="56">
        <v>2</v>
      </c>
      <c r="I888" s="56">
        <v>1800</v>
      </c>
      <c r="J888" s="59" t="s">
        <v>1181</v>
      </c>
      <c r="K888" s="59">
        <v>1</v>
      </c>
      <c r="L888" s="59">
        <f t="shared" si="13"/>
        <v>3600</v>
      </c>
      <c r="M888" s="59"/>
    </row>
    <row r="889" spans="1:13" ht="30">
      <c r="A889" s="56">
        <v>1671</v>
      </c>
      <c r="B889" s="56">
        <v>1671</v>
      </c>
      <c r="C889" s="56">
        <v>1671</v>
      </c>
      <c r="D889" s="56" t="s">
        <v>1460</v>
      </c>
      <c r="F889" s="58" t="s">
        <v>1272</v>
      </c>
      <c r="G889" s="58">
        <v>12</v>
      </c>
      <c r="H889" s="56">
        <v>2</v>
      </c>
      <c r="I889" s="56">
        <v>3600</v>
      </c>
      <c r="J889" s="59" t="s">
        <v>1181</v>
      </c>
      <c r="K889" s="59">
        <v>1</v>
      </c>
      <c r="L889" s="59">
        <f t="shared" si="13"/>
        <v>7200</v>
      </c>
      <c r="M889" s="59"/>
    </row>
    <row r="890" spans="1:13" ht="30">
      <c r="A890" s="56">
        <v>1691</v>
      </c>
      <c r="B890" s="56">
        <v>1691</v>
      </c>
      <c r="C890" s="56">
        <v>1691</v>
      </c>
      <c r="D890" s="56" t="s">
        <v>1465</v>
      </c>
      <c r="F890" s="58" t="s">
        <v>1183</v>
      </c>
      <c r="G890" s="58">
        <v>12</v>
      </c>
      <c r="H890" s="56">
        <v>2</v>
      </c>
      <c r="I890" s="56">
        <v>800</v>
      </c>
      <c r="J890" s="59" t="s">
        <v>1181</v>
      </c>
      <c r="K890" s="59">
        <v>1</v>
      </c>
      <c r="L890" s="59">
        <f t="shared" si="13"/>
        <v>1600</v>
      </c>
      <c r="M890" s="59"/>
    </row>
    <row r="891" spans="1:13" ht="30">
      <c r="A891" s="56">
        <v>1716</v>
      </c>
      <c r="B891" s="56">
        <v>1716</v>
      </c>
      <c r="C891" s="56">
        <v>1716</v>
      </c>
      <c r="D891" s="56" t="s">
        <v>1469</v>
      </c>
      <c r="F891" s="58" t="s">
        <v>1183</v>
      </c>
      <c r="G891" s="58">
        <v>12</v>
      </c>
      <c r="H891" s="56">
        <v>2</v>
      </c>
      <c r="I891" s="56">
        <v>2004</v>
      </c>
      <c r="J891" s="59" t="s">
        <v>1181</v>
      </c>
      <c r="K891" s="59">
        <v>1</v>
      </c>
      <c r="L891" s="59">
        <f t="shared" si="13"/>
        <v>4008</v>
      </c>
      <c r="M891" s="59"/>
    </row>
    <row r="892" spans="1:13" ht="30">
      <c r="A892" s="56">
        <v>1807</v>
      </c>
      <c r="B892" s="56">
        <v>1807</v>
      </c>
      <c r="C892" s="56">
        <v>1807</v>
      </c>
      <c r="D892" s="56" t="s">
        <v>1479</v>
      </c>
      <c r="F892" s="58" t="s">
        <v>1183</v>
      </c>
      <c r="G892" s="58">
        <v>12</v>
      </c>
      <c r="H892" s="56">
        <v>2</v>
      </c>
      <c r="I892" s="56">
        <v>816</v>
      </c>
      <c r="J892" s="59" t="s">
        <v>1181</v>
      </c>
      <c r="K892" s="59">
        <v>1</v>
      </c>
      <c r="L892" s="59">
        <f t="shared" si="13"/>
        <v>1632</v>
      </c>
      <c r="M892" s="59"/>
    </row>
    <row r="893" spans="1:13" ht="30">
      <c r="A893" s="56">
        <v>786</v>
      </c>
      <c r="B893" s="56">
        <v>786</v>
      </c>
      <c r="C893" s="56">
        <v>786</v>
      </c>
      <c r="D893" s="56" t="s">
        <v>1493</v>
      </c>
      <c r="F893" s="58" t="s">
        <v>1272</v>
      </c>
      <c r="G893" s="58">
        <v>10</v>
      </c>
      <c r="H893" s="56">
        <v>2</v>
      </c>
      <c r="I893" s="56">
        <v>600</v>
      </c>
      <c r="J893" s="59" t="s">
        <v>1181</v>
      </c>
      <c r="K893" s="59">
        <v>1</v>
      </c>
      <c r="L893" s="59">
        <f t="shared" si="13"/>
        <v>1200</v>
      </c>
      <c r="M893" s="59"/>
    </row>
    <row r="894" spans="1:13" ht="30">
      <c r="A894" s="56">
        <v>787</v>
      </c>
      <c r="B894" s="56">
        <v>787</v>
      </c>
      <c r="C894" s="56">
        <v>787</v>
      </c>
      <c r="D894" s="56" t="s">
        <v>1494</v>
      </c>
      <c r="F894" s="58" t="s">
        <v>1272</v>
      </c>
      <c r="G894" s="58">
        <v>10</v>
      </c>
      <c r="H894" s="56">
        <v>2</v>
      </c>
      <c r="I894" s="56">
        <v>800</v>
      </c>
      <c r="J894" s="59" t="s">
        <v>1181</v>
      </c>
      <c r="K894" s="59">
        <v>1</v>
      </c>
      <c r="L894" s="59">
        <f t="shared" si="13"/>
        <v>1600</v>
      </c>
      <c r="M894" s="59"/>
    </row>
    <row r="895" spans="1:13" ht="30">
      <c r="A895" s="56">
        <v>834</v>
      </c>
      <c r="B895" s="56">
        <v>834</v>
      </c>
      <c r="C895" s="56">
        <v>834</v>
      </c>
      <c r="D895" s="56" t="s">
        <v>1500</v>
      </c>
      <c r="F895" s="58" t="s">
        <v>1185</v>
      </c>
      <c r="G895" s="58">
        <v>10</v>
      </c>
      <c r="H895" s="56">
        <v>2</v>
      </c>
      <c r="I895" s="56">
        <v>2800</v>
      </c>
      <c r="J895" s="59" t="s">
        <v>1181</v>
      </c>
      <c r="K895" s="59">
        <v>1</v>
      </c>
      <c r="L895" s="59">
        <f t="shared" si="13"/>
        <v>5600</v>
      </c>
      <c r="M895" s="59"/>
    </row>
    <row r="896" spans="1:13" ht="30">
      <c r="A896" s="56">
        <v>842</v>
      </c>
      <c r="B896" s="56">
        <v>842</v>
      </c>
      <c r="C896" s="56">
        <v>842</v>
      </c>
      <c r="D896" s="56" t="s">
        <v>1501</v>
      </c>
      <c r="F896" s="58" t="s">
        <v>1185</v>
      </c>
      <c r="G896" s="58">
        <v>10</v>
      </c>
      <c r="H896" s="56">
        <v>2</v>
      </c>
      <c r="I896" s="56">
        <v>1405</v>
      </c>
      <c r="J896" s="59" t="s">
        <v>1181</v>
      </c>
      <c r="K896" s="59">
        <v>1</v>
      </c>
      <c r="L896" s="59">
        <f t="shared" si="13"/>
        <v>2810</v>
      </c>
      <c r="M896" s="59"/>
    </row>
    <row r="897" spans="1:14" ht="30">
      <c r="A897" s="56">
        <v>856</v>
      </c>
      <c r="B897" s="56">
        <v>856</v>
      </c>
      <c r="C897" s="56">
        <v>856</v>
      </c>
      <c r="D897" s="56" t="s">
        <v>1503</v>
      </c>
      <c r="F897" s="58" t="s">
        <v>1185</v>
      </c>
      <c r="G897" s="58">
        <v>10</v>
      </c>
      <c r="H897" s="56">
        <v>2</v>
      </c>
      <c r="I897" s="56">
        <v>2400</v>
      </c>
      <c r="J897" s="59" t="s">
        <v>1181</v>
      </c>
      <c r="K897" s="59">
        <v>1</v>
      </c>
      <c r="L897" s="59">
        <f t="shared" si="13"/>
        <v>4800</v>
      </c>
      <c r="M897" s="59"/>
    </row>
    <row r="898" spans="1:14" ht="30">
      <c r="A898" s="56">
        <v>940</v>
      </c>
      <c r="B898" s="56">
        <v>940</v>
      </c>
      <c r="C898" s="56">
        <v>940</v>
      </c>
      <c r="D898" s="56" t="s">
        <v>1506</v>
      </c>
      <c r="F898" s="58" t="s">
        <v>1185</v>
      </c>
      <c r="G898" s="58">
        <v>10</v>
      </c>
      <c r="H898" s="56">
        <v>2</v>
      </c>
      <c r="I898" s="56">
        <v>700</v>
      </c>
      <c r="J898" s="59" t="s">
        <v>1181</v>
      </c>
      <c r="K898" s="59">
        <v>1</v>
      </c>
      <c r="L898" s="59">
        <f t="shared" ref="L898:L961" si="14">H898*I898</f>
        <v>1400</v>
      </c>
      <c r="M898" s="59"/>
    </row>
    <row r="899" spans="1:14" ht="30">
      <c r="A899" s="56">
        <v>1236</v>
      </c>
      <c r="B899" s="56">
        <v>1236</v>
      </c>
      <c r="C899" s="56">
        <v>1236</v>
      </c>
      <c r="D899" s="56" t="s">
        <v>1511</v>
      </c>
      <c r="F899" s="58" t="s">
        <v>1183</v>
      </c>
      <c r="G899" s="58">
        <v>10</v>
      </c>
      <c r="H899" s="56">
        <v>2</v>
      </c>
      <c r="I899" s="56">
        <v>1800</v>
      </c>
      <c r="J899" s="59" t="s">
        <v>1181</v>
      </c>
      <c r="K899" s="59">
        <v>1</v>
      </c>
      <c r="L899" s="59">
        <f t="shared" si="14"/>
        <v>3600</v>
      </c>
      <c r="M899" s="59"/>
    </row>
    <row r="900" spans="1:14" ht="30">
      <c r="A900" s="56">
        <v>794</v>
      </c>
      <c r="B900" s="56">
        <v>794</v>
      </c>
      <c r="C900" s="56">
        <v>794</v>
      </c>
      <c r="D900" s="56" t="s">
        <v>1288</v>
      </c>
      <c r="F900" s="58" t="s">
        <v>24</v>
      </c>
      <c r="G900" s="58">
        <v>8</v>
      </c>
      <c r="H900" s="58">
        <v>2</v>
      </c>
      <c r="I900" s="56">
        <v>66.599999999999994</v>
      </c>
      <c r="J900" s="59" t="s">
        <v>1181</v>
      </c>
      <c r="K900" s="59">
        <v>1</v>
      </c>
      <c r="L900" s="59">
        <f t="shared" si="14"/>
        <v>133.19999999999999</v>
      </c>
      <c r="M900" s="59"/>
      <c r="N900" s="58"/>
    </row>
    <row r="901" spans="1:14" ht="30">
      <c r="A901" s="56">
        <v>439</v>
      </c>
      <c r="B901" s="56">
        <v>439</v>
      </c>
      <c r="C901" s="56">
        <v>439</v>
      </c>
      <c r="D901" s="56" t="s">
        <v>1515</v>
      </c>
      <c r="F901" s="56" t="s">
        <v>1185</v>
      </c>
      <c r="G901" s="56">
        <v>6</v>
      </c>
      <c r="H901" s="56">
        <v>2</v>
      </c>
      <c r="I901" s="56">
        <v>900</v>
      </c>
      <c r="J901" s="59" t="s">
        <v>1181</v>
      </c>
      <c r="K901" s="59">
        <v>1</v>
      </c>
      <c r="L901" s="59">
        <f t="shared" si="14"/>
        <v>1800</v>
      </c>
      <c r="M901" s="59"/>
    </row>
    <row r="902" spans="1:14" ht="30">
      <c r="A902" s="56">
        <v>1136</v>
      </c>
      <c r="B902" s="56">
        <v>1136</v>
      </c>
      <c r="C902" s="56">
        <v>1136</v>
      </c>
      <c r="D902" s="56" t="s">
        <v>1518</v>
      </c>
      <c r="F902" s="58" t="s">
        <v>1183</v>
      </c>
      <c r="G902" s="58">
        <v>6</v>
      </c>
      <c r="H902" s="56">
        <v>2</v>
      </c>
      <c r="I902" s="56">
        <v>2280</v>
      </c>
      <c r="J902" s="59" t="s">
        <v>1181</v>
      </c>
      <c r="K902" s="59">
        <v>1</v>
      </c>
      <c r="L902" s="59">
        <f t="shared" si="14"/>
        <v>4560</v>
      </c>
      <c r="M902" s="59"/>
    </row>
    <row r="903" spans="1:14" ht="30">
      <c r="A903" s="56">
        <v>7</v>
      </c>
      <c r="B903" s="56">
        <v>7</v>
      </c>
      <c r="C903" s="56">
        <v>7</v>
      </c>
      <c r="D903" s="56" t="s">
        <v>1530</v>
      </c>
      <c r="F903" s="56" t="s">
        <v>24</v>
      </c>
      <c r="G903" s="56">
        <v>1</v>
      </c>
      <c r="H903" s="56">
        <v>2</v>
      </c>
      <c r="I903" s="56">
        <v>1500</v>
      </c>
      <c r="J903" s="59" t="s">
        <v>1181</v>
      </c>
      <c r="K903" s="59">
        <v>1</v>
      </c>
      <c r="L903" s="59">
        <f t="shared" si="14"/>
        <v>3000</v>
      </c>
      <c r="M903" s="59"/>
    </row>
    <row r="904" spans="1:14" ht="30">
      <c r="A904" s="56">
        <v>11</v>
      </c>
      <c r="B904" s="56">
        <v>11</v>
      </c>
      <c r="C904" s="56">
        <v>11</v>
      </c>
      <c r="D904" s="56" t="s">
        <v>1534</v>
      </c>
      <c r="F904" s="56" t="s">
        <v>24</v>
      </c>
      <c r="G904" s="56">
        <v>1</v>
      </c>
      <c r="H904" s="56">
        <v>2</v>
      </c>
      <c r="I904" s="56">
        <v>1500</v>
      </c>
      <c r="J904" s="59" t="s">
        <v>1181</v>
      </c>
      <c r="K904" s="59">
        <v>1</v>
      </c>
      <c r="L904" s="59">
        <f t="shared" si="14"/>
        <v>3000</v>
      </c>
      <c r="M904" s="59"/>
    </row>
    <row r="905" spans="1:14" ht="30">
      <c r="A905" s="56">
        <v>14</v>
      </c>
      <c r="B905" s="56">
        <v>14</v>
      </c>
      <c r="C905" s="56">
        <v>14</v>
      </c>
      <c r="D905" s="56" t="s">
        <v>1537</v>
      </c>
      <c r="F905" s="56" t="s">
        <v>24</v>
      </c>
      <c r="G905" s="56">
        <v>1</v>
      </c>
      <c r="H905" s="56">
        <v>2</v>
      </c>
      <c r="I905" s="56">
        <v>2000</v>
      </c>
      <c r="J905" s="59" t="s">
        <v>1181</v>
      </c>
      <c r="K905" s="59">
        <v>1</v>
      </c>
      <c r="L905" s="59">
        <f t="shared" si="14"/>
        <v>4000</v>
      </c>
      <c r="M905" s="59"/>
    </row>
    <row r="906" spans="1:14" ht="30">
      <c r="A906" s="56">
        <v>24</v>
      </c>
      <c r="B906" s="56">
        <v>24</v>
      </c>
      <c r="C906" s="56">
        <v>24</v>
      </c>
      <c r="D906" s="56" t="s">
        <v>1547</v>
      </c>
      <c r="F906" s="56" t="s">
        <v>24</v>
      </c>
      <c r="G906" s="56">
        <v>1</v>
      </c>
      <c r="H906" s="56">
        <v>2</v>
      </c>
      <c r="I906" s="56">
        <v>1000</v>
      </c>
      <c r="J906" s="59" t="s">
        <v>1181</v>
      </c>
      <c r="K906" s="59">
        <v>1</v>
      </c>
      <c r="L906" s="59">
        <f t="shared" si="14"/>
        <v>2000</v>
      </c>
      <c r="M906" s="59"/>
    </row>
    <row r="907" spans="1:14" ht="30">
      <c r="A907" s="56">
        <v>26</v>
      </c>
      <c r="B907" s="56">
        <v>26</v>
      </c>
      <c r="C907" s="56">
        <v>26</v>
      </c>
      <c r="D907" s="56" t="s">
        <v>1549</v>
      </c>
      <c r="F907" s="56" t="s">
        <v>24</v>
      </c>
      <c r="G907" s="56">
        <v>1</v>
      </c>
      <c r="H907" s="56">
        <v>2</v>
      </c>
      <c r="I907" s="56">
        <v>1000</v>
      </c>
      <c r="J907" s="59" t="s">
        <v>1181</v>
      </c>
      <c r="K907" s="59">
        <v>1</v>
      </c>
      <c r="L907" s="59">
        <f t="shared" si="14"/>
        <v>2000</v>
      </c>
      <c r="M907" s="59"/>
    </row>
    <row r="908" spans="1:14" ht="30">
      <c r="A908" s="56">
        <v>37</v>
      </c>
      <c r="B908" s="56">
        <v>37</v>
      </c>
      <c r="C908" s="56">
        <v>37</v>
      </c>
      <c r="D908" s="56" t="s">
        <v>1560</v>
      </c>
      <c r="F908" s="56" t="s">
        <v>24</v>
      </c>
      <c r="G908" s="56">
        <v>1</v>
      </c>
      <c r="H908" s="56">
        <v>2</v>
      </c>
      <c r="I908" s="56">
        <v>2000</v>
      </c>
      <c r="J908" s="59" t="s">
        <v>1181</v>
      </c>
      <c r="K908" s="59">
        <v>1</v>
      </c>
      <c r="L908" s="59">
        <f t="shared" si="14"/>
        <v>4000</v>
      </c>
      <c r="M908" s="59"/>
    </row>
    <row r="909" spans="1:14" ht="30">
      <c r="A909" s="56">
        <v>40</v>
      </c>
      <c r="B909" s="56">
        <v>40</v>
      </c>
      <c r="C909" s="56">
        <v>40</v>
      </c>
      <c r="D909" s="56" t="s">
        <v>1563</v>
      </c>
      <c r="F909" s="56" t="s">
        <v>24</v>
      </c>
      <c r="G909" s="56">
        <v>1</v>
      </c>
      <c r="H909" s="56">
        <v>2</v>
      </c>
      <c r="I909" s="56">
        <v>800</v>
      </c>
      <c r="J909" s="59" t="s">
        <v>1181</v>
      </c>
      <c r="K909" s="59">
        <v>1</v>
      </c>
      <c r="L909" s="59">
        <f t="shared" si="14"/>
        <v>1600</v>
      </c>
      <c r="M909" s="59"/>
    </row>
    <row r="910" spans="1:14" ht="30">
      <c r="A910" s="56">
        <v>42</v>
      </c>
      <c r="B910" s="56">
        <v>42</v>
      </c>
      <c r="C910" s="56">
        <v>42</v>
      </c>
      <c r="D910" s="56" t="s">
        <v>1565</v>
      </c>
      <c r="F910" s="56" t="s">
        <v>24</v>
      </c>
      <c r="G910" s="56">
        <v>1</v>
      </c>
      <c r="H910" s="56">
        <v>2</v>
      </c>
      <c r="I910" s="56">
        <v>5200</v>
      </c>
      <c r="J910" s="59" t="s">
        <v>1181</v>
      </c>
      <c r="K910" s="59">
        <v>1</v>
      </c>
      <c r="L910" s="59">
        <f t="shared" si="14"/>
        <v>10400</v>
      </c>
      <c r="M910" s="59"/>
    </row>
    <row r="911" spans="1:14" ht="30">
      <c r="A911" s="56">
        <v>49</v>
      </c>
      <c r="B911" s="56">
        <v>49</v>
      </c>
      <c r="C911" s="56">
        <v>49</v>
      </c>
      <c r="D911" s="56" t="s">
        <v>26</v>
      </c>
      <c r="F911" s="56" t="s">
        <v>24</v>
      </c>
      <c r="G911" s="56">
        <v>1</v>
      </c>
      <c r="H911" s="56">
        <v>2</v>
      </c>
      <c r="I911" s="56">
        <v>2200</v>
      </c>
      <c r="J911" s="59" t="s">
        <v>1181</v>
      </c>
      <c r="K911" s="59">
        <v>1</v>
      </c>
      <c r="L911" s="59">
        <f t="shared" si="14"/>
        <v>4400</v>
      </c>
      <c r="M911" s="59"/>
    </row>
    <row r="912" spans="1:14" ht="30">
      <c r="A912" s="56">
        <v>50</v>
      </c>
      <c r="B912" s="56">
        <v>50</v>
      </c>
      <c r="C912" s="56">
        <v>50</v>
      </c>
      <c r="D912" s="56" t="s">
        <v>1572</v>
      </c>
      <c r="F912" s="56" t="s">
        <v>24</v>
      </c>
      <c r="G912" s="56">
        <v>1</v>
      </c>
      <c r="H912" s="56">
        <v>2</v>
      </c>
      <c r="I912" s="56">
        <v>2200</v>
      </c>
      <c r="J912" s="59" t="s">
        <v>1181</v>
      </c>
      <c r="K912" s="59">
        <v>1</v>
      </c>
      <c r="L912" s="59">
        <f t="shared" si="14"/>
        <v>4400</v>
      </c>
      <c r="M912" s="59"/>
    </row>
    <row r="913" spans="1:13" ht="30">
      <c r="A913" s="56">
        <v>54</v>
      </c>
      <c r="B913" s="56">
        <v>54</v>
      </c>
      <c r="C913" s="56">
        <v>54</v>
      </c>
      <c r="D913" s="56" t="s">
        <v>1576</v>
      </c>
      <c r="F913" s="56" t="s">
        <v>24</v>
      </c>
      <c r="G913" s="56">
        <v>1</v>
      </c>
      <c r="H913" s="56">
        <v>2</v>
      </c>
      <c r="I913" s="56">
        <v>1800</v>
      </c>
      <c r="J913" s="59" t="s">
        <v>1181</v>
      </c>
      <c r="K913" s="59">
        <v>1</v>
      </c>
      <c r="L913" s="59">
        <f t="shared" si="14"/>
        <v>3600</v>
      </c>
      <c r="M913" s="59"/>
    </row>
    <row r="914" spans="1:13" ht="30">
      <c r="A914" s="56">
        <v>62</v>
      </c>
      <c r="B914" s="56">
        <v>62</v>
      </c>
      <c r="C914" s="56">
        <v>62</v>
      </c>
      <c r="D914" s="56" t="s">
        <v>1583</v>
      </c>
      <c r="F914" s="56" t="s">
        <v>24</v>
      </c>
      <c r="G914" s="56">
        <v>1</v>
      </c>
      <c r="H914" s="56">
        <v>2</v>
      </c>
      <c r="I914" s="56">
        <v>4500</v>
      </c>
      <c r="J914" s="59" t="s">
        <v>1181</v>
      </c>
      <c r="K914" s="59">
        <v>1</v>
      </c>
      <c r="L914" s="59">
        <f t="shared" si="14"/>
        <v>9000</v>
      </c>
      <c r="M914" s="59"/>
    </row>
    <row r="915" spans="1:13" ht="30">
      <c r="A915" s="56">
        <v>63</v>
      </c>
      <c r="B915" s="56">
        <v>63</v>
      </c>
      <c r="C915" s="56">
        <v>63</v>
      </c>
      <c r="D915" s="56" t="s">
        <v>1584</v>
      </c>
      <c r="F915" s="56" t="s">
        <v>24</v>
      </c>
      <c r="G915" s="56">
        <v>1</v>
      </c>
      <c r="H915" s="56">
        <v>2</v>
      </c>
      <c r="I915" s="56">
        <v>1600</v>
      </c>
      <c r="J915" s="59" t="s">
        <v>1181</v>
      </c>
      <c r="K915" s="59">
        <v>1</v>
      </c>
      <c r="L915" s="59">
        <f t="shared" si="14"/>
        <v>3200</v>
      </c>
      <c r="M915" s="59"/>
    </row>
    <row r="916" spans="1:13" ht="30">
      <c r="A916" s="56">
        <v>65</v>
      </c>
      <c r="B916" s="56">
        <v>65</v>
      </c>
      <c r="C916" s="56">
        <v>65</v>
      </c>
      <c r="D916" s="56" t="s">
        <v>1586</v>
      </c>
      <c r="F916" s="56" t="s">
        <v>24</v>
      </c>
      <c r="G916" s="56">
        <v>1</v>
      </c>
      <c r="H916" s="56">
        <v>2</v>
      </c>
      <c r="I916" s="56">
        <v>800</v>
      </c>
      <c r="J916" s="59" t="s">
        <v>1181</v>
      </c>
      <c r="K916" s="59">
        <v>1</v>
      </c>
      <c r="L916" s="59">
        <f t="shared" si="14"/>
        <v>1600</v>
      </c>
      <c r="M916" s="59"/>
    </row>
    <row r="917" spans="1:13" ht="30">
      <c r="A917" s="56">
        <v>80</v>
      </c>
      <c r="B917" s="56">
        <v>80</v>
      </c>
      <c r="C917" s="56">
        <v>80</v>
      </c>
      <c r="D917" s="56" t="s">
        <v>1601</v>
      </c>
      <c r="F917" s="56" t="s">
        <v>24</v>
      </c>
      <c r="G917" s="56">
        <v>1</v>
      </c>
      <c r="H917" s="56">
        <v>2</v>
      </c>
      <c r="I917" s="56">
        <v>1250</v>
      </c>
      <c r="J917" s="59" t="s">
        <v>1181</v>
      </c>
      <c r="K917" s="59">
        <v>1</v>
      </c>
      <c r="L917" s="59">
        <f t="shared" si="14"/>
        <v>2500</v>
      </c>
      <c r="M917" s="59"/>
    </row>
    <row r="918" spans="1:13" ht="30">
      <c r="A918" s="56">
        <v>81</v>
      </c>
      <c r="B918" s="56">
        <v>81</v>
      </c>
      <c r="C918" s="56">
        <v>81</v>
      </c>
      <c r="D918" s="56" t="s">
        <v>1602</v>
      </c>
      <c r="F918" s="56" t="s">
        <v>24</v>
      </c>
      <c r="G918" s="56">
        <v>1</v>
      </c>
      <c r="H918" s="56">
        <v>2</v>
      </c>
      <c r="I918" s="56">
        <v>3800</v>
      </c>
      <c r="J918" s="59" t="s">
        <v>1181</v>
      </c>
      <c r="K918" s="59">
        <v>1</v>
      </c>
      <c r="L918" s="59">
        <f t="shared" si="14"/>
        <v>7600</v>
      </c>
      <c r="M918" s="59"/>
    </row>
    <row r="919" spans="1:13" ht="30">
      <c r="A919" s="56">
        <v>87</v>
      </c>
      <c r="B919" s="56">
        <v>87</v>
      </c>
      <c r="C919" s="56">
        <v>87</v>
      </c>
      <c r="D919" s="56" t="s">
        <v>1608</v>
      </c>
      <c r="F919" s="56" t="s">
        <v>24</v>
      </c>
      <c r="G919" s="56">
        <v>1</v>
      </c>
      <c r="H919" s="56">
        <v>2</v>
      </c>
      <c r="I919" s="56">
        <v>2400</v>
      </c>
      <c r="J919" s="59" t="s">
        <v>1181</v>
      </c>
      <c r="K919" s="59">
        <v>1</v>
      </c>
      <c r="L919" s="59">
        <f t="shared" si="14"/>
        <v>4800</v>
      </c>
      <c r="M919" s="59"/>
    </row>
    <row r="920" spans="1:13" ht="30">
      <c r="A920" s="56">
        <v>94</v>
      </c>
      <c r="B920" s="56">
        <v>94</v>
      </c>
      <c r="C920" s="56">
        <v>94</v>
      </c>
      <c r="D920" s="56" t="s">
        <v>1614</v>
      </c>
      <c r="F920" s="56" t="s">
        <v>24</v>
      </c>
      <c r="G920" s="56">
        <v>1</v>
      </c>
      <c r="H920" s="56">
        <v>2</v>
      </c>
      <c r="I920" s="56">
        <v>800</v>
      </c>
      <c r="J920" s="59" t="s">
        <v>1181</v>
      </c>
      <c r="K920" s="59">
        <v>1</v>
      </c>
      <c r="L920" s="59">
        <f t="shared" si="14"/>
        <v>1600</v>
      </c>
      <c r="M920" s="59"/>
    </row>
    <row r="921" spans="1:13" ht="30">
      <c r="A921" s="56">
        <v>96</v>
      </c>
      <c r="B921" s="56">
        <v>96</v>
      </c>
      <c r="C921" s="56">
        <v>96</v>
      </c>
      <c r="D921" s="56" t="s">
        <v>1616</v>
      </c>
      <c r="F921" s="56" t="s">
        <v>24</v>
      </c>
      <c r="G921" s="56">
        <v>1</v>
      </c>
      <c r="H921" s="56">
        <v>2</v>
      </c>
      <c r="I921" s="56">
        <v>800</v>
      </c>
      <c r="J921" s="59" t="s">
        <v>1181</v>
      </c>
      <c r="K921" s="59">
        <v>1</v>
      </c>
      <c r="L921" s="59">
        <f t="shared" si="14"/>
        <v>1600</v>
      </c>
      <c r="M921" s="59"/>
    </row>
    <row r="922" spans="1:13" ht="30">
      <c r="A922" s="56">
        <v>98</v>
      </c>
      <c r="B922" s="56">
        <v>98</v>
      </c>
      <c r="C922" s="56">
        <v>98</v>
      </c>
      <c r="D922" s="56" t="s">
        <v>1618</v>
      </c>
      <c r="F922" s="56" t="s">
        <v>24</v>
      </c>
      <c r="G922" s="56">
        <v>1</v>
      </c>
      <c r="H922" s="56">
        <v>2</v>
      </c>
      <c r="I922" s="56">
        <v>2300</v>
      </c>
      <c r="J922" s="59" t="s">
        <v>1181</v>
      </c>
      <c r="K922" s="59">
        <v>1</v>
      </c>
      <c r="L922" s="59">
        <f t="shared" si="14"/>
        <v>4600</v>
      </c>
      <c r="M922" s="59"/>
    </row>
    <row r="923" spans="1:13" ht="30">
      <c r="A923" s="56">
        <v>100</v>
      </c>
      <c r="B923" s="56">
        <v>100</v>
      </c>
      <c r="C923" s="56">
        <v>100</v>
      </c>
      <c r="D923" s="56" t="s">
        <v>1619</v>
      </c>
      <c r="F923" s="56" t="s">
        <v>24</v>
      </c>
      <c r="G923" s="56">
        <v>1</v>
      </c>
      <c r="H923" s="56">
        <v>2</v>
      </c>
      <c r="I923" s="56">
        <v>1800</v>
      </c>
      <c r="J923" s="59" t="s">
        <v>1181</v>
      </c>
      <c r="K923" s="59">
        <v>1</v>
      </c>
      <c r="L923" s="59">
        <f t="shared" si="14"/>
        <v>3600</v>
      </c>
      <c r="M923" s="59"/>
    </row>
    <row r="924" spans="1:13" ht="30">
      <c r="A924" s="56">
        <v>103</v>
      </c>
      <c r="B924" s="56">
        <v>103</v>
      </c>
      <c r="C924" s="56">
        <v>103</v>
      </c>
      <c r="D924" s="56" t="s">
        <v>1621</v>
      </c>
      <c r="F924" s="56" t="s">
        <v>24</v>
      </c>
      <c r="G924" s="56">
        <v>1</v>
      </c>
      <c r="H924" s="56">
        <v>2</v>
      </c>
      <c r="I924" s="56">
        <v>1800</v>
      </c>
      <c r="J924" s="59" t="s">
        <v>1181</v>
      </c>
      <c r="K924" s="59">
        <v>1</v>
      </c>
      <c r="L924" s="59">
        <f t="shared" si="14"/>
        <v>3600</v>
      </c>
      <c r="M924" s="59"/>
    </row>
    <row r="925" spans="1:13" ht="30">
      <c r="A925" s="56">
        <v>104</v>
      </c>
      <c r="B925" s="56">
        <v>104</v>
      </c>
      <c r="C925" s="56">
        <v>104</v>
      </c>
      <c r="D925" s="56" t="s">
        <v>31</v>
      </c>
      <c r="F925" s="56" t="s">
        <v>24</v>
      </c>
      <c r="G925" s="56">
        <v>1</v>
      </c>
      <c r="H925" s="56">
        <v>2</v>
      </c>
      <c r="I925" s="56">
        <v>1450</v>
      </c>
      <c r="J925" s="59" t="s">
        <v>1181</v>
      </c>
      <c r="K925" s="59">
        <v>1</v>
      </c>
      <c r="L925" s="59">
        <f t="shared" si="14"/>
        <v>2900</v>
      </c>
      <c r="M925" s="59"/>
    </row>
    <row r="926" spans="1:13" ht="30">
      <c r="A926" s="56">
        <v>106</v>
      </c>
      <c r="B926" s="56">
        <v>106</v>
      </c>
      <c r="C926" s="56">
        <v>106</v>
      </c>
      <c r="D926" s="56" t="s">
        <v>1623</v>
      </c>
      <c r="F926" s="56" t="s">
        <v>24</v>
      </c>
      <c r="G926" s="56">
        <v>1</v>
      </c>
      <c r="H926" s="56">
        <v>2</v>
      </c>
      <c r="I926" s="56">
        <v>2400</v>
      </c>
      <c r="J926" s="59" t="s">
        <v>1181</v>
      </c>
      <c r="K926" s="59">
        <v>1</v>
      </c>
      <c r="L926" s="59">
        <f t="shared" si="14"/>
        <v>4800</v>
      </c>
      <c r="M926" s="59"/>
    </row>
    <row r="927" spans="1:13" ht="30">
      <c r="A927" s="56">
        <v>108</v>
      </c>
      <c r="B927" s="56">
        <v>108</v>
      </c>
      <c r="C927" s="56">
        <v>108</v>
      </c>
      <c r="D927" s="56" t="s">
        <v>32</v>
      </c>
      <c r="F927" s="56" t="s">
        <v>24</v>
      </c>
      <c r="G927" s="56">
        <v>1</v>
      </c>
      <c r="H927" s="56">
        <v>2</v>
      </c>
      <c r="I927" s="56">
        <v>2200</v>
      </c>
      <c r="J927" s="59" t="s">
        <v>1181</v>
      </c>
      <c r="K927" s="59">
        <v>1</v>
      </c>
      <c r="L927" s="59">
        <f t="shared" si="14"/>
        <v>4400</v>
      </c>
      <c r="M927" s="59"/>
    </row>
    <row r="928" spans="1:13" ht="30">
      <c r="A928" s="56">
        <v>110</v>
      </c>
      <c r="B928" s="56">
        <v>110</v>
      </c>
      <c r="C928" s="56">
        <v>110</v>
      </c>
      <c r="D928" s="56" t="s">
        <v>33</v>
      </c>
      <c r="F928" s="56" t="s">
        <v>24</v>
      </c>
      <c r="G928" s="56">
        <v>1</v>
      </c>
      <c r="H928" s="56">
        <v>2</v>
      </c>
      <c r="I928" s="56">
        <v>1500</v>
      </c>
      <c r="J928" s="59" t="s">
        <v>1181</v>
      </c>
      <c r="K928" s="59">
        <v>1</v>
      </c>
      <c r="L928" s="59">
        <f t="shared" si="14"/>
        <v>3000</v>
      </c>
      <c r="M928" s="59"/>
    </row>
    <row r="929" spans="1:13" ht="30">
      <c r="A929" s="56">
        <v>111</v>
      </c>
      <c r="B929" s="56">
        <v>111</v>
      </c>
      <c r="C929" s="56">
        <v>111</v>
      </c>
      <c r="D929" s="56" t="s">
        <v>1626</v>
      </c>
      <c r="F929" s="56" t="s">
        <v>24</v>
      </c>
      <c r="G929" s="56">
        <v>1</v>
      </c>
      <c r="H929" s="56">
        <v>2</v>
      </c>
      <c r="I929" s="56">
        <v>1800</v>
      </c>
      <c r="J929" s="59" t="s">
        <v>1181</v>
      </c>
      <c r="K929" s="59">
        <v>1</v>
      </c>
      <c r="L929" s="59">
        <f t="shared" si="14"/>
        <v>3600</v>
      </c>
      <c r="M929" s="59"/>
    </row>
    <row r="930" spans="1:13" ht="30">
      <c r="A930" s="56">
        <v>114</v>
      </c>
      <c r="B930" s="56">
        <v>114</v>
      </c>
      <c r="C930" s="56">
        <v>114</v>
      </c>
      <c r="D930" s="56" t="s">
        <v>34</v>
      </c>
      <c r="F930" s="56" t="s">
        <v>24</v>
      </c>
      <c r="G930" s="56">
        <v>1</v>
      </c>
      <c r="H930" s="56">
        <v>2</v>
      </c>
      <c r="I930" s="56">
        <v>1800</v>
      </c>
      <c r="J930" s="59" t="s">
        <v>1181</v>
      </c>
      <c r="K930" s="59">
        <v>1</v>
      </c>
      <c r="L930" s="59">
        <f t="shared" si="14"/>
        <v>3600</v>
      </c>
      <c r="M930" s="59"/>
    </row>
    <row r="931" spans="1:13" ht="30">
      <c r="A931" s="56">
        <v>129</v>
      </c>
      <c r="B931" s="56">
        <v>129</v>
      </c>
      <c r="C931" s="56">
        <v>129</v>
      </c>
      <c r="D931" s="56" t="s">
        <v>1643</v>
      </c>
      <c r="F931" s="56" t="s">
        <v>24</v>
      </c>
      <c r="G931" s="56">
        <v>1</v>
      </c>
      <c r="H931" s="56">
        <v>2</v>
      </c>
      <c r="I931" s="56">
        <v>2600</v>
      </c>
      <c r="J931" s="59" t="s">
        <v>1181</v>
      </c>
      <c r="K931" s="59">
        <v>1</v>
      </c>
      <c r="L931" s="59">
        <f t="shared" si="14"/>
        <v>5200</v>
      </c>
      <c r="M931" s="59"/>
    </row>
    <row r="932" spans="1:13" ht="30">
      <c r="A932" s="56">
        <v>131</v>
      </c>
      <c r="B932" s="56">
        <v>131</v>
      </c>
      <c r="C932" s="56">
        <v>131</v>
      </c>
      <c r="D932" s="56" t="s">
        <v>1644</v>
      </c>
      <c r="F932" s="56" t="s">
        <v>24</v>
      </c>
      <c r="G932" s="56">
        <v>1</v>
      </c>
      <c r="H932" s="56">
        <v>2</v>
      </c>
      <c r="I932" s="56">
        <v>3750</v>
      </c>
      <c r="J932" s="59" t="s">
        <v>1181</v>
      </c>
      <c r="K932" s="59">
        <v>1</v>
      </c>
      <c r="L932" s="59">
        <f t="shared" si="14"/>
        <v>7500</v>
      </c>
      <c r="M932" s="59"/>
    </row>
    <row r="933" spans="1:13" ht="30">
      <c r="A933" s="56">
        <v>134</v>
      </c>
      <c r="B933" s="56">
        <v>134</v>
      </c>
      <c r="C933" s="56">
        <v>134</v>
      </c>
      <c r="D933" s="56" t="s">
        <v>1647</v>
      </c>
      <c r="F933" s="56" t="s">
        <v>24</v>
      </c>
      <c r="G933" s="56">
        <v>1</v>
      </c>
      <c r="H933" s="56">
        <v>2</v>
      </c>
      <c r="I933" s="56">
        <v>3200</v>
      </c>
      <c r="J933" s="59" t="s">
        <v>1181</v>
      </c>
      <c r="K933" s="59">
        <v>1</v>
      </c>
      <c r="L933" s="59">
        <f t="shared" si="14"/>
        <v>6400</v>
      </c>
      <c r="M933" s="59"/>
    </row>
    <row r="934" spans="1:13" ht="30">
      <c r="A934" s="56">
        <v>136</v>
      </c>
      <c r="B934" s="56">
        <v>136</v>
      </c>
      <c r="C934" s="56">
        <v>136</v>
      </c>
      <c r="D934" s="56" t="s">
        <v>35</v>
      </c>
      <c r="F934" s="56" t="s">
        <v>24</v>
      </c>
      <c r="G934" s="56">
        <v>1</v>
      </c>
      <c r="H934" s="56">
        <v>2</v>
      </c>
      <c r="I934" s="56">
        <v>2400</v>
      </c>
      <c r="J934" s="59" t="s">
        <v>1181</v>
      </c>
      <c r="K934" s="59">
        <v>1</v>
      </c>
      <c r="L934" s="59">
        <f t="shared" si="14"/>
        <v>4800</v>
      </c>
      <c r="M934" s="59"/>
    </row>
    <row r="935" spans="1:13" ht="30">
      <c r="A935" s="56">
        <v>137</v>
      </c>
      <c r="B935" s="56">
        <v>137</v>
      </c>
      <c r="C935" s="56">
        <v>137</v>
      </c>
      <c r="D935" s="56" t="s">
        <v>1649</v>
      </c>
      <c r="F935" s="56" t="s">
        <v>24</v>
      </c>
      <c r="G935" s="56">
        <v>1</v>
      </c>
      <c r="H935" s="56">
        <v>2</v>
      </c>
      <c r="I935" s="56">
        <v>3600</v>
      </c>
      <c r="J935" s="59" t="s">
        <v>1181</v>
      </c>
      <c r="K935" s="59">
        <v>1</v>
      </c>
      <c r="L935" s="59">
        <f t="shared" si="14"/>
        <v>7200</v>
      </c>
      <c r="M935" s="59"/>
    </row>
    <row r="936" spans="1:13" ht="30">
      <c r="A936" s="56">
        <v>138</v>
      </c>
      <c r="B936" s="56">
        <v>138</v>
      </c>
      <c r="C936" s="56">
        <v>138</v>
      </c>
      <c r="D936" s="56" t="s">
        <v>1650</v>
      </c>
      <c r="F936" s="56" t="s">
        <v>24</v>
      </c>
      <c r="G936" s="56">
        <v>1</v>
      </c>
      <c r="H936" s="56">
        <v>2</v>
      </c>
      <c r="I936" s="56">
        <v>1800</v>
      </c>
      <c r="J936" s="59" t="s">
        <v>1181</v>
      </c>
      <c r="K936" s="59">
        <v>1</v>
      </c>
      <c r="L936" s="59">
        <f t="shared" si="14"/>
        <v>3600</v>
      </c>
      <c r="M936" s="59"/>
    </row>
    <row r="937" spans="1:13" ht="30">
      <c r="A937" s="56">
        <v>139</v>
      </c>
      <c r="B937" s="56">
        <v>139</v>
      </c>
      <c r="C937" s="56">
        <v>139</v>
      </c>
      <c r="D937" s="56" t="s">
        <v>36</v>
      </c>
      <c r="F937" s="56" t="s">
        <v>24</v>
      </c>
      <c r="G937" s="56">
        <v>1</v>
      </c>
      <c r="H937" s="56">
        <v>2</v>
      </c>
      <c r="I937" s="56">
        <v>3800</v>
      </c>
      <c r="J937" s="59" t="s">
        <v>1181</v>
      </c>
      <c r="K937" s="59">
        <v>1</v>
      </c>
      <c r="L937" s="59">
        <f t="shared" si="14"/>
        <v>7600</v>
      </c>
      <c r="M937" s="59"/>
    </row>
    <row r="938" spans="1:13" ht="30">
      <c r="A938" s="56">
        <v>150</v>
      </c>
      <c r="B938" s="56">
        <v>150</v>
      </c>
      <c r="C938" s="56">
        <v>150</v>
      </c>
      <c r="D938" s="56" t="s">
        <v>1661</v>
      </c>
      <c r="F938" s="56" t="s">
        <v>24</v>
      </c>
      <c r="G938" s="56">
        <v>1</v>
      </c>
      <c r="H938" s="56">
        <v>2</v>
      </c>
      <c r="I938" s="56">
        <v>900</v>
      </c>
      <c r="J938" s="59" t="s">
        <v>1181</v>
      </c>
      <c r="K938" s="59">
        <v>1</v>
      </c>
      <c r="L938" s="59">
        <f t="shared" si="14"/>
        <v>1800</v>
      </c>
      <c r="M938" s="59"/>
    </row>
    <row r="939" spans="1:13" ht="30">
      <c r="A939" s="56">
        <v>178</v>
      </c>
      <c r="B939" s="56">
        <v>178</v>
      </c>
      <c r="C939" s="56">
        <v>178</v>
      </c>
      <c r="D939" s="56" t="s">
        <v>1679</v>
      </c>
      <c r="F939" s="56" t="s">
        <v>24</v>
      </c>
      <c r="G939" s="56">
        <v>1</v>
      </c>
      <c r="H939" s="56">
        <v>2</v>
      </c>
      <c r="I939" s="56">
        <v>1500</v>
      </c>
      <c r="J939" s="59" t="s">
        <v>1181</v>
      </c>
      <c r="K939" s="59">
        <v>1</v>
      </c>
      <c r="L939" s="59">
        <f t="shared" si="14"/>
        <v>3000</v>
      </c>
      <c r="M939" s="59"/>
    </row>
    <row r="940" spans="1:13" ht="30">
      <c r="A940" s="56">
        <v>183</v>
      </c>
      <c r="B940" s="56">
        <v>183</v>
      </c>
      <c r="C940" s="56">
        <v>183</v>
      </c>
      <c r="D940" s="56" t="s">
        <v>46</v>
      </c>
      <c r="F940" s="56" t="s">
        <v>24</v>
      </c>
      <c r="G940" s="56">
        <v>1</v>
      </c>
      <c r="H940" s="56">
        <v>2</v>
      </c>
      <c r="I940" s="56">
        <v>1200</v>
      </c>
      <c r="J940" s="59" t="s">
        <v>1181</v>
      </c>
      <c r="K940" s="59">
        <v>1</v>
      </c>
      <c r="L940" s="59">
        <f t="shared" si="14"/>
        <v>2400</v>
      </c>
      <c r="M940" s="59"/>
    </row>
    <row r="941" spans="1:13" ht="30">
      <c r="A941" s="56">
        <v>184</v>
      </c>
      <c r="B941" s="56">
        <v>184</v>
      </c>
      <c r="C941" s="56">
        <v>184</v>
      </c>
      <c r="D941" s="56" t="s">
        <v>1683</v>
      </c>
      <c r="F941" s="56" t="s">
        <v>24</v>
      </c>
      <c r="G941" s="56">
        <v>1</v>
      </c>
      <c r="H941" s="56">
        <v>2</v>
      </c>
      <c r="I941" s="56">
        <v>1800</v>
      </c>
      <c r="J941" s="59" t="s">
        <v>1181</v>
      </c>
      <c r="K941" s="59">
        <v>1</v>
      </c>
      <c r="L941" s="59">
        <f t="shared" si="14"/>
        <v>3600</v>
      </c>
      <c r="M941" s="59"/>
    </row>
    <row r="942" spans="1:13" ht="30">
      <c r="A942" s="56">
        <v>188</v>
      </c>
      <c r="B942" s="56">
        <v>188</v>
      </c>
      <c r="C942" s="56">
        <v>188</v>
      </c>
      <c r="D942" s="56" t="s">
        <v>1687</v>
      </c>
      <c r="F942" s="56" t="s">
        <v>24</v>
      </c>
      <c r="G942" s="56">
        <v>1</v>
      </c>
      <c r="H942" s="56">
        <v>2</v>
      </c>
      <c r="I942" s="56">
        <v>1700</v>
      </c>
      <c r="J942" s="59" t="s">
        <v>1181</v>
      </c>
      <c r="K942" s="59">
        <v>1</v>
      </c>
      <c r="L942" s="59">
        <f t="shared" si="14"/>
        <v>3400</v>
      </c>
      <c r="M942" s="59"/>
    </row>
    <row r="943" spans="1:13" ht="30">
      <c r="A943" s="56">
        <v>189</v>
      </c>
      <c r="B943" s="56">
        <v>189</v>
      </c>
      <c r="C943" s="56">
        <v>189</v>
      </c>
      <c r="D943" s="56" t="s">
        <v>1688</v>
      </c>
      <c r="F943" s="56" t="s">
        <v>24</v>
      </c>
      <c r="G943" s="56">
        <v>1</v>
      </c>
      <c r="H943" s="56">
        <v>2</v>
      </c>
      <c r="I943" s="56">
        <v>1500</v>
      </c>
      <c r="J943" s="59" t="s">
        <v>1181</v>
      </c>
      <c r="K943" s="59">
        <v>1</v>
      </c>
      <c r="L943" s="59">
        <f t="shared" si="14"/>
        <v>3000</v>
      </c>
      <c r="M943" s="59"/>
    </row>
    <row r="944" spans="1:13" ht="30">
      <c r="A944" s="56">
        <v>192</v>
      </c>
      <c r="B944" s="56">
        <v>192</v>
      </c>
      <c r="C944" s="56">
        <v>192</v>
      </c>
      <c r="D944" s="56" t="s">
        <v>1691</v>
      </c>
      <c r="F944" s="56" t="s">
        <v>24</v>
      </c>
      <c r="G944" s="56">
        <v>1</v>
      </c>
      <c r="H944" s="56">
        <v>2</v>
      </c>
      <c r="I944" s="56">
        <v>1500</v>
      </c>
      <c r="J944" s="59" t="s">
        <v>1181</v>
      </c>
      <c r="K944" s="59">
        <v>1</v>
      </c>
      <c r="L944" s="59">
        <f t="shared" si="14"/>
        <v>3000</v>
      </c>
      <c r="M944" s="59"/>
    </row>
    <row r="945" spans="1:13" ht="30">
      <c r="A945" s="56">
        <v>195</v>
      </c>
      <c r="B945" s="56">
        <v>195</v>
      </c>
      <c r="C945" s="56">
        <v>195</v>
      </c>
      <c r="D945" s="56" t="s">
        <v>1694</v>
      </c>
      <c r="F945" s="56" t="s">
        <v>24</v>
      </c>
      <c r="G945" s="56">
        <v>1</v>
      </c>
      <c r="H945" s="56">
        <v>2</v>
      </c>
      <c r="I945" s="56">
        <v>1500</v>
      </c>
      <c r="J945" s="59" t="s">
        <v>1181</v>
      </c>
      <c r="K945" s="59">
        <v>1</v>
      </c>
      <c r="L945" s="59">
        <f t="shared" si="14"/>
        <v>3000</v>
      </c>
      <c r="M945" s="59"/>
    </row>
    <row r="946" spans="1:13" ht="30">
      <c r="A946" s="56">
        <v>202</v>
      </c>
      <c r="B946" s="56">
        <v>202</v>
      </c>
      <c r="C946" s="56">
        <v>202</v>
      </c>
      <c r="D946" s="56" t="s">
        <v>1701</v>
      </c>
      <c r="F946" s="56" t="s">
        <v>24</v>
      </c>
      <c r="G946" s="56">
        <v>1</v>
      </c>
      <c r="H946" s="56">
        <v>2</v>
      </c>
      <c r="I946" s="56">
        <v>1500</v>
      </c>
      <c r="J946" s="59" t="s">
        <v>1181</v>
      </c>
      <c r="K946" s="59">
        <v>1</v>
      </c>
      <c r="L946" s="59">
        <f t="shared" si="14"/>
        <v>3000</v>
      </c>
      <c r="M946" s="59"/>
    </row>
    <row r="947" spans="1:13" ht="30">
      <c r="A947" s="56">
        <v>209</v>
      </c>
      <c r="B947" s="56">
        <v>209</v>
      </c>
      <c r="C947" s="56">
        <v>209</v>
      </c>
      <c r="D947" s="56" t="s">
        <v>1707</v>
      </c>
      <c r="F947" s="56" t="s">
        <v>24</v>
      </c>
      <c r="G947" s="56">
        <v>1</v>
      </c>
      <c r="H947" s="56">
        <v>2</v>
      </c>
      <c r="I947" s="56">
        <v>1800</v>
      </c>
      <c r="J947" s="59" t="s">
        <v>1181</v>
      </c>
      <c r="K947" s="59">
        <v>1</v>
      </c>
      <c r="L947" s="59">
        <f t="shared" si="14"/>
        <v>3600</v>
      </c>
      <c r="M947" s="59"/>
    </row>
    <row r="948" spans="1:13" ht="30">
      <c r="A948" s="56">
        <v>214</v>
      </c>
      <c r="B948" s="56">
        <v>214</v>
      </c>
      <c r="C948" s="56">
        <v>214</v>
      </c>
      <c r="D948" s="56" t="s">
        <v>1711</v>
      </c>
      <c r="F948" s="56" t="s">
        <v>24</v>
      </c>
      <c r="G948" s="56">
        <v>1</v>
      </c>
      <c r="H948" s="56">
        <v>2</v>
      </c>
      <c r="I948" s="56">
        <v>2400</v>
      </c>
      <c r="J948" s="59" t="s">
        <v>1181</v>
      </c>
      <c r="K948" s="59">
        <v>1</v>
      </c>
      <c r="L948" s="59">
        <f t="shared" si="14"/>
        <v>4800</v>
      </c>
      <c r="M948" s="59"/>
    </row>
    <row r="949" spans="1:13" ht="30">
      <c r="A949" s="56">
        <v>215</v>
      </c>
      <c r="B949" s="56">
        <v>215</v>
      </c>
      <c r="C949" s="56">
        <v>215</v>
      </c>
      <c r="D949" s="56" t="s">
        <v>1712</v>
      </c>
      <c r="F949" s="56" t="s">
        <v>24</v>
      </c>
      <c r="G949" s="56">
        <v>1</v>
      </c>
      <c r="H949" s="56">
        <v>2</v>
      </c>
      <c r="I949" s="56">
        <v>1500</v>
      </c>
      <c r="J949" s="59" t="s">
        <v>1181</v>
      </c>
      <c r="K949" s="59">
        <v>1</v>
      </c>
      <c r="L949" s="59">
        <f t="shared" si="14"/>
        <v>3000</v>
      </c>
      <c r="M949" s="59"/>
    </row>
    <row r="950" spans="1:13" ht="30">
      <c r="A950" s="56">
        <v>216</v>
      </c>
      <c r="B950" s="56">
        <v>216</v>
      </c>
      <c r="C950" s="56">
        <v>216</v>
      </c>
      <c r="D950" s="56" t="s">
        <v>48</v>
      </c>
      <c r="F950" s="56" t="s">
        <v>24</v>
      </c>
      <c r="G950" s="56">
        <v>1</v>
      </c>
      <c r="H950" s="56">
        <v>2</v>
      </c>
      <c r="I950" s="56">
        <v>1500</v>
      </c>
      <c r="J950" s="59" t="s">
        <v>1181</v>
      </c>
      <c r="K950" s="59">
        <v>1</v>
      </c>
      <c r="L950" s="59">
        <f t="shared" si="14"/>
        <v>3000</v>
      </c>
      <c r="M950" s="59"/>
    </row>
    <row r="951" spans="1:13" ht="30">
      <c r="A951" s="56">
        <v>229</v>
      </c>
      <c r="B951" s="56">
        <v>229</v>
      </c>
      <c r="C951" s="56">
        <v>229</v>
      </c>
      <c r="D951" s="56" t="s">
        <v>1724</v>
      </c>
      <c r="F951" s="56" t="s">
        <v>24</v>
      </c>
      <c r="G951" s="56">
        <v>1</v>
      </c>
      <c r="H951" s="56">
        <v>2</v>
      </c>
      <c r="I951" s="56">
        <v>5200</v>
      </c>
      <c r="J951" s="59" t="s">
        <v>1181</v>
      </c>
      <c r="K951" s="59">
        <v>1</v>
      </c>
      <c r="L951" s="59">
        <f t="shared" si="14"/>
        <v>10400</v>
      </c>
      <c r="M951" s="59"/>
    </row>
    <row r="952" spans="1:13" ht="30">
      <c r="A952" s="56">
        <v>236</v>
      </c>
      <c r="B952" s="56">
        <v>236</v>
      </c>
      <c r="C952" s="56">
        <v>236</v>
      </c>
      <c r="D952" s="56" t="s">
        <v>1729</v>
      </c>
      <c r="F952" s="56" t="s">
        <v>24</v>
      </c>
      <c r="G952" s="56">
        <v>1</v>
      </c>
      <c r="H952" s="56">
        <v>2</v>
      </c>
      <c r="I952" s="56">
        <v>1800</v>
      </c>
      <c r="J952" s="59" t="s">
        <v>1181</v>
      </c>
      <c r="K952" s="59">
        <v>1</v>
      </c>
      <c r="L952" s="59">
        <f t="shared" si="14"/>
        <v>3600</v>
      </c>
      <c r="M952" s="59"/>
    </row>
    <row r="953" spans="1:13" ht="30">
      <c r="A953" s="56">
        <v>241</v>
      </c>
      <c r="B953" s="56">
        <v>241</v>
      </c>
      <c r="C953" s="56">
        <v>241</v>
      </c>
      <c r="D953" s="56" t="s">
        <v>1734</v>
      </c>
      <c r="F953" s="56" t="s">
        <v>24</v>
      </c>
      <c r="G953" s="56">
        <v>1</v>
      </c>
      <c r="H953" s="56">
        <v>2</v>
      </c>
      <c r="I953" s="56">
        <v>1200</v>
      </c>
      <c r="J953" s="59" t="s">
        <v>1181</v>
      </c>
      <c r="K953" s="59">
        <v>1</v>
      </c>
      <c r="L953" s="59">
        <f t="shared" si="14"/>
        <v>2400</v>
      </c>
      <c r="M953" s="59"/>
    </row>
    <row r="954" spans="1:13" ht="30">
      <c r="A954" s="56">
        <v>245</v>
      </c>
      <c r="B954" s="56">
        <v>245</v>
      </c>
      <c r="C954" s="56">
        <v>245</v>
      </c>
      <c r="D954" s="56" t="s">
        <v>1736</v>
      </c>
      <c r="F954" s="56" t="s">
        <v>24</v>
      </c>
      <c r="G954" s="56">
        <v>1</v>
      </c>
      <c r="H954" s="56">
        <v>2</v>
      </c>
      <c r="I954" s="56">
        <v>1200</v>
      </c>
      <c r="J954" s="59" t="s">
        <v>1181</v>
      </c>
      <c r="K954" s="59">
        <v>1</v>
      </c>
      <c r="L954" s="59">
        <f t="shared" si="14"/>
        <v>2400</v>
      </c>
      <c r="M954" s="59"/>
    </row>
    <row r="955" spans="1:13" ht="30">
      <c r="A955" s="56">
        <v>252</v>
      </c>
      <c r="B955" s="56">
        <v>252</v>
      </c>
      <c r="C955" s="56">
        <v>252</v>
      </c>
      <c r="D955" s="56" t="s">
        <v>1742</v>
      </c>
      <c r="F955" s="56" t="s">
        <v>24</v>
      </c>
      <c r="G955" s="56">
        <v>1</v>
      </c>
      <c r="H955" s="56">
        <v>2</v>
      </c>
      <c r="I955" s="56">
        <v>500</v>
      </c>
      <c r="J955" s="59" t="s">
        <v>1181</v>
      </c>
      <c r="K955" s="59">
        <v>1</v>
      </c>
      <c r="L955" s="59">
        <f t="shared" si="14"/>
        <v>1000</v>
      </c>
      <c r="M955" s="59"/>
    </row>
    <row r="956" spans="1:13" ht="30">
      <c r="A956" s="56">
        <v>255</v>
      </c>
      <c r="B956" s="56">
        <v>255</v>
      </c>
      <c r="C956" s="56">
        <v>255</v>
      </c>
      <c r="D956" s="56" t="s">
        <v>1745</v>
      </c>
      <c r="F956" s="56" t="s">
        <v>24</v>
      </c>
      <c r="G956" s="56">
        <v>1</v>
      </c>
      <c r="H956" s="56">
        <v>2</v>
      </c>
      <c r="I956" s="56">
        <v>1000</v>
      </c>
      <c r="J956" s="59" t="s">
        <v>1181</v>
      </c>
      <c r="K956" s="59">
        <v>1</v>
      </c>
      <c r="L956" s="59">
        <f t="shared" si="14"/>
        <v>2000</v>
      </c>
      <c r="M956" s="59"/>
    </row>
    <row r="957" spans="1:13" ht="30">
      <c r="A957" s="56">
        <v>278</v>
      </c>
      <c r="B957" s="56">
        <v>278</v>
      </c>
      <c r="C957" s="56">
        <v>278</v>
      </c>
      <c r="D957" s="56" t="s">
        <v>1761</v>
      </c>
      <c r="F957" s="56" t="s">
        <v>24</v>
      </c>
      <c r="G957" s="56">
        <v>1</v>
      </c>
      <c r="H957" s="56">
        <v>2</v>
      </c>
      <c r="I957" s="56">
        <v>300</v>
      </c>
      <c r="J957" s="59" t="s">
        <v>1181</v>
      </c>
      <c r="K957" s="59">
        <v>1</v>
      </c>
      <c r="L957" s="59">
        <f t="shared" si="14"/>
        <v>600</v>
      </c>
      <c r="M957" s="59"/>
    </row>
    <row r="958" spans="1:13" ht="30">
      <c r="A958" s="56">
        <v>315</v>
      </c>
      <c r="B958" s="56">
        <v>315</v>
      </c>
      <c r="C958" s="56">
        <v>315</v>
      </c>
      <c r="D958" s="56" t="s">
        <v>1789</v>
      </c>
      <c r="F958" s="56" t="s">
        <v>24</v>
      </c>
      <c r="G958" s="56">
        <v>1</v>
      </c>
      <c r="H958" s="56">
        <v>2</v>
      </c>
      <c r="I958" s="56">
        <v>150</v>
      </c>
      <c r="J958" s="59" t="s">
        <v>1181</v>
      </c>
      <c r="K958" s="59">
        <v>1</v>
      </c>
      <c r="L958" s="59">
        <f t="shared" si="14"/>
        <v>300</v>
      </c>
      <c r="M958" s="59"/>
    </row>
    <row r="959" spans="1:13" ht="30">
      <c r="A959" s="56">
        <v>329</v>
      </c>
      <c r="B959" s="56">
        <v>329</v>
      </c>
      <c r="C959" s="56">
        <v>329</v>
      </c>
      <c r="D959" s="56" t="s">
        <v>1802</v>
      </c>
      <c r="F959" s="56" t="s">
        <v>24</v>
      </c>
      <c r="G959" s="56">
        <v>1</v>
      </c>
      <c r="H959" s="56">
        <v>2</v>
      </c>
      <c r="I959" s="56">
        <v>1400</v>
      </c>
      <c r="J959" s="59" t="s">
        <v>1181</v>
      </c>
      <c r="K959" s="59">
        <v>1</v>
      </c>
      <c r="L959" s="59">
        <f t="shared" si="14"/>
        <v>2800</v>
      </c>
      <c r="M959" s="59"/>
    </row>
    <row r="960" spans="1:13" ht="30">
      <c r="A960" s="56">
        <v>335</v>
      </c>
      <c r="B960" s="56">
        <v>335</v>
      </c>
      <c r="C960" s="56">
        <v>335</v>
      </c>
      <c r="D960" s="56" t="s">
        <v>1808</v>
      </c>
      <c r="F960" s="56" t="s">
        <v>24</v>
      </c>
      <c r="G960" s="56">
        <v>1</v>
      </c>
      <c r="H960" s="56">
        <v>2</v>
      </c>
      <c r="I960" s="56">
        <v>2200</v>
      </c>
      <c r="J960" s="59" t="s">
        <v>1181</v>
      </c>
      <c r="K960" s="59">
        <v>1</v>
      </c>
      <c r="L960" s="59">
        <f t="shared" si="14"/>
        <v>4400</v>
      </c>
      <c r="M960" s="59"/>
    </row>
    <row r="961" spans="1:13" ht="30">
      <c r="A961" s="56">
        <v>336</v>
      </c>
      <c r="B961" s="56">
        <v>336</v>
      </c>
      <c r="C961" s="56">
        <v>336</v>
      </c>
      <c r="D961" s="56" t="s">
        <v>1809</v>
      </c>
      <c r="F961" s="56" t="s">
        <v>24</v>
      </c>
      <c r="G961" s="56">
        <v>1</v>
      </c>
      <c r="H961" s="56">
        <v>2</v>
      </c>
      <c r="I961" s="56">
        <v>2000</v>
      </c>
      <c r="J961" s="59" t="s">
        <v>1181</v>
      </c>
      <c r="K961" s="59">
        <v>1</v>
      </c>
      <c r="L961" s="59">
        <f t="shared" si="14"/>
        <v>4000</v>
      </c>
      <c r="M961" s="59"/>
    </row>
    <row r="962" spans="1:13" ht="30">
      <c r="A962" s="56">
        <v>339</v>
      </c>
      <c r="B962" s="56">
        <v>339</v>
      </c>
      <c r="C962" s="56">
        <v>339</v>
      </c>
      <c r="D962" s="56" t="s">
        <v>1812</v>
      </c>
      <c r="F962" s="56" t="s">
        <v>24</v>
      </c>
      <c r="G962" s="56">
        <v>1</v>
      </c>
      <c r="H962" s="56">
        <v>2</v>
      </c>
      <c r="I962" s="56">
        <v>800</v>
      </c>
      <c r="J962" s="59" t="s">
        <v>1181</v>
      </c>
      <c r="K962" s="59">
        <v>1</v>
      </c>
      <c r="L962" s="59">
        <f t="shared" ref="L962:L1025" si="15">H962*I962</f>
        <v>1600</v>
      </c>
      <c r="M962" s="59"/>
    </row>
    <row r="963" spans="1:13" ht="30">
      <c r="A963" s="56">
        <v>340</v>
      </c>
      <c r="B963" s="56">
        <v>340</v>
      </c>
      <c r="C963" s="56">
        <v>340</v>
      </c>
      <c r="D963" s="56" t="s">
        <v>1813</v>
      </c>
      <c r="F963" s="56" t="s">
        <v>24</v>
      </c>
      <c r="G963" s="56">
        <v>1</v>
      </c>
      <c r="H963" s="56">
        <v>2</v>
      </c>
      <c r="I963" s="56">
        <v>1350</v>
      </c>
      <c r="J963" s="59" t="s">
        <v>1181</v>
      </c>
      <c r="K963" s="59">
        <v>1</v>
      </c>
      <c r="L963" s="59">
        <f t="shared" si="15"/>
        <v>2700</v>
      </c>
      <c r="M963" s="59"/>
    </row>
    <row r="964" spans="1:13" ht="30">
      <c r="A964" s="56">
        <v>343</v>
      </c>
      <c r="B964" s="56">
        <v>343</v>
      </c>
      <c r="C964" s="56">
        <v>343</v>
      </c>
      <c r="D964" s="56" t="s">
        <v>1816</v>
      </c>
      <c r="F964" s="56" t="s">
        <v>24</v>
      </c>
      <c r="G964" s="56">
        <v>1</v>
      </c>
      <c r="H964" s="56">
        <v>2</v>
      </c>
      <c r="I964" s="56">
        <v>2000</v>
      </c>
      <c r="J964" s="59" t="s">
        <v>1181</v>
      </c>
      <c r="K964" s="59">
        <v>1</v>
      </c>
      <c r="L964" s="59">
        <f t="shared" si="15"/>
        <v>4000</v>
      </c>
      <c r="M964" s="59"/>
    </row>
    <row r="965" spans="1:13" ht="30">
      <c r="A965" s="56">
        <v>348</v>
      </c>
      <c r="B965" s="56">
        <v>348</v>
      </c>
      <c r="C965" s="56">
        <v>348</v>
      </c>
      <c r="D965" s="56" t="s">
        <v>1821</v>
      </c>
      <c r="F965" s="56" t="s">
        <v>24</v>
      </c>
      <c r="G965" s="56">
        <v>1</v>
      </c>
      <c r="H965" s="56">
        <v>2</v>
      </c>
      <c r="I965" s="56">
        <v>370</v>
      </c>
      <c r="J965" s="59" t="s">
        <v>1181</v>
      </c>
      <c r="K965" s="59">
        <v>1</v>
      </c>
      <c r="L965" s="59">
        <f t="shared" si="15"/>
        <v>740</v>
      </c>
      <c r="M965" s="59"/>
    </row>
    <row r="966" spans="1:13" ht="30">
      <c r="A966" s="56">
        <v>352</v>
      </c>
      <c r="B966" s="56">
        <v>352</v>
      </c>
      <c r="C966" s="56">
        <v>352</v>
      </c>
      <c r="D966" s="56" t="s">
        <v>1825</v>
      </c>
      <c r="F966" s="56" t="s">
        <v>24</v>
      </c>
      <c r="G966" s="56">
        <v>1</v>
      </c>
      <c r="H966" s="56">
        <v>2</v>
      </c>
      <c r="I966" s="56">
        <v>290</v>
      </c>
      <c r="J966" s="59" t="s">
        <v>1181</v>
      </c>
      <c r="K966" s="59">
        <v>1</v>
      </c>
      <c r="L966" s="59">
        <f t="shared" si="15"/>
        <v>580</v>
      </c>
      <c r="M966" s="59"/>
    </row>
    <row r="967" spans="1:13" ht="30">
      <c r="A967" s="56">
        <v>359</v>
      </c>
      <c r="B967" s="56">
        <v>359</v>
      </c>
      <c r="C967" s="56">
        <v>359</v>
      </c>
      <c r="D967" s="56" t="s">
        <v>1832</v>
      </c>
      <c r="F967" s="56" t="s">
        <v>24</v>
      </c>
      <c r="G967" s="56">
        <v>1</v>
      </c>
      <c r="H967" s="56">
        <v>2</v>
      </c>
      <c r="I967" s="56">
        <v>520</v>
      </c>
      <c r="J967" s="59" t="s">
        <v>1181</v>
      </c>
      <c r="K967" s="59">
        <v>1</v>
      </c>
      <c r="L967" s="59">
        <f t="shared" si="15"/>
        <v>1040</v>
      </c>
      <c r="M967" s="59"/>
    </row>
    <row r="968" spans="1:13" ht="30">
      <c r="A968" s="56">
        <v>365</v>
      </c>
      <c r="B968" s="56">
        <v>365</v>
      </c>
      <c r="C968" s="56">
        <v>365</v>
      </c>
      <c r="D968" s="56" t="s">
        <v>1838</v>
      </c>
      <c r="F968" s="56" t="s">
        <v>24</v>
      </c>
      <c r="G968" s="56">
        <v>1</v>
      </c>
      <c r="H968" s="56">
        <v>2</v>
      </c>
      <c r="I968" s="56">
        <v>700</v>
      </c>
      <c r="J968" s="59" t="s">
        <v>1181</v>
      </c>
      <c r="K968" s="59">
        <v>1</v>
      </c>
      <c r="L968" s="59">
        <f t="shared" si="15"/>
        <v>1400</v>
      </c>
      <c r="M968" s="59"/>
    </row>
    <row r="969" spans="1:13" ht="30">
      <c r="A969" s="56">
        <v>370</v>
      </c>
      <c r="B969" s="56">
        <v>370</v>
      </c>
      <c r="C969" s="56">
        <v>370</v>
      </c>
      <c r="D969" s="56" t="s">
        <v>1843</v>
      </c>
      <c r="F969" s="56" t="s">
        <v>24</v>
      </c>
      <c r="G969" s="56">
        <v>1</v>
      </c>
      <c r="H969" s="56">
        <v>2</v>
      </c>
      <c r="I969" s="56">
        <v>750</v>
      </c>
      <c r="J969" s="59" t="s">
        <v>1181</v>
      </c>
      <c r="K969" s="59">
        <v>1</v>
      </c>
      <c r="L969" s="59">
        <f t="shared" si="15"/>
        <v>1500</v>
      </c>
      <c r="M969" s="59"/>
    </row>
    <row r="970" spans="1:13" ht="30">
      <c r="A970" s="56">
        <v>375</v>
      </c>
      <c r="B970" s="56">
        <v>375</v>
      </c>
      <c r="C970" s="56">
        <v>375</v>
      </c>
      <c r="D970" s="56" t="s">
        <v>1848</v>
      </c>
      <c r="F970" s="56" t="s">
        <v>24</v>
      </c>
      <c r="G970" s="56">
        <v>1</v>
      </c>
      <c r="H970" s="56">
        <v>2</v>
      </c>
      <c r="I970" s="56">
        <v>1200</v>
      </c>
      <c r="J970" s="59" t="s">
        <v>1181</v>
      </c>
      <c r="K970" s="59">
        <v>1</v>
      </c>
      <c r="L970" s="59">
        <f t="shared" si="15"/>
        <v>2400</v>
      </c>
      <c r="M970" s="59"/>
    </row>
    <row r="971" spans="1:13" ht="30">
      <c r="A971" s="56">
        <v>379</v>
      </c>
      <c r="B971" s="56">
        <v>379</v>
      </c>
      <c r="C971" s="56">
        <v>379</v>
      </c>
      <c r="D971" s="56" t="s">
        <v>1852</v>
      </c>
      <c r="F971" s="56" t="s">
        <v>24</v>
      </c>
      <c r="G971" s="56">
        <v>1</v>
      </c>
      <c r="H971" s="56">
        <v>2</v>
      </c>
      <c r="I971" s="56">
        <v>450</v>
      </c>
      <c r="J971" s="59" t="s">
        <v>1181</v>
      </c>
      <c r="K971" s="59">
        <v>1</v>
      </c>
      <c r="L971" s="59">
        <f t="shared" si="15"/>
        <v>900</v>
      </c>
      <c r="M971" s="59"/>
    </row>
    <row r="972" spans="1:13" ht="30">
      <c r="A972" s="56">
        <v>382</v>
      </c>
      <c r="B972" s="56">
        <v>382</v>
      </c>
      <c r="C972" s="56">
        <v>382</v>
      </c>
      <c r="D972" s="56" t="s">
        <v>1855</v>
      </c>
      <c r="F972" s="56" t="s">
        <v>24</v>
      </c>
      <c r="G972" s="56">
        <v>1</v>
      </c>
      <c r="H972" s="56">
        <v>2</v>
      </c>
      <c r="I972" s="56">
        <v>2350</v>
      </c>
      <c r="J972" s="59" t="s">
        <v>1181</v>
      </c>
      <c r="K972" s="59">
        <v>1</v>
      </c>
      <c r="L972" s="59">
        <f t="shared" si="15"/>
        <v>4700</v>
      </c>
      <c r="M972" s="59"/>
    </row>
    <row r="973" spans="1:13" ht="30">
      <c r="A973" s="56">
        <v>393</v>
      </c>
      <c r="B973" s="56">
        <v>393</v>
      </c>
      <c r="C973" s="56">
        <v>393</v>
      </c>
      <c r="D973" s="56" t="s">
        <v>1866</v>
      </c>
      <c r="F973" s="56" t="s">
        <v>24</v>
      </c>
      <c r="G973" s="56">
        <v>1</v>
      </c>
      <c r="H973" s="56">
        <v>2</v>
      </c>
      <c r="I973" s="56">
        <v>300</v>
      </c>
      <c r="J973" s="59" t="s">
        <v>1181</v>
      </c>
      <c r="K973" s="59">
        <v>1</v>
      </c>
      <c r="L973" s="59">
        <f t="shared" si="15"/>
        <v>600</v>
      </c>
      <c r="M973" s="59"/>
    </row>
    <row r="974" spans="1:13" ht="30">
      <c r="A974" s="56">
        <v>395</v>
      </c>
      <c r="B974" s="56">
        <v>395</v>
      </c>
      <c r="C974" s="56">
        <v>395</v>
      </c>
      <c r="D974" s="56" t="s">
        <v>1868</v>
      </c>
      <c r="F974" s="56" t="s">
        <v>24</v>
      </c>
      <c r="G974" s="56">
        <v>1</v>
      </c>
      <c r="H974" s="56">
        <v>2</v>
      </c>
      <c r="I974" s="56">
        <v>1000</v>
      </c>
      <c r="J974" s="59" t="s">
        <v>1181</v>
      </c>
      <c r="K974" s="59">
        <v>1</v>
      </c>
      <c r="L974" s="59">
        <f t="shared" si="15"/>
        <v>2000</v>
      </c>
      <c r="M974" s="59"/>
    </row>
    <row r="975" spans="1:13" ht="30">
      <c r="A975" s="56">
        <v>402</v>
      </c>
      <c r="B975" s="56">
        <v>402</v>
      </c>
      <c r="C975" s="56">
        <v>402</v>
      </c>
      <c r="D975" s="56" t="s">
        <v>1875</v>
      </c>
      <c r="F975" s="56" t="s">
        <v>24</v>
      </c>
      <c r="G975" s="56">
        <v>1</v>
      </c>
      <c r="H975" s="56">
        <v>2</v>
      </c>
      <c r="I975" s="56">
        <v>550</v>
      </c>
      <c r="J975" s="59" t="s">
        <v>1181</v>
      </c>
      <c r="K975" s="59">
        <v>1</v>
      </c>
      <c r="L975" s="59">
        <f t="shared" si="15"/>
        <v>1100</v>
      </c>
      <c r="M975" s="59"/>
    </row>
    <row r="976" spans="1:13" ht="30">
      <c r="A976" s="56">
        <v>406</v>
      </c>
      <c r="B976" s="56">
        <v>406</v>
      </c>
      <c r="C976" s="56">
        <v>406</v>
      </c>
      <c r="D976" s="56" t="s">
        <v>1879</v>
      </c>
      <c r="F976" s="56" t="s">
        <v>24</v>
      </c>
      <c r="G976" s="56">
        <v>1</v>
      </c>
      <c r="H976" s="56">
        <v>2</v>
      </c>
      <c r="I976" s="56">
        <v>0</v>
      </c>
      <c r="J976" s="59" t="s">
        <v>1181</v>
      </c>
      <c r="K976" s="59">
        <v>1</v>
      </c>
      <c r="L976" s="59">
        <f t="shared" si="15"/>
        <v>0</v>
      </c>
      <c r="M976" s="59"/>
    </row>
    <row r="977" spans="1:14" ht="30">
      <c r="A977" s="56">
        <v>407</v>
      </c>
      <c r="B977" s="56">
        <v>407</v>
      </c>
      <c r="C977" s="56">
        <v>407</v>
      </c>
      <c r="D977" s="56" t="s">
        <v>1880</v>
      </c>
      <c r="F977" s="56" t="s">
        <v>24</v>
      </c>
      <c r="G977" s="56">
        <v>1</v>
      </c>
      <c r="H977" s="56">
        <v>2</v>
      </c>
      <c r="I977" s="56">
        <v>2300</v>
      </c>
      <c r="J977" s="59" t="s">
        <v>1181</v>
      </c>
      <c r="K977" s="59">
        <v>1</v>
      </c>
      <c r="L977" s="59">
        <f t="shared" si="15"/>
        <v>4600</v>
      </c>
      <c r="M977" s="59"/>
    </row>
    <row r="978" spans="1:14" ht="30">
      <c r="A978" s="56">
        <v>412</v>
      </c>
      <c r="B978" s="56">
        <v>412</v>
      </c>
      <c r="C978" s="56">
        <v>412</v>
      </c>
      <c r="D978" s="56" t="s">
        <v>1271</v>
      </c>
      <c r="F978" s="58" t="s">
        <v>24</v>
      </c>
      <c r="G978" s="58">
        <v>1</v>
      </c>
      <c r="H978" s="58">
        <v>2</v>
      </c>
      <c r="I978" s="56">
        <v>130</v>
      </c>
      <c r="J978" s="59" t="s">
        <v>1181</v>
      </c>
      <c r="K978" s="59">
        <v>1</v>
      </c>
      <c r="L978" s="59">
        <f t="shared" si="15"/>
        <v>260</v>
      </c>
      <c r="M978" s="59"/>
      <c r="N978" s="58"/>
    </row>
    <row r="979" spans="1:14" ht="30">
      <c r="A979" s="56">
        <v>424</v>
      </c>
      <c r="B979" s="56">
        <v>424</v>
      </c>
      <c r="C979" s="56">
        <v>424</v>
      </c>
      <c r="D979" s="56" t="s">
        <v>1893</v>
      </c>
      <c r="F979" s="56" t="s">
        <v>24</v>
      </c>
      <c r="G979" s="56">
        <v>1</v>
      </c>
      <c r="H979" s="56">
        <v>2</v>
      </c>
      <c r="I979" s="56">
        <v>350</v>
      </c>
      <c r="J979" s="59" t="s">
        <v>1181</v>
      </c>
      <c r="K979" s="59">
        <v>1</v>
      </c>
      <c r="L979" s="59">
        <f t="shared" si="15"/>
        <v>700</v>
      </c>
      <c r="M979" s="59"/>
    </row>
    <row r="980" spans="1:14" ht="30">
      <c r="A980" s="56">
        <v>437</v>
      </c>
      <c r="B980" s="56">
        <v>437</v>
      </c>
      <c r="C980" s="56">
        <v>437</v>
      </c>
      <c r="D980" s="56" t="s">
        <v>1906</v>
      </c>
      <c r="F980" s="56" t="s">
        <v>24</v>
      </c>
      <c r="G980" s="56">
        <v>1</v>
      </c>
      <c r="H980" s="56">
        <v>2</v>
      </c>
      <c r="I980" s="56">
        <v>150</v>
      </c>
      <c r="J980" s="59" t="s">
        <v>1181</v>
      </c>
      <c r="K980" s="59">
        <v>1</v>
      </c>
      <c r="L980" s="59">
        <f t="shared" si="15"/>
        <v>300</v>
      </c>
      <c r="M980" s="59"/>
    </row>
    <row r="981" spans="1:14" ht="30">
      <c r="A981" s="56">
        <v>446</v>
      </c>
      <c r="B981" s="56">
        <v>446</v>
      </c>
      <c r="C981" s="56">
        <v>446</v>
      </c>
      <c r="D981" s="56" t="s">
        <v>1914</v>
      </c>
      <c r="F981" s="56" t="s">
        <v>24</v>
      </c>
      <c r="G981" s="56">
        <v>1</v>
      </c>
      <c r="H981" s="56">
        <v>2</v>
      </c>
      <c r="I981" s="56">
        <v>480</v>
      </c>
      <c r="J981" s="59" t="s">
        <v>1181</v>
      </c>
      <c r="K981" s="59">
        <v>1</v>
      </c>
      <c r="L981" s="59">
        <f t="shared" si="15"/>
        <v>960</v>
      </c>
      <c r="M981" s="59"/>
    </row>
    <row r="982" spans="1:14" ht="30">
      <c r="A982" s="56">
        <v>448</v>
      </c>
      <c r="B982" s="56">
        <v>448</v>
      </c>
      <c r="C982" s="56">
        <v>448</v>
      </c>
      <c r="D982" s="56" t="s">
        <v>1916</v>
      </c>
      <c r="F982" s="56" t="s">
        <v>24</v>
      </c>
      <c r="G982" s="56">
        <v>1</v>
      </c>
      <c r="H982" s="56">
        <v>2</v>
      </c>
      <c r="I982" s="56">
        <v>350</v>
      </c>
      <c r="J982" s="59" t="s">
        <v>1181</v>
      </c>
      <c r="K982" s="59">
        <v>1</v>
      </c>
      <c r="L982" s="59">
        <f t="shared" si="15"/>
        <v>700</v>
      </c>
      <c r="M982" s="59"/>
    </row>
    <row r="983" spans="1:14" ht="30">
      <c r="A983" s="56">
        <v>453</v>
      </c>
      <c r="B983" s="56">
        <v>453</v>
      </c>
      <c r="C983" s="56">
        <v>453</v>
      </c>
      <c r="D983" s="56" t="s">
        <v>1921</v>
      </c>
      <c r="F983" s="56" t="s">
        <v>24</v>
      </c>
      <c r="G983" s="56">
        <v>1</v>
      </c>
      <c r="H983" s="56">
        <v>2</v>
      </c>
      <c r="I983" s="56">
        <v>1200</v>
      </c>
      <c r="J983" s="59" t="s">
        <v>1181</v>
      </c>
      <c r="K983" s="59">
        <v>1</v>
      </c>
      <c r="L983" s="59">
        <f t="shared" si="15"/>
        <v>2400</v>
      </c>
      <c r="M983" s="59"/>
    </row>
    <row r="984" spans="1:14" ht="30">
      <c r="A984" s="56">
        <v>454</v>
      </c>
      <c r="B984" s="56">
        <v>454</v>
      </c>
      <c r="C984" s="56">
        <v>454</v>
      </c>
      <c r="D984" s="56" t="s">
        <v>1922</v>
      </c>
      <c r="F984" s="56" t="s">
        <v>24</v>
      </c>
      <c r="G984" s="56">
        <v>1</v>
      </c>
      <c r="H984" s="56">
        <v>2</v>
      </c>
      <c r="I984" s="56">
        <v>1200</v>
      </c>
      <c r="J984" s="59" t="s">
        <v>1181</v>
      </c>
      <c r="K984" s="59">
        <v>1</v>
      </c>
      <c r="L984" s="59">
        <f t="shared" si="15"/>
        <v>2400</v>
      </c>
      <c r="M984" s="59"/>
    </row>
    <row r="985" spans="1:14" ht="30">
      <c r="A985" s="56">
        <v>463</v>
      </c>
      <c r="B985" s="56">
        <v>463</v>
      </c>
      <c r="C985" s="56">
        <v>463</v>
      </c>
      <c r="D985" s="56" t="s">
        <v>1931</v>
      </c>
      <c r="F985" s="56" t="s">
        <v>24</v>
      </c>
      <c r="G985" s="56">
        <v>1</v>
      </c>
      <c r="H985" s="56">
        <v>2</v>
      </c>
      <c r="I985" s="56">
        <v>1000</v>
      </c>
      <c r="J985" s="59" t="s">
        <v>1181</v>
      </c>
      <c r="K985" s="59">
        <v>1</v>
      </c>
      <c r="L985" s="59">
        <f t="shared" si="15"/>
        <v>2000</v>
      </c>
      <c r="M985" s="59"/>
    </row>
    <row r="986" spans="1:14" ht="30">
      <c r="A986" s="56">
        <v>464</v>
      </c>
      <c r="B986" s="56">
        <v>464</v>
      </c>
      <c r="C986" s="56">
        <v>464</v>
      </c>
      <c r="D986" s="56" t="s">
        <v>1932</v>
      </c>
      <c r="F986" s="56" t="s">
        <v>24</v>
      </c>
      <c r="G986" s="56">
        <v>1</v>
      </c>
      <c r="H986" s="56">
        <v>2</v>
      </c>
      <c r="I986" s="56">
        <v>950</v>
      </c>
      <c r="J986" s="59" t="s">
        <v>1181</v>
      </c>
      <c r="K986" s="59">
        <v>1</v>
      </c>
      <c r="L986" s="59">
        <f t="shared" si="15"/>
        <v>1900</v>
      </c>
      <c r="M986" s="59"/>
    </row>
    <row r="987" spans="1:14" ht="30">
      <c r="A987" s="56">
        <v>466</v>
      </c>
      <c r="B987" s="56">
        <v>466</v>
      </c>
      <c r="C987" s="56">
        <v>466</v>
      </c>
      <c r="D987" s="56" t="s">
        <v>1934</v>
      </c>
      <c r="F987" s="56" t="s">
        <v>24</v>
      </c>
      <c r="G987" s="56">
        <v>1</v>
      </c>
      <c r="H987" s="56">
        <v>2</v>
      </c>
      <c r="I987" s="56">
        <v>4500</v>
      </c>
      <c r="J987" s="59" t="s">
        <v>1181</v>
      </c>
      <c r="K987" s="59">
        <v>1</v>
      </c>
      <c r="L987" s="59">
        <f t="shared" si="15"/>
        <v>9000</v>
      </c>
      <c r="M987" s="59"/>
    </row>
    <row r="988" spans="1:14" ht="30">
      <c r="A988" s="56">
        <v>467</v>
      </c>
      <c r="B988" s="56">
        <v>467</v>
      </c>
      <c r="C988" s="56">
        <v>467</v>
      </c>
      <c r="D988" s="56" t="s">
        <v>1935</v>
      </c>
      <c r="F988" s="56" t="s">
        <v>24</v>
      </c>
      <c r="G988" s="56">
        <v>1</v>
      </c>
      <c r="H988" s="56">
        <v>2</v>
      </c>
      <c r="I988" s="56">
        <v>1000</v>
      </c>
      <c r="J988" s="59" t="s">
        <v>1181</v>
      </c>
      <c r="K988" s="59">
        <v>1</v>
      </c>
      <c r="L988" s="59">
        <f t="shared" si="15"/>
        <v>2000</v>
      </c>
      <c r="M988" s="59"/>
    </row>
    <row r="989" spans="1:14" ht="30">
      <c r="A989" s="56">
        <v>473</v>
      </c>
      <c r="B989" s="56">
        <v>473</v>
      </c>
      <c r="C989" s="56">
        <v>473</v>
      </c>
      <c r="D989" s="56" t="s">
        <v>1939</v>
      </c>
      <c r="F989" s="56" t="s">
        <v>24</v>
      </c>
      <c r="G989" s="56">
        <v>1</v>
      </c>
      <c r="H989" s="56">
        <v>2</v>
      </c>
      <c r="I989" s="56">
        <v>1250</v>
      </c>
      <c r="J989" s="59" t="s">
        <v>1181</v>
      </c>
      <c r="K989" s="59">
        <v>1</v>
      </c>
      <c r="L989" s="59">
        <f t="shared" si="15"/>
        <v>2500</v>
      </c>
      <c r="M989" s="59"/>
    </row>
    <row r="990" spans="1:14" ht="30">
      <c r="A990" s="56">
        <v>503</v>
      </c>
      <c r="B990" s="56">
        <v>503</v>
      </c>
      <c r="C990" s="56">
        <v>503</v>
      </c>
      <c r="D990" s="56" t="s">
        <v>1966</v>
      </c>
      <c r="F990" s="56" t="s">
        <v>24</v>
      </c>
      <c r="G990" s="56">
        <v>1</v>
      </c>
      <c r="H990" s="56">
        <v>2</v>
      </c>
      <c r="I990" s="56">
        <v>950</v>
      </c>
      <c r="J990" s="59" t="s">
        <v>1181</v>
      </c>
      <c r="K990" s="59">
        <v>1</v>
      </c>
      <c r="L990" s="59">
        <f t="shared" si="15"/>
        <v>1900</v>
      </c>
      <c r="M990" s="59"/>
    </row>
    <row r="991" spans="1:14" ht="30">
      <c r="A991" s="56">
        <v>505</v>
      </c>
      <c r="B991" s="56">
        <v>505</v>
      </c>
      <c r="C991" s="56">
        <v>505</v>
      </c>
      <c r="D991" s="56" t="s">
        <v>1968</v>
      </c>
      <c r="F991" s="56" t="s">
        <v>24</v>
      </c>
      <c r="G991" s="56">
        <v>1</v>
      </c>
      <c r="H991" s="56">
        <v>2</v>
      </c>
      <c r="I991" s="56">
        <v>1650</v>
      </c>
      <c r="J991" s="59" t="s">
        <v>1181</v>
      </c>
      <c r="K991" s="59">
        <v>1</v>
      </c>
      <c r="L991" s="59">
        <f t="shared" si="15"/>
        <v>3300</v>
      </c>
      <c r="M991" s="59"/>
    </row>
    <row r="992" spans="1:14" ht="30">
      <c r="A992" s="56">
        <v>507</v>
      </c>
      <c r="B992" s="56">
        <v>507</v>
      </c>
      <c r="C992" s="56">
        <v>507</v>
      </c>
      <c r="D992" s="56" t="s">
        <v>1970</v>
      </c>
      <c r="F992" s="56" t="s">
        <v>24</v>
      </c>
      <c r="G992" s="56">
        <v>1</v>
      </c>
      <c r="H992" s="56">
        <v>2</v>
      </c>
      <c r="I992" s="56">
        <v>750</v>
      </c>
      <c r="J992" s="59" t="s">
        <v>1181</v>
      </c>
      <c r="K992" s="59">
        <v>1</v>
      </c>
      <c r="L992" s="59">
        <f t="shared" si="15"/>
        <v>1500</v>
      </c>
      <c r="M992" s="59"/>
    </row>
    <row r="993" spans="1:14" ht="30">
      <c r="A993" s="56">
        <v>508</v>
      </c>
      <c r="B993" s="56">
        <v>508</v>
      </c>
      <c r="C993" s="56">
        <v>508</v>
      </c>
      <c r="D993" s="56" t="s">
        <v>1971</v>
      </c>
      <c r="F993" s="56" t="s">
        <v>24</v>
      </c>
      <c r="G993" s="56">
        <v>1</v>
      </c>
      <c r="H993" s="56">
        <v>2</v>
      </c>
      <c r="I993" s="56">
        <v>300</v>
      </c>
      <c r="J993" s="59" t="s">
        <v>1181</v>
      </c>
      <c r="K993" s="59">
        <v>1</v>
      </c>
      <c r="L993" s="59">
        <f t="shared" si="15"/>
        <v>600</v>
      </c>
      <c r="M993" s="59"/>
    </row>
    <row r="994" spans="1:14" ht="30">
      <c r="A994" s="56">
        <v>513</v>
      </c>
      <c r="B994" s="56">
        <v>513</v>
      </c>
      <c r="C994" s="56">
        <v>513</v>
      </c>
      <c r="D994" s="56" t="s">
        <v>1975</v>
      </c>
      <c r="F994" s="56" t="s">
        <v>24</v>
      </c>
      <c r="G994" s="56">
        <v>1</v>
      </c>
      <c r="H994" s="56">
        <v>2</v>
      </c>
      <c r="I994" s="56">
        <v>950</v>
      </c>
      <c r="J994" s="59" t="s">
        <v>1181</v>
      </c>
      <c r="K994" s="59">
        <v>1</v>
      </c>
      <c r="L994" s="59">
        <f t="shared" si="15"/>
        <v>1900</v>
      </c>
      <c r="M994" s="59"/>
    </row>
    <row r="995" spans="1:14" ht="30">
      <c r="A995" s="56">
        <v>514</v>
      </c>
      <c r="B995" s="56">
        <v>514</v>
      </c>
      <c r="C995" s="56">
        <v>514</v>
      </c>
      <c r="D995" s="56" t="s">
        <v>1976</v>
      </c>
      <c r="F995" s="56" t="s">
        <v>24</v>
      </c>
      <c r="G995" s="56">
        <v>1</v>
      </c>
      <c r="H995" s="56">
        <v>2</v>
      </c>
      <c r="I995" s="56">
        <v>750</v>
      </c>
      <c r="J995" s="59" t="s">
        <v>1181</v>
      </c>
      <c r="K995" s="59">
        <v>1</v>
      </c>
      <c r="L995" s="59">
        <f t="shared" si="15"/>
        <v>1500</v>
      </c>
      <c r="M995" s="59"/>
    </row>
    <row r="996" spans="1:14" ht="30">
      <c r="A996" s="56">
        <v>519</v>
      </c>
      <c r="B996" s="56">
        <v>519</v>
      </c>
      <c r="C996" s="56">
        <v>519</v>
      </c>
      <c r="D996" s="56" t="s">
        <v>1981</v>
      </c>
      <c r="F996" s="56" t="s">
        <v>24</v>
      </c>
      <c r="G996" s="56">
        <v>1</v>
      </c>
      <c r="H996" s="56">
        <v>2</v>
      </c>
      <c r="I996" s="56">
        <v>700</v>
      </c>
      <c r="J996" s="59" t="s">
        <v>1181</v>
      </c>
      <c r="K996" s="59">
        <v>1</v>
      </c>
      <c r="L996" s="59">
        <f t="shared" si="15"/>
        <v>1400</v>
      </c>
      <c r="M996" s="59"/>
    </row>
    <row r="997" spans="1:14" ht="30">
      <c r="A997" s="56">
        <v>528</v>
      </c>
      <c r="B997" s="56">
        <v>528</v>
      </c>
      <c r="C997" s="56">
        <v>528</v>
      </c>
      <c r="D997" s="56" t="s">
        <v>1990</v>
      </c>
      <c r="F997" s="56" t="s">
        <v>24</v>
      </c>
      <c r="G997" s="56">
        <v>1</v>
      </c>
      <c r="H997" s="56">
        <v>2</v>
      </c>
      <c r="I997" s="56">
        <v>400</v>
      </c>
      <c r="J997" s="59" t="s">
        <v>1181</v>
      </c>
      <c r="K997" s="59">
        <v>1</v>
      </c>
      <c r="L997" s="59">
        <f t="shared" si="15"/>
        <v>800</v>
      </c>
      <c r="M997" s="59"/>
    </row>
    <row r="998" spans="1:14" ht="30">
      <c r="A998" s="56">
        <v>534</v>
      </c>
      <c r="B998" s="56">
        <v>534</v>
      </c>
      <c r="C998" s="56">
        <v>534</v>
      </c>
      <c r="D998" s="56" t="s">
        <v>1996</v>
      </c>
      <c r="F998" s="56" t="s">
        <v>24</v>
      </c>
      <c r="G998" s="56">
        <v>1</v>
      </c>
      <c r="H998" s="56">
        <v>2</v>
      </c>
      <c r="I998" s="56">
        <v>750</v>
      </c>
      <c r="J998" s="59" t="s">
        <v>1181</v>
      </c>
      <c r="K998" s="59">
        <v>1</v>
      </c>
      <c r="L998" s="59">
        <f t="shared" si="15"/>
        <v>1500</v>
      </c>
      <c r="M998" s="59"/>
    </row>
    <row r="999" spans="1:14" ht="30">
      <c r="A999" s="56">
        <v>539</v>
      </c>
      <c r="B999" s="56">
        <v>539</v>
      </c>
      <c r="C999" s="56">
        <v>539</v>
      </c>
      <c r="D999" s="56" t="s">
        <v>2001</v>
      </c>
      <c r="F999" s="56" t="s">
        <v>24</v>
      </c>
      <c r="G999" s="56">
        <v>1</v>
      </c>
      <c r="H999" s="56">
        <v>2</v>
      </c>
      <c r="I999" s="56">
        <v>600</v>
      </c>
      <c r="J999" s="59" t="s">
        <v>1181</v>
      </c>
      <c r="K999" s="59">
        <v>1</v>
      </c>
      <c r="L999" s="59">
        <f t="shared" si="15"/>
        <v>1200</v>
      </c>
      <c r="M999" s="59"/>
    </row>
    <row r="1000" spans="1:14" ht="30">
      <c r="A1000" s="56">
        <v>546</v>
      </c>
      <c r="B1000" s="56">
        <v>546</v>
      </c>
      <c r="C1000" s="56">
        <v>546</v>
      </c>
      <c r="D1000" s="56" t="s">
        <v>2008</v>
      </c>
      <c r="F1000" s="56" t="s">
        <v>24</v>
      </c>
      <c r="G1000" s="56">
        <v>1</v>
      </c>
      <c r="H1000" s="56">
        <v>2</v>
      </c>
      <c r="I1000" s="56">
        <v>900</v>
      </c>
      <c r="J1000" s="59" t="s">
        <v>1181</v>
      </c>
      <c r="K1000" s="59">
        <v>1</v>
      </c>
      <c r="L1000" s="59">
        <f t="shared" si="15"/>
        <v>1800</v>
      </c>
      <c r="M1000" s="59"/>
    </row>
    <row r="1001" spans="1:14" ht="30">
      <c r="A1001" s="56">
        <v>550</v>
      </c>
      <c r="B1001" s="56">
        <v>550</v>
      </c>
      <c r="C1001" s="56">
        <v>550</v>
      </c>
      <c r="D1001" s="56" t="s">
        <v>2012</v>
      </c>
      <c r="F1001" s="56" t="s">
        <v>24</v>
      </c>
      <c r="G1001" s="56">
        <v>1</v>
      </c>
      <c r="H1001" s="56">
        <v>2</v>
      </c>
      <c r="I1001" s="56">
        <v>1200</v>
      </c>
      <c r="J1001" s="59" t="s">
        <v>1181</v>
      </c>
      <c r="K1001" s="59">
        <v>1</v>
      </c>
      <c r="L1001" s="59">
        <f t="shared" si="15"/>
        <v>2400</v>
      </c>
      <c r="M1001" s="59"/>
    </row>
    <row r="1002" spans="1:14" ht="30">
      <c r="A1002" s="56">
        <v>560</v>
      </c>
      <c r="B1002" s="56">
        <v>560</v>
      </c>
      <c r="C1002" s="56">
        <v>560</v>
      </c>
      <c r="D1002" s="56" t="s">
        <v>2021</v>
      </c>
      <c r="F1002" s="56" t="s">
        <v>24</v>
      </c>
      <c r="G1002" s="56">
        <v>1</v>
      </c>
      <c r="H1002" s="56">
        <v>2</v>
      </c>
      <c r="I1002" s="56">
        <v>100</v>
      </c>
      <c r="J1002" s="59" t="s">
        <v>1181</v>
      </c>
      <c r="K1002" s="59">
        <v>1</v>
      </c>
      <c r="L1002" s="59">
        <f t="shared" si="15"/>
        <v>200</v>
      </c>
      <c r="M1002" s="59"/>
    </row>
    <row r="1003" spans="1:14" ht="30">
      <c r="A1003" s="56">
        <v>598</v>
      </c>
      <c r="B1003" s="56">
        <v>598</v>
      </c>
      <c r="C1003" s="56">
        <v>598</v>
      </c>
      <c r="D1003" s="56" t="s">
        <v>1250</v>
      </c>
      <c r="F1003" s="58" t="s">
        <v>24</v>
      </c>
      <c r="G1003" s="58">
        <v>1</v>
      </c>
      <c r="H1003" s="58">
        <v>2</v>
      </c>
      <c r="I1003" s="56">
        <v>200</v>
      </c>
      <c r="J1003" s="59" t="s">
        <v>1181</v>
      </c>
      <c r="K1003" s="59">
        <v>1</v>
      </c>
      <c r="L1003" s="59">
        <f t="shared" si="15"/>
        <v>400</v>
      </c>
      <c r="M1003" s="59"/>
      <c r="N1003" s="58"/>
    </row>
    <row r="1004" spans="1:14" ht="30">
      <c r="A1004" s="56">
        <v>615</v>
      </c>
      <c r="B1004" s="56">
        <v>615</v>
      </c>
      <c r="C1004" s="56">
        <v>615</v>
      </c>
      <c r="D1004" s="56" t="s">
        <v>2062</v>
      </c>
      <c r="F1004" s="56" t="s">
        <v>24</v>
      </c>
      <c r="G1004" s="56">
        <v>1</v>
      </c>
      <c r="H1004" s="56">
        <v>2</v>
      </c>
      <c r="I1004" s="56">
        <v>400</v>
      </c>
      <c r="J1004" s="59" t="s">
        <v>1181</v>
      </c>
      <c r="K1004" s="59">
        <v>1</v>
      </c>
      <c r="L1004" s="59">
        <f t="shared" si="15"/>
        <v>800</v>
      </c>
      <c r="M1004" s="59"/>
    </row>
    <row r="1005" spans="1:14" ht="30">
      <c r="A1005" s="56">
        <v>620</v>
      </c>
      <c r="B1005" s="56">
        <v>620</v>
      </c>
      <c r="C1005" s="56">
        <v>620</v>
      </c>
      <c r="D1005" s="56" t="s">
        <v>2067</v>
      </c>
      <c r="F1005" s="56" t="s">
        <v>24</v>
      </c>
      <c r="G1005" s="56">
        <v>1</v>
      </c>
      <c r="H1005" s="56">
        <v>2</v>
      </c>
      <c r="I1005" s="56">
        <v>400</v>
      </c>
      <c r="J1005" s="59" t="s">
        <v>1181</v>
      </c>
      <c r="K1005" s="59">
        <v>1</v>
      </c>
      <c r="L1005" s="59">
        <f t="shared" si="15"/>
        <v>800</v>
      </c>
      <c r="M1005" s="59"/>
    </row>
    <row r="1006" spans="1:14" ht="30">
      <c r="A1006" s="56">
        <v>637</v>
      </c>
      <c r="B1006" s="56">
        <v>637</v>
      </c>
      <c r="C1006" s="56">
        <v>637</v>
      </c>
      <c r="D1006" s="56" t="s">
        <v>2081</v>
      </c>
      <c r="F1006" s="56" t="s">
        <v>24</v>
      </c>
      <c r="G1006" s="56">
        <v>1</v>
      </c>
      <c r="H1006" s="56">
        <v>2</v>
      </c>
      <c r="I1006" s="56">
        <v>300</v>
      </c>
      <c r="J1006" s="59" t="s">
        <v>1181</v>
      </c>
      <c r="K1006" s="59">
        <v>1</v>
      </c>
      <c r="L1006" s="59">
        <f t="shared" si="15"/>
        <v>600</v>
      </c>
      <c r="M1006" s="59"/>
    </row>
    <row r="1007" spans="1:14" ht="30">
      <c r="A1007" s="56">
        <v>653</v>
      </c>
      <c r="B1007" s="56">
        <v>653</v>
      </c>
      <c r="C1007" s="56">
        <v>653</v>
      </c>
      <c r="D1007" s="56" t="s">
        <v>2097</v>
      </c>
      <c r="F1007" s="56" t="s">
        <v>24</v>
      </c>
      <c r="G1007" s="56">
        <v>1</v>
      </c>
      <c r="H1007" s="56">
        <v>2</v>
      </c>
      <c r="I1007" s="56">
        <v>600</v>
      </c>
      <c r="J1007" s="59" t="s">
        <v>1181</v>
      </c>
      <c r="K1007" s="59">
        <v>1</v>
      </c>
      <c r="L1007" s="59">
        <f t="shared" si="15"/>
        <v>1200</v>
      </c>
      <c r="M1007" s="59"/>
    </row>
    <row r="1008" spans="1:14" ht="30">
      <c r="A1008" s="56">
        <v>655</v>
      </c>
      <c r="B1008" s="56">
        <v>655</v>
      </c>
      <c r="C1008" s="56">
        <v>655</v>
      </c>
      <c r="D1008" s="56" t="s">
        <v>2099</v>
      </c>
      <c r="F1008" s="56" t="s">
        <v>24</v>
      </c>
      <c r="G1008" s="56">
        <v>1</v>
      </c>
      <c r="H1008" s="56">
        <v>2</v>
      </c>
      <c r="I1008" s="56">
        <v>1800</v>
      </c>
      <c r="J1008" s="59" t="s">
        <v>1181</v>
      </c>
      <c r="K1008" s="59">
        <v>1</v>
      </c>
      <c r="L1008" s="59">
        <f t="shared" si="15"/>
        <v>3600</v>
      </c>
      <c r="M1008" s="59"/>
    </row>
    <row r="1009" spans="1:13" ht="30">
      <c r="A1009" s="56">
        <v>664</v>
      </c>
      <c r="B1009" s="56">
        <v>664</v>
      </c>
      <c r="C1009" s="56">
        <v>664</v>
      </c>
      <c r="D1009" s="56" t="s">
        <v>2108</v>
      </c>
      <c r="F1009" s="56" t="s">
        <v>24</v>
      </c>
      <c r="G1009" s="56">
        <v>1</v>
      </c>
      <c r="H1009" s="56">
        <v>2</v>
      </c>
      <c r="I1009" s="56">
        <v>1000</v>
      </c>
      <c r="J1009" s="59" t="s">
        <v>1181</v>
      </c>
      <c r="K1009" s="59">
        <v>1</v>
      </c>
      <c r="L1009" s="59">
        <f t="shared" si="15"/>
        <v>2000</v>
      </c>
      <c r="M1009" s="59"/>
    </row>
    <row r="1010" spans="1:13" ht="30">
      <c r="A1010" s="56">
        <v>665</v>
      </c>
      <c r="B1010" s="56">
        <v>665</v>
      </c>
      <c r="C1010" s="56">
        <v>665</v>
      </c>
      <c r="D1010" s="56" t="s">
        <v>2109</v>
      </c>
      <c r="F1010" s="56" t="s">
        <v>24</v>
      </c>
      <c r="G1010" s="56">
        <v>1</v>
      </c>
      <c r="H1010" s="56">
        <v>2</v>
      </c>
      <c r="I1010" s="56">
        <v>800</v>
      </c>
      <c r="J1010" s="59" t="s">
        <v>1181</v>
      </c>
      <c r="K1010" s="59">
        <v>1</v>
      </c>
      <c r="L1010" s="59">
        <f t="shared" si="15"/>
        <v>1600</v>
      </c>
      <c r="M1010" s="59"/>
    </row>
    <row r="1011" spans="1:13" ht="30">
      <c r="A1011" s="56">
        <v>667</v>
      </c>
      <c r="B1011" s="56">
        <v>667</v>
      </c>
      <c r="C1011" s="56">
        <v>667</v>
      </c>
      <c r="D1011" s="56" t="s">
        <v>2111</v>
      </c>
      <c r="F1011" s="56" t="s">
        <v>24</v>
      </c>
      <c r="G1011" s="56">
        <v>1</v>
      </c>
      <c r="H1011" s="56">
        <v>2</v>
      </c>
      <c r="I1011" s="56">
        <v>600</v>
      </c>
      <c r="J1011" s="59" t="s">
        <v>1181</v>
      </c>
      <c r="K1011" s="59">
        <v>1</v>
      </c>
      <c r="L1011" s="59">
        <f t="shared" si="15"/>
        <v>1200</v>
      </c>
      <c r="M1011" s="59"/>
    </row>
    <row r="1012" spans="1:13" ht="30">
      <c r="A1012" s="56">
        <v>668</v>
      </c>
      <c r="B1012" s="56">
        <v>668</v>
      </c>
      <c r="C1012" s="56">
        <v>668</v>
      </c>
      <c r="D1012" s="56" t="s">
        <v>2112</v>
      </c>
      <c r="F1012" s="56" t="s">
        <v>24</v>
      </c>
      <c r="G1012" s="56">
        <v>1</v>
      </c>
      <c r="H1012" s="56">
        <v>2</v>
      </c>
      <c r="I1012" s="56">
        <v>650</v>
      </c>
      <c r="J1012" s="59" t="s">
        <v>1181</v>
      </c>
      <c r="K1012" s="59">
        <v>1</v>
      </c>
      <c r="L1012" s="59">
        <f t="shared" si="15"/>
        <v>1300</v>
      </c>
      <c r="M1012" s="59"/>
    </row>
    <row r="1013" spans="1:13" ht="30">
      <c r="A1013" s="56">
        <v>678</v>
      </c>
      <c r="B1013" s="56">
        <v>678</v>
      </c>
      <c r="C1013" s="56">
        <v>678</v>
      </c>
      <c r="D1013" s="56" t="s">
        <v>2122</v>
      </c>
      <c r="F1013" s="56" t="s">
        <v>24</v>
      </c>
      <c r="G1013" s="56">
        <v>1</v>
      </c>
      <c r="H1013" s="56">
        <v>2</v>
      </c>
      <c r="I1013" s="56">
        <v>3500</v>
      </c>
      <c r="J1013" s="59" t="s">
        <v>1181</v>
      </c>
      <c r="K1013" s="59">
        <v>1</v>
      </c>
      <c r="L1013" s="59">
        <f t="shared" si="15"/>
        <v>7000</v>
      </c>
      <c r="M1013" s="59"/>
    </row>
    <row r="1014" spans="1:13" ht="30">
      <c r="A1014" s="56">
        <v>680</v>
      </c>
      <c r="B1014" s="56">
        <v>680</v>
      </c>
      <c r="C1014" s="56">
        <v>680</v>
      </c>
      <c r="D1014" s="56" t="s">
        <v>2124</v>
      </c>
      <c r="F1014" s="56" t="s">
        <v>24</v>
      </c>
      <c r="G1014" s="56">
        <v>1</v>
      </c>
      <c r="H1014" s="56">
        <v>2</v>
      </c>
      <c r="I1014" s="56">
        <v>2850</v>
      </c>
      <c r="J1014" s="59" t="s">
        <v>1181</v>
      </c>
      <c r="K1014" s="59">
        <v>1</v>
      </c>
      <c r="L1014" s="59">
        <f t="shared" si="15"/>
        <v>5700</v>
      </c>
      <c r="M1014" s="59"/>
    </row>
    <row r="1015" spans="1:13" ht="30">
      <c r="A1015" s="56">
        <v>686</v>
      </c>
      <c r="B1015" s="56">
        <v>686</v>
      </c>
      <c r="C1015" s="56">
        <v>686</v>
      </c>
      <c r="D1015" s="56" t="s">
        <v>2130</v>
      </c>
      <c r="F1015" s="56" t="s">
        <v>24</v>
      </c>
      <c r="G1015" s="56">
        <v>1</v>
      </c>
      <c r="H1015" s="56">
        <v>2</v>
      </c>
      <c r="I1015" s="56">
        <v>2850</v>
      </c>
      <c r="J1015" s="59" t="s">
        <v>1181</v>
      </c>
      <c r="K1015" s="59">
        <v>1</v>
      </c>
      <c r="L1015" s="59">
        <f t="shared" si="15"/>
        <v>5700</v>
      </c>
      <c r="M1015" s="59"/>
    </row>
    <row r="1016" spans="1:13" ht="30">
      <c r="A1016" s="56">
        <v>688</v>
      </c>
      <c r="B1016" s="56">
        <v>688</v>
      </c>
      <c r="C1016" s="56">
        <v>688</v>
      </c>
      <c r="D1016" s="56" t="s">
        <v>2132</v>
      </c>
      <c r="F1016" s="56" t="s">
        <v>24</v>
      </c>
      <c r="G1016" s="56">
        <v>1</v>
      </c>
      <c r="H1016" s="56">
        <v>2</v>
      </c>
      <c r="I1016" s="56">
        <v>4100</v>
      </c>
      <c r="J1016" s="59" t="s">
        <v>1181</v>
      </c>
      <c r="K1016" s="59">
        <v>1</v>
      </c>
      <c r="L1016" s="59">
        <f t="shared" si="15"/>
        <v>8200</v>
      </c>
      <c r="M1016" s="59"/>
    </row>
    <row r="1017" spans="1:13" ht="30">
      <c r="A1017" s="56">
        <v>691</v>
      </c>
      <c r="B1017" s="56">
        <v>691</v>
      </c>
      <c r="C1017" s="56">
        <v>691</v>
      </c>
      <c r="D1017" s="56" t="s">
        <v>2135</v>
      </c>
      <c r="F1017" s="56" t="s">
        <v>24</v>
      </c>
      <c r="G1017" s="56">
        <v>1</v>
      </c>
      <c r="H1017" s="56">
        <v>2</v>
      </c>
      <c r="I1017" s="56">
        <v>4000</v>
      </c>
      <c r="J1017" s="59" t="s">
        <v>1181</v>
      </c>
      <c r="K1017" s="59">
        <v>1</v>
      </c>
      <c r="L1017" s="59">
        <f t="shared" si="15"/>
        <v>8000</v>
      </c>
      <c r="M1017" s="59"/>
    </row>
    <row r="1018" spans="1:13" ht="30">
      <c r="A1018" s="56">
        <v>694</v>
      </c>
      <c r="B1018" s="56">
        <v>694</v>
      </c>
      <c r="C1018" s="56">
        <v>694</v>
      </c>
      <c r="D1018" s="56" t="s">
        <v>2138</v>
      </c>
      <c r="F1018" s="56" t="s">
        <v>24</v>
      </c>
      <c r="G1018" s="56">
        <v>1</v>
      </c>
      <c r="H1018" s="56">
        <v>2</v>
      </c>
      <c r="I1018" s="56">
        <v>4600</v>
      </c>
      <c r="J1018" s="59" t="s">
        <v>1181</v>
      </c>
      <c r="K1018" s="59">
        <v>1</v>
      </c>
      <c r="L1018" s="59">
        <f t="shared" si="15"/>
        <v>9200</v>
      </c>
      <c r="M1018" s="59"/>
    </row>
    <row r="1019" spans="1:13" ht="30">
      <c r="A1019" s="56">
        <v>696</v>
      </c>
      <c r="B1019" s="56">
        <v>696</v>
      </c>
      <c r="C1019" s="56">
        <v>696</v>
      </c>
      <c r="D1019" s="56" t="s">
        <v>2140</v>
      </c>
      <c r="F1019" s="56" t="s">
        <v>24</v>
      </c>
      <c r="G1019" s="56">
        <v>1</v>
      </c>
      <c r="H1019" s="56">
        <v>2</v>
      </c>
      <c r="I1019" s="56">
        <v>3900</v>
      </c>
      <c r="J1019" s="59" t="s">
        <v>1181</v>
      </c>
      <c r="K1019" s="59">
        <v>1</v>
      </c>
      <c r="L1019" s="59">
        <f t="shared" si="15"/>
        <v>7800</v>
      </c>
      <c r="M1019" s="59"/>
    </row>
    <row r="1020" spans="1:13" ht="30">
      <c r="A1020" s="56">
        <v>702</v>
      </c>
      <c r="B1020" s="56">
        <v>702</v>
      </c>
      <c r="C1020" s="56">
        <v>702</v>
      </c>
      <c r="D1020" s="56" t="s">
        <v>2145</v>
      </c>
      <c r="F1020" s="56" t="s">
        <v>24</v>
      </c>
      <c r="G1020" s="56">
        <v>1</v>
      </c>
      <c r="H1020" s="56">
        <v>2</v>
      </c>
      <c r="I1020" s="56">
        <v>4500</v>
      </c>
      <c r="J1020" s="59" t="s">
        <v>1181</v>
      </c>
      <c r="K1020" s="59">
        <v>1</v>
      </c>
      <c r="L1020" s="59">
        <f t="shared" si="15"/>
        <v>9000</v>
      </c>
      <c r="M1020" s="59"/>
    </row>
    <row r="1021" spans="1:13" ht="30">
      <c r="A1021" s="56">
        <v>703</v>
      </c>
      <c r="B1021" s="56">
        <v>703</v>
      </c>
      <c r="C1021" s="56">
        <v>703</v>
      </c>
      <c r="D1021" s="56" t="s">
        <v>2146</v>
      </c>
      <c r="F1021" s="56" t="s">
        <v>24</v>
      </c>
      <c r="G1021" s="56">
        <v>1</v>
      </c>
      <c r="H1021" s="56">
        <v>2</v>
      </c>
      <c r="I1021" s="56">
        <v>6000</v>
      </c>
      <c r="J1021" s="59" t="s">
        <v>1181</v>
      </c>
      <c r="K1021" s="59">
        <v>1</v>
      </c>
      <c r="L1021" s="59">
        <f t="shared" si="15"/>
        <v>12000</v>
      </c>
      <c r="M1021" s="59"/>
    </row>
    <row r="1022" spans="1:13" ht="30">
      <c r="A1022" s="56">
        <v>716</v>
      </c>
      <c r="B1022" s="56">
        <v>716</v>
      </c>
      <c r="C1022" s="56">
        <v>716</v>
      </c>
      <c r="D1022" s="56" t="s">
        <v>2159</v>
      </c>
      <c r="F1022" s="56" t="s">
        <v>24</v>
      </c>
      <c r="G1022" s="56">
        <v>1</v>
      </c>
      <c r="H1022" s="56">
        <v>2</v>
      </c>
      <c r="I1022" s="56">
        <v>3500</v>
      </c>
      <c r="J1022" s="59" t="s">
        <v>1181</v>
      </c>
      <c r="K1022" s="59">
        <v>1</v>
      </c>
      <c r="L1022" s="59">
        <f t="shared" si="15"/>
        <v>7000</v>
      </c>
      <c r="M1022" s="59"/>
    </row>
    <row r="1023" spans="1:13" ht="30">
      <c r="A1023" s="56">
        <v>720</v>
      </c>
      <c r="B1023" s="56">
        <v>720</v>
      </c>
      <c r="C1023" s="56">
        <v>720</v>
      </c>
      <c r="D1023" s="56" t="s">
        <v>2163</v>
      </c>
      <c r="F1023" s="56" t="s">
        <v>24</v>
      </c>
      <c r="G1023" s="56">
        <v>1</v>
      </c>
      <c r="H1023" s="56">
        <v>2</v>
      </c>
      <c r="I1023" s="56">
        <v>3000</v>
      </c>
      <c r="J1023" s="59" t="s">
        <v>1181</v>
      </c>
      <c r="K1023" s="59">
        <v>1</v>
      </c>
      <c r="L1023" s="59">
        <f t="shared" si="15"/>
        <v>6000</v>
      </c>
      <c r="M1023" s="59"/>
    </row>
    <row r="1024" spans="1:13" ht="30">
      <c r="A1024" s="56">
        <v>735</v>
      </c>
      <c r="B1024" s="56">
        <v>735</v>
      </c>
      <c r="C1024" s="56">
        <v>735</v>
      </c>
      <c r="D1024" s="56" t="s">
        <v>2178</v>
      </c>
      <c r="F1024" s="56" t="s">
        <v>24</v>
      </c>
      <c r="G1024" s="56">
        <v>1</v>
      </c>
      <c r="H1024" s="56">
        <v>2</v>
      </c>
      <c r="I1024" s="56">
        <v>3500</v>
      </c>
      <c r="J1024" s="59" t="s">
        <v>1181</v>
      </c>
      <c r="K1024" s="59">
        <v>1</v>
      </c>
      <c r="L1024" s="59">
        <f t="shared" si="15"/>
        <v>7000</v>
      </c>
      <c r="M1024" s="59"/>
    </row>
    <row r="1025" spans="1:14" ht="30">
      <c r="A1025" s="56">
        <v>740</v>
      </c>
      <c r="B1025" s="56">
        <v>740</v>
      </c>
      <c r="C1025" s="56">
        <v>740</v>
      </c>
      <c r="D1025" s="56" t="s">
        <v>2183</v>
      </c>
      <c r="F1025" s="56" t="s">
        <v>24</v>
      </c>
      <c r="G1025" s="56">
        <v>1</v>
      </c>
      <c r="H1025" s="56">
        <v>2</v>
      </c>
      <c r="I1025" s="56">
        <v>4000</v>
      </c>
      <c r="J1025" s="59" t="s">
        <v>1181</v>
      </c>
      <c r="K1025" s="59">
        <v>1</v>
      </c>
      <c r="L1025" s="59">
        <f t="shared" si="15"/>
        <v>8000</v>
      </c>
      <c r="M1025" s="59"/>
    </row>
    <row r="1026" spans="1:14" ht="30">
      <c r="A1026" s="56">
        <v>746</v>
      </c>
      <c r="B1026" s="56">
        <v>746</v>
      </c>
      <c r="C1026" s="56">
        <v>746</v>
      </c>
      <c r="D1026" s="56" t="s">
        <v>2189</v>
      </c>
      <c r="F1026" s="56" t="s">
        <v>24</v>
      </c>
      <c r="G1026" s="56">
        <v>1</v>
      </c>
      <c r="H1026" s="56">
        <v>2</v>
      </c>
      <c r="I1026" s="56">
        <v>1500</v>
      </c>
      <c r="J1026" s="59" t="s">
        <v>1181</v>
      </c>
      <c r="K1026" s="59">
        <v>1</v>
      </c>
      <c r="L1026" s="59">
        <f t="shared" ref="L1026:L1089" si="16">H1026*I1026</f>
        <v>3000</v>
      </c>
      <c r="M1026" s="59"/>
    </row>
    <row r="1027" spans="1:14" ht="30">
      <c r="A1027" s="56">
        <v>750</v>
      </c>
      <c r="B1027" s="56">
        <v>750</v>
      </c>
      <c r="C1027" s="56">
        <v>750</v>
      </c>
      <c r="D1027" s="56" t="s">
        <v>2190</v>
      </c>
      <c r="F1027" s="56" t="s">
        <v>24</v>
      </c>
      <c r="G1027" s="56">
        <v>1</v>
      </c>
      <c r="H1027" s="56">
        <v>2</v>
      </c>
      <c r="I1027" s="56">
        <v>1800</v>
      </c>
      <c r="J1027" s="59" t="s">
        <v>1181</v>
      </c>
      <c r="K1027" s="59">
        <v>1</v>
      </c>
      <c r="L1027" s="59">
        <f t="shared" si="16"/>
        <v>3600</v>
      </c>
      <c r="M1027" s="59"/>
    </row>
    <row r="1028" spans="1:14" ht="30">
      <c r="A1028" s="56">
        <v>755</v>
      </c>
      <c r="B1028" s="56">
        <v>755</v>
      </c>
      <c r="C1028" s="56">
        <v>755</v>
      </c>
      <c r="D1028" s="56" t="s">
        <v>2197</v>
      </c>
      <c r="F1028" s="56" t="s">
        <v>24</v>
      </c>
      <c r="G1028" s="56">
        <v>1</v>
      </c>
      <c r="H1028" s="56">
        <v>2</v>
      </c>
      <c r="I1028" s="56">
        <v>1200</v>
      </c>
      <c r="J1028" s="59" t="s">
        <v>1181</v>
      </c>
      <c r="K1028" s="59">
        <v>1</v>
      </c>
      <c r="L1028" s="59">
        <f t="shared" si="16"/>
        <v>2400</v>
      </c>
      <c r="M1028" s="59"/>
    </row>
    <row r="1029" spans="1:14" ht="30">
      <c r="A1029" s="56">
        <v>756</v>
      </c>
      <c r="B1029" s="56">
        <v>756</v>
      </c>
      <c r="C1029" s="56">
        <v>756</v>
      </c>
      <c r="D1029" s="56" t="s">
        <v>2198</v>
      </c>
      <c r="F1029" s="56" t="s">
        <v>24</v>
      </c>
      <c r="G1029" s="56">
        <v>1</v>
      </c>
      <c r="H1029" s="56">
        <v>2</v>
      </c>
      <c r="I1029" s="56">
        <v>1500</v>
      </c>
      <c r="J1029" s="59" t="s">
        <v>1181</v>
      </c>
      <c r="K1029" s="59">
        <v>1</v>
      </c>
      <c r="L1029" s="59">
        <f t="shared" si="16"/>
        <v>3000</v>
      </c>
      <c r="M1029" s="59"/>
    </row>
    <row r="1030" spans="1:14" ht="30">
      <c r="A1030" s="56">
        <v>758</v>
      </c>
      <c r="B1030" s="56">
        <v>758</v>
      </c>
      <c r="C1030" s="56">
        <v>758</v>
      </c>
      <c r="D1030" s="56" t="s">
        <v>2200</v>
      </c>
      <c r="F1030" s="56" t="s">
        <v>24</v>
      </c>
      <c r="G1030" s="56">
        <v>1</v>
      </c>
      <c r="H1030" s="56">
        <v>2</v>
      </c>
      <c r="I1030" s="56">
        <v>600</v>
      </c>
      <c r="J1030" s="59" t="s">
        <v>1181</v>
      </c>
      <c r="K1030" s="59">
        <v>1</v>
      </c>
      <c r="L1030" s="59">
        <f t="shared" si="16"/>
        <v>1200</v>
      </c>
      <c r="M1030" s="59"/>
    </row>
    <row r="1031" spans="1:14" ht="30">
      <c r="A1031" s="56">
        <v>759</v>
      </c>
      <c r="B1031" s="56">
        <v>759</v>
      </c>
      <c r="C1031" s="56">
        <v>759</v>
      </c>
      <c r="D1031" s="56" t="s">
        <v>2201</v>
      </c>
      <c r="F1031" s="56" t="s">
        <v>24</v>
      </c>
      <c r="G1031" s="56">
        <v>1</v>
      </c>
      <c r="H1031" s="56">
        <v>2</v>
      </c>
      <c r="I1031" s="56">
        <v>488</v>
      </c>
      <c r="J1031" s="59" t="s">
        <v>1181</v>
      </c>
      <c r="K1031" s="59">
        <v>1</v>
      </c>
      <c r="L1031" s="59">
        <f t="shared" si="16"/>
        <v>976</v>
      </c>
      <c r="M1031" s="59"/>
    </row>
    <row r="1032" spans="1:14" ht="30">
      <c r="A1032" s="56">
        <v>762</v>
      </c>
      <c r="B1032" s="56">
        <v>762</v>
      </c>
      <c r="C1032" s="56">
        <v>762</v>
      </c>
      <c r="D1032" s="56" t="s">
        <v>2204</v>
      </c>
      <c r="F1032" s="56" t="s">
        <v>24</v>
      </c>
      <c r="G1032" s="56">
        <v>1</v>
      </c>
      <c r="H1032" s="56">
        <v>2</v>
      </c>
      <c r="I1032" s="56">
        <v>800</v>
      </c>
      <c r="J1032" s="59" t="s">
        <v>1181</v>
      </c>
      <c r="K1032" s="59">
        <v>1</v>
      </c>
      <c r="L1032" s="59">
        <f t="shared" si="16"/>
        <v>1600</v>
      </c>
      <c r="M1032" s="59"/>
    </row>
    <row r="1033" spans="1:14" ht="30">
      <c r="A1033" s="56">
        <v>763</v>
      </c>
      <c r="B1033" s="56">
        <v>763</v>
      </c>
      <c r="C1033" s="56">
        <v>763</v>
      </c>
      <c r="D1033" s="56" t="s">
        <v>2205</v>
      </c>
      <c r="F1033" s="56" t="s">
        <v>24</v>
      </c>
      <c r="G1033" s="56">
        <v>1</v>
      </c>
      <c r="H1033" s="56">
        <v>2</v>
      </c>
      <c r="I1033" s="56">
        <v>1266</v>
      </c>
      <c r="J1033" s="59" t="s">
        <v>1181</v>
      </c>
      <c r="K1033" s="59">
        <v>1</v>
      </c>
      <c r="L1033" s="59">
        <f t="shared" si="16"/>
        <v>2532</v>
      </c>
      <c r="M1033" s="59"/>
    </row>
    <row r="1034" spans="1:14" ht="30">
      <c r="A1034" s="56">
        <v>823</v>
      </c>
      <c r="B1034" s="56">
        <v>823</v>
      </c>
      <c r="C1034" s="56">
        <v>823</v>
      </c>
      <c r="D1034" s="56" t="s">
        <v>1311</v>
      </c>
      <c r="F1034" s="58" t="s">
        <v>24</v>
      </c>
      <c r="G1034" s="58">
        <v>1</v>
      </c>
      <c r="H1034" s="58">
        <v>2</v>
      </c>
      <c r="I1034" s="56">
        <v>85</v>
      </c>
      <c r="J1034" s="59" t="s">
        <v>1181</v>
      </c>
      <c r="K1034" s="59">
        <v>1</v>
      </c>
      <c r="L1034" s="59">
        <f t="shared" si="16"/>
        <v>170</v>
      </c>
      <c r="M1034" s="59"/>
      <c r="N1034" s="58"/>
    </row>
    <row r="1035" spans="1:14" ht="30">
      <c r="A1035" s="56">
        <v>848</v>
      </c>
      <c r="B1035" s="56">
        <v>848</v>
      </c>
      <c r="C1035" s="56">
        <v>848</v>
      </c>
      <c r="D1035" s="56" t="s">
        <v>1330</v>
      </c>
      <c r="F1035" s="58" t="s">
        <v>24</v>
      </c>
      <c r="G1035" s="58">
        <v>1</v>
      </c>
      <c r="H1035" s="58">
        <v>2</v>
      </c>
      <c r="I1035" s="56">
        <v>41.66</v>
      </c>
      <c r="J1035" s="59" t="s">
        <v>1181</v>
      </c>
      <c r="K1035" s="59">
        <v>1</v>
      </c>
      <c r="L1035" s="59">
        <f t="shared" si="16"/>
        <v>83.32</v>
      </c>
      <c r="M1035" s="59"/>
      <c r="N1035" s="58"/>
    </row>
    <row r="1036" spans="1:14" ht="30">
      <c r="A1036" s="56">
        <v>852</v>
      </c>
      <c r="B1036" s="56">
        <v>852</v>
      </c>
      <c r="C1036" s="56">
        <v>852</v>
      </c>
      <c r="D1036" s="56" t="s">
        <v>1333</v>
      </c>
      <c r="F1036" s="58" t="s">
        <v>24</v>
      </c>
      <c r="G1036" s="58">
        <v>1</v>
      </c>
      <c r="H1036" s="58">
        <v>2</v>
      </c>
      <c r="I1036" s="56">
        <v>260</v>
      </c>
      <c r="J1036" s="59" t="s">
        <v>1181</v>
      </c>
      <c r="K1036" s="59">
        <v>1</v>
      </c>
      <c r="L1036" s="59">
        <f t="shared" si="16"/>
        <v>520</v>
      </c>
      <c r="M1036" s="59"/>
      <c r="N1036" s="58"/>
    </row>
    <row r="1037" spans="1:14" ht="30">
      <c r="A1037" s="56">
        <v>860</v>
      </c>
      <c r="B1037" s="56">
        <v>860</v>
      </c>
      <c r="C1037" s="56">
        <v>860</v>
      </c>
      <c r="D1037" s="56" t="s">
        <v>1340</v>
      </c>
      <c r="F1037" s="58" t="s">
        <v>24</v>
      </c>
      <c r="G1037" s="58">
        <v>1</v>
      </c>
      <c r="H1037" s="58">
        <v>2</v>
      </c>
      <c r="I1037" s="56">
        <v>183</v>
      </c>
      <c r="J1037" s="59" t="s">
        <v>1181</v>
      </c>
      <c r="K1037" s="59">
        <v>1</v>
      </c>
      <c r="L1037" s="59">
        <f t="shared" si="16"/>
        <v>366</v>
      </c>
      <c r="M1037" s="59"/>
      <c r="N1037" s="58"/>
    </row>
    <row r="1038" spans="1:14" ht="30">
      <c r="A1038" s="56">
        <v>865</v>
      </c>
      <c r="B1038" s="56">
        <v>865</v>
      </c>
      <c r="C1038" s="56">
        <v>865</v>
      </c>
      <c r="D1038" s="56" t="s">
        <v>1345</v>
      </c>
      <c r="F1038" s="58" t="s">
        <v>24</v>
      </c>
      <c r="G1038" s="58">
        <v>1</v>
      </c>
      <c r="H1038" s="58">
        <v>2</v>
      </c>
      <c r="I1038" s="56">
        <v>170</v>
      </c>
      <c r="J1038" s="59" t="s">
        <v>1181</v>
      </c>
      <c r="K1038" s="59">
        <v>1</v>
      </c>
      <c r="L1038" s="59">
        <f t="shared" si="16"/>
        <v>340</v>
      </c>
      <c r="M1038" s="59"/>
      <c r="N1038" s="58"/>
    </row>
    <row r="1039" spans="1:14" ht="30">
      <c r="A1039" s="56">
        <v>866</v>
      </c>
      <c r="B1039" s="56">
        <v>866</v>
      </c>
      <c r="C1039" s="56">
        <v>866</v>
      </c>
      <c r="D1039" s="56" t="s">
        <v>1346</v>
      </c>
      <c r="F1039" s="58" t="s">
        <v>24</v>
      </c>
      <c r="G1039" s="58">
        <v>1</v>
      </c>
      <c r="H1039" s="58">
        <v>2</v>
      </c>
      <c r="I1039" s="56">
        <v>180</v>
      </c>
      <c r="J1039" s="59" t="s">
        <v>1181</v>
      </c>
      <c r="K1039" s="59">
        <v>1</v>
      </c>
      <c r="L1039" s="59">
        <f t="shared" si="16"/>
        <v>360</v>
      </c>
      <c r="M1039" s="59"/>
      <c r="N1039" s="58"/>
    </row>
    <row r="1040" spans="1:14" ht="30">
      <c r="A1040" s="56">
        <v>933</v>
      </c>
      <c r="B1040" s="56">
        <v>933</v>
      </c>
      <c r="C1040" s="56">
        <v>933</v>
      </c>
      <c r="D1040" s="56" t="s">
        <v>1374</v>
      </c>
      <c r="F1040" s="58" t="s">
        <v>24</v>
      </c>
      <c r="G1040" s="58">
        <v>1</v>
      </c>
      <c r="H1040" s="58">
        <v>2</v>
      </c>
      <c r="I1040" s="56">
        <v>58.3</v>
      </c>
      <c r="J1040" s="59" t="s">
        <v>1181</v>
      </c>
      <c r="K1040" s="59">
        <v>1</v>
      </c>
      <c r="L1040" s="59">
        <f t="shared" si="16"/>
        <v>116.6</v>
      </c>
      <c r="M1040" s="59"/>
      <c r="N1040" s="58"/>
    </row>
    <row r="1041" spans="1:14" ht="30">
      <c r="A1041" s="56">
        <v>935</v>
      </c>
      <c r="B1041" s="56">
        <v>935</v>
      </c>
      <c r="C1041" s="56">
        <v>935</v>
      </c>
      <c r="D1041" s="56" t="s">
        <v>1376</v>
      </c>
      <c r="F1041" s="58" t="s">
        <v>24</v>
      </c>
      <c r="G1041" s="58">
        <v>1</v>
      </c>
      <c r="H1041" s="58">
        <v>2</v>
      </c>
      <c r="I1041" s="56">
        <v>62.5</v>
      </c>
      <c r="J1041" s="59" t="s">
        <v>1181</v>
      </c>
      <c r="K1041" s="59">
        <v>1</v>
      </c>
      <c r="L1041" s="59">
        <f t="shared" si="16"/>
        <v>125</v>
      </c>
      <c r="M1041" s="59"/>
      <c r="N1041" s="58"/>
    </row>
    <row r="1042" spans="1:14" ht="30">
      <c r="A1042" s="56">
        <v>936</v>
      </c>
      <c r="B1042" s="56">
        <v>936</v>
      </c>
      <c r="C1042" s="56">
        <v>936</v>
      </c>
      <c r="D1042" s="56" t="s">
        <v>1522</v>
      </c>
      <c r="F1042" s="58" t="s">
        <v>24</v>
      </c>
      <c r="G1042" s="58">
        <v>1</v>
      </c>
      <c r="H1042" s="58">
        <v>2</v>
      </c>
      <c r="I1042" s="56">
        <v>220</v>
      </c>
      <c r="J1042" s="59" t="s">
        <v>1181</v>
      </c>
      <c r="K1042" s="59">
        <v>1</v>
      </c>
      <c r="L1042" s="59">
        <f t="shared" si="16"/>
        <v>440</v>
      </c>
      <c r="M1042" s="59"/>
      <c r="N1042" s="58"/>
    </row>
    <row r="1043" spans="1:14" ht="30">
      <c r="A1043" s="56">
        <v>943</v>
      </c>
      <c r="B1043" s="56">
        <v>943</v>
      </c>
      <c r="C1043" s="56">
        <v>943</v>
      </c>
      <c r="D1043" s="56" t="s">
        <v>2261</v>
      </c>
      <c r="F1043" s="56" t="s">
        <v>24</v>
      </c>
      <c r="G1043" s="56">
        <v>1</v>
      </c>
      <c r="H1043" s="56">
        <v>2</v>
      </c>
      <c r="I1043" s="56">
        <v>70</v>
      </c>
      <c r="J1043" s="59" t="s">
        <v>1181</v>
      </c>
      <c r="K1043" s="59">
        <v>1</v>
      </c>
      <c r="L1043" s="59">
        <f t="shared" si="16"/>
        <v>140</v>
      </c>
      <c r="M1043" s="59"/>
    </row>
    <row r="1044" spans="1:14" ht="30">
      <c r="A1044" s="56">
        <v>953</v>
      </c>
      <c r="B1044" s="56">
        <v>953</v>
      </c>
      <c r="C1044" s="56">
        <v>953</v>
      </c>
      <c r="D1044" s="56" t="s">
        <v>2267</v>
      </c>
      <c r="F1044" s="56" t="s">
        <v>24</v>
      </c>
      <c r="G1044" s="56">
        <v>1</v>
      </c>
      <c r="H1044" s="56">
        <v>2</v>
      </c>
      <c r="I1044" s="56">
        <v>150</v>
      </c>
      <c r="J1044" s="59" t="s">
        <v>1181</v>
      </c>
      <c r="K1044" s="59">
        <v>1</v>
      </c>
      <c r="L1044" s="59">
        <f t="shared" si="16"/>
        <v>300</v>
      </c>
      <c r="M1044" s="59"/>
    </row>
    <row r="1045" spans="1:14" ht="30">
      <c r="A1045" s="56">
        <v>997</v>
      </c>
      <c r="B1045" s="56">
        <v>997</v>
      </c>
      <c r="C1045" s="56">
        <v>997</v>
      </c>
      <c r="D1045" s="56" t="s">
        <v>2289</v>
      </c>
      <c r="F1045" s="56" t="s">
        <v>24</v>
      </c>
      <c r="G1045" s="56">
        <v>1</v>
      </c>
      <c r="H1045" s="56">
        <v>2</v>
      </c>
      <c r="I1045" s="56">
        <v>800</v>
      </c>
      <c r="J1045" s="59" t="s">
        <v>1181</v>
      </c>
      <c r="K1045" s="59">
        <v>1</v>
      </c>
      <c r="L1045" s="59">
        <f t="shared" si="16"/>
        <v>1600</v>
      </c>
      <c r="M1045" s="59"/>
    </row>
    <row r="1046" spans="1:14" ht="30">
      <c r="A1046" s="56">
        <v>1000</v>
      </c>
      <c r="B1046" s="56">
        <v>1000</v>
      </c>
      <c r="C1046" s="56">
        <v>1000</v>
      </c>
      <c r="D1046" s="56" t="s">
        <v>2292</v>
      </c>
      <c r="F1046" s="56" t="s">
        <v>24</v>
      </c>
      <c r="G1046" s="56">
        <v>1</v>
      </c>
      <c r="H1046" s="56">
        <v>2</v>
      </c>
      <c r="I1046" s="56">
        <v>500</v>
      </c>
      <c r="J1046" s="59" t="s">
        <v>1181</v>
      </c>
      <c r="K1046" s="59">
        <v>1</v>
      </c>
      <c r="L1046" s="59">
        <f t="shared" si="16"/>
        <v>1000</v>
      </c>
      <c r="M1046" s="59"/>
    </row>
    <row r="1047" spans="1:14" ht="30">
      <c r="A1047" s="56">
        <v>1002</v>
      </c>
      <c r="B1047" s="56">
        <v>1002</v>
      </c>
      <c r="C1047" s="56">
        <v>1002</v>
      </c>
      <c r="D1047" s="56" t="s">
        <v>2294</v>
      </c>
      <c r="F1047" s="56" t="s">
        <v>24</v>
      </c>
      <c r="G1047" s="56">
        <v>1</v>
      </c>
      <c r="H1047" s="56">
        <v>2</v>
      </c>
      <c r="I1047" s="56">
        <v>240</v>
      </c>
      <c r="J1047" s="59" t="s">
        <v>1181</v>
      </c>
      <c r="K1047" s="59">
        <v>1</v>
      </c>
      <c r="L1047" s="59">
        <f t="shared" si="16"/>
        <v>480</v>
      </c>
      <c r="M1047" s="59"/>
    </row>
    <row r="1048" spans="1:14" ht="30">
      <c r="A1048" s="56">
        <v>1021</v>
      </c>
      <c r="B1048" s="56">
        <v>1021</v>
      </c>
      <c r="C1048" s="56">
        <v>1021</v>
      </c>
      <c r="D1048" s="56" t="s">
        <v>2313</v>
      </c>
      <c r="F1048" s="56" t="s">
        <v>24</v>
      </c>
      <c r="G1048" s="56">
        <v>1</v>
      </c>
      <c r="H1048" s="56">
        <v>2</v>
      </c>
      <c r="I1048" s="56">
        <v>350</v>
      </c>
      <c r="J1048" s="59" t="s">
        <v>1181</v>
      </c>
      <c r="K1048" s="59">
        <v>1</v>
      </c>
      <c r="L1048" s="59">
        <f t="shared" si="16"/>
        <v>700</v>
      </c>
      <c r="M1048" s="59"/>
    </row>
    <row r="1049" spans="1:14" ht="30">
      <c r="A1049" s="56">
        <v>1022</v>
      </c>
      <c r="B1049" s="56">
        <v>1022</v>
      </c>
      <c r="C1049" s="56">
        <v>1022</v>
      </c>
      <c r="D1049" s="56" t="s">
        <v>2314</v>
      </c>
      <c r="F1049" s="56" t="s">
        <v>24</v>
      </c>
      <c r="G1049" s="56">
        <v>1</v>
      </c>
      <c r="H1049" s="56">
        <v>2</v>
      </c>
      <c r="I1049" s="56">
        <v>350</v>
      </c>
      <c r="J1049" s="59" t="s">
        <v>1181</v>
      </c>
      <c r="K1049" s="59">
        <v>1</v>
      </c>
      <c r="L1049" s="59">
        <f t="shared" si="16"/>
        <v>700</v>
      </c>
      <c r="M1049" s="59"/>
    </row>
    <row r="1050" spans="1:14" ht="30">
      <c r="A1050" s="56">
        <v>1023</v>
      </c>
      <c r="B1050" s="56">
        <v>1023</v>
      </c>
      <c r="C1050" s="56">
        <v>1023</v>
      </c>
      <c r="D1050" s="56" t="s">
        <v>2315</v>
      </c>
      <c r="F1050" s="56" t="s">
        <v>24</v>
      </c>
      <c r="G1050" s="56">
        <v>1</v>
      </c>
      <c r="H1050" s="56">
        <v>2</v>
      </c>
      <c r="I1050" s="56">
        <v>600</v>
      </c>
      <c r="J1050" s="59" t="s">
        <v>1181</v>
      </c>
      <c r="K1050" s="59">
        <v>1</v>
      </c>
      <c r="L1050" s="59">
        <f t="shared" si="16"/>
        <v>1200</v>
      </c>
      <c r="M1050" s="59"/>
    </row>
    <row r="1051" spans="1:14" ht="30">
      <c r="A1051" s="56">
        <v>1028</v>
      </c>
      <c r="B1051" s="56">
        <v>1028</v>
      </c>
      <c r="C1051" s="56">
        <v>1028</v>
      </c>
      <c r="D1051" s="56" t="s">
        <v>2320</v>
      </c>
      <c r="F1051" s="56" t="s">
        <v>24</v>
      </c>
      <c r="G1051" s="56">
        <v>1</v>
      </c>
      <c r="H1051" s="56">
        <v>2</v>
      </c>
      <c r="I1051" s="56">
        <v>125</v>
      </c>
      <c r="J1051" s="59" t="s">
        <v>1181</v>
      </c>
      <c r="K1051" s="59">
        <v>1</v>
      </c>
      <c r="L1051" s="59">
        <f t="shared" si="16"/>
        <v>250</v>
      </c>
      <c r="M1051" s="59"/>
    </row>
    <row r="1052" spans="1:14" ht="30">
      <c r="A1052" s="56">
        <v>1038</v>
      </c>
      <c r="B1052" s="56">
        <v>1038</v>
      </c>
      <c r="C1052" s="56">
        <v>1038</v>
      </c>
      <c r="D1052" s="56" t="s">
        <v>1226</v>
      </c>
      <c r="F1052" s="58" t="s">
        <v>24</v>
      </c>
      <c r="G1052" s="58">
        <v>1</v>
      </c>
      <c r="H1052" s="58">
        <v>2</v>
      </c>
      <c r="I1052" s="56">
        <v>160</v>
      </c>
      <c r="J1052" s="59" t="s">
        <v>1181</v>
      </c>
      <c r="K1052" s="59">
        <v>1</v>
      </c>
      <c r="L1052" s="59">
        <f t="shared" si="16"/>
        <v>320</v>
      </c>
      <c r="M1052" s="59"/>
      <c r="N1052" s="58"/>
    </row>
    <row r="1053" spans="1:14" ht="30">
      <c r="A1053" s="56">
        <v>1056</v>
      </c>
      <c r="B1053" s="56">
        <v>1056</v>
      </c>
      <c r="C1053" s="56">
        <v>1056</v>
      </c>
      <c r="D1053" s="56" t="s">
        <v>2339</v>
      </c>
      <c r="F1053" s="56" t="s">
        <v>24</v>
      </c>
      <c r="G1053" s="56">
        <v>1</v>
      </c>
      <c r="H1053" s="56">
        <v>2</v>
      </c>
      <c r="I1053" s="56">
        <v>2850</v>
      </c>
      <c r="J1053" s="59" t="s">
        <v>1181</v>
      </c>
      <c r="K1053" s="59">
        <v>1</v>
      </c>
      <c r="L1053" s="59">
        <f t="shared" si="16"/>
        <v>5700</v>
      </c>
      <c r="M1053" s="59"/>
    </row>
    <row r="1054" spans="1:14" ht="30">
      <c r="A1054" s="56">
        <v>1057</v>
      </c>
      <c r="B1054" s="56">
        <v>1057</v>
      </c>
      <c r="C1054" s="56">
        <v>1057</v>
      </c>
      <c r="D1054" s="56" t="s">
        <v>2340</v>
      </c>
      <c r="F1054" s="56" t="s">
        <v>24</v>
      </c>
      <c r="G1054" s="56">
        <v>1</v>
      </c>
      <c r="H1054" s="56">
        <v>2</v>
      </c>
      <c r="I1054" s="56">
        <v>2250</v>
      </c>
      <c r="J1054" s="59" t="s">
        <v>1181</v>
      </c>
      <c r="K1054" s="59">
        <v>1</v>
      </c>
      <c r="L1054" s="59">
        <f t="shared" si="16"/>
        <v>4500</v>
      </c>
      <c r="M1054" s="59"/>
    </row>
    <row r="1055" spans="1:14" ht="30">
      <c r="A1055" s="56">
        <v>1058</v>
      </c>
      <c r="B1055" s="56">
        <v>1058</v>
      </c>
      <c r="C1055" s="56">
        <v>1058</v>
      </c>
      <c r="D1055" s="56" t="s">
        <v>1404</v>
      </c>
      <c r="F1055" s="58" t="s">
        <v>24</v>
      </c>
      <c r="G1055" s="58">
        <v>1</v>
      </c>
      <c r="H1055" s="58">
        <v>2</v>
      </c>
      <c r="I1055" s="56">
        <v>29.166666666666668</v>
      </c>
      <c r="J1055" s="59" t="s">
        <v>1181</v>
      </c>
      <c r="K1055" s="59">
        <v>1</v>
      </c>
      <c r="L1055" s="59">
        <f t="shared" si="16"/>
        <v>58.333333333333336</v>
      </c>
      <c r="M1055" s="59"/>
      <c r="N1055" s="58"/>
    </row>
    <row r="1056" spans="1:14" ht="30">
      <c r="A1056" s="56">
        <v>1064</v>
      </c>
      <c r="B1056" s="56">
        <v>1064</v>
      </c>
      <c r="C1056" s="56">
        <v>1064</v>
      </c>
      <c r="D1056" s="56" t="s">
        <v>1508</v>
      </c>
      <c r="F1056" s="58" t="s">
        <v>24</v>
      </c>
      <c r="G1056" s="58">
        <v>1</v>
      </c>
      <c r="H1056" s="58">
        <v>2</v>
      </c>
      <c r="I1056" s="56">
        <v>30</v>
      </c>
      <c r="J1056" s="59" t="s">
        <v>1181</v>
      </c>
      <c r="K1056" s="59">
        <v>1</v>
      </c>
      <c r="L1056" s="59">
        <f t="shared" si="16"/>
        <v>60</v>
      </c>
      <c r="M1056" s="59"/>
      <c r="N1056" s="58"/>
    </row>
    <row r="1057" spans="1:14" ht="30">
      <c r="A1057" s="56">
        <v>1067</v>
      </c>
      <c r="B1057" s="56">
        <v>1067</v>
      </c>
      <c r="C1057" s="56">
        <v>1067</v>
      </c>
      <c r="D1057" s="56" t="s">
        <v>2344</v>
      </c>
      <c r="F1057" s="56" t="s">
        <v>24</v>
      </c>
      <c r="G1057" s="56">
        <v>1</v>
      </c>
      <c r="H1057" s="56">
        <v>2</v>
      </c>
      <c r="I1057" s="56">
        <v>20</v>
      </c>
      <c r="J1057" s="59" t="s">
        <v>1181</v>
      </c>
      <c r="K1057" s="59">
        <v>1</v>
      </c>
      <c r="L1057" s="59">
        <f t="shared" si="16"/>
        <v>40</v>
      </c>
      <c r="M1057" s="59"/>
    </row>
    <row r="1058" spans="1:14" ht="30">
      <c r="A1058" s="56">
        <v>1078</v>
      </c>
      <c r="B1058" s="56">
        <v>1078</v>
      </c>
      <c r="C1058" s="56">
        <v>1078</v>
      </c>
      <c r="D1058" s="56" t="s">
        <v>2353</v>
      </c>
      <c r="F1058" s="56" t="s">
        <v>24</v>
      </c>
      <c r="G1058" s="56">
        <v>1</v>
      </c>
      <c r="H1058" s="56">
        <v>2</v>
      </c>
      <c r="I1058" s="56">
        <v>300</v>
      </c>
      <c r="J1058" s="59" t="s">
        <v>1181</v>
      </c>
      <c r="K1058" s="59">
        <v>1</v>
      </c>
      <c r="L1058" s="59">
        <f t="shared" si="16"/>
        <v>600</v>
      </c>
      <c r="M1058" s="59"/>
    </row>
    <row r="1059" spans="1:14" ht="30">
      <c r="A1059" s="56">
        <v>1093</v>
      </c>
      <c r="B1059" s="56">
        <v>1093</v>
      </c>
      <c r="C1059" s="56">
        <v>1093</v>
      </c>
      <c r="D1059" s="56" t="s">
        <v>1410</v>
      </c>
      <c r="F1059" s="58" t="s">
        <v>24</v>
      </c>
      <c r="G1059" s="58">
        <v>1</v>
      </c>
      <c r="H1059" s="58">
        <v>2</v>
      </c>
      <c r="I1059" s="56">
        <v>125</v>
      </c>
      <c r="J1059" s="59" t="s">
        <v>1181</v>
      </c>
      <c r="K1059" s="59">
        <v>1</v>
      </c>
      <c r="L1059" s="59">
        <f t="shared" si="16"/>
        <v>250</v>
      </c>
      <c r="M1059" s="59"/>
      <c r="N1059" s="58"/>
    </row>
    <row r="1060" spans="1:14" ht="30">
      <c r="A1060" s="56">
        <v>1102</v>
      </c>
      <c r="B1060" s="56">
        <v>1102</v>
      </c>
      <c r="C1060" s="56">
        <v>1102</v>
      </c>
      <c r="D1060" s="56" t="s">
        <v>2372</v>
      </c>
      <c r="F1060" s="56" t="s">
        <v>24</v>
      </c>
      <c r="G1060" s="56">
        <v>1</v>
      </c>
      <c r="H1060" s="56">
        <v>2</v>
      </c>
      <c r="I1060" s="56">
        <v>200</v>
      </c>
      <c r="J1060" s="59" t="s">
        <v>1181</v>
      </c>
      <c r="K1060" s="59">
        <v>1</v>
      </c>
      <c r="L1060" s="59">
        <f t="shared" si="16"/>
        <v>400</v>
      </c>
      <c r="M1060" s="59"/>
    </row>
    <row r="1061" spans="1:14" ht="30">
      <c r="A1061" s="56">
        <v>1111</v>
      </c>
      <c r="B1061" s="56">
        <v>1111</v>
      </c>
      <c r="C1061" s="56">
        <v>1111</v>
      </c>
      <c r="D1061" s="56" t="s">
        <v>2378</v>
      </c>
      <c r="F1061" s="56" t="s">
        <v>24</v>
      </c>
      <c r="G1061" s="56">
        <v>1</v>
      </c>
      <c r="H1061" s="56">
        <v>2</v>
      </c>
      <c r="I1061" s="56">
        <v>230</v>
      </c>
      <c r="J1061" s="59" t="s">
        <v>1181</v>
      </c>
      <c r="K1061" s="59">
        <v>1</v>
      </c>
      <c r="L1061" s="59">
        <f t="shared" si="16"/>
        <v>460</v>
      </c>
      <c r="M1061" s="59"/>
    </row>
    <row r="1062" spans="1:14" ht="30">
      <c r="A1062" s="56">
        <v>1112</v>
      </c>
      <c r="B1062" s="56">
        <v>1112</v>
      </c>
      <c r="C1062" s="56">
        <v>1112</v>
      </c>
      <c r="D1062" s="56" t="s">
        <v>2379</v>
      </c>
      <c r="F1062" s="56" t="s">
        <v>24</v>
      </c>
      <c r="G1062" s="56">
        <v>1</v>
      </c>
      <c r="H1062" s="56">
        <v>2</v>
      </c>
      <c r="I1062" s="56">
        <v>1500</v>
      </c>
      <c r="J1062" s="59" t="s">
        <v>1181</v>
      </c>
      <c r="K1062" s="59">
        <v>1</v>
      </c>
      <c r="L1062" s="59">
        <f t="shared" si="16"/>
        <v>3000</v>
      </c>
      <c r="M1062" s="59"/>
    </row>
    <row r="1063" spans="1:14" ht="30">
      <c r="A1063" s="56">
        <v>1114</v>
      </c>
      <c r="B1063" s="56">
        <v>1114</v>
      </c>
      <c r="C1063" s="56">
        <v>1114</v>
      </c>
      <c r="D1063" s="56" t="s">
        <v>2381</v>
      </c>
      <c r="F1063" s="56" t="s">
        <v>24</v>
      </c>
      <c r="G1063" s="56">
        <v>1</v>
      </c>
      <c r="H1063" s="56">
        <v>2</v>
      </c>
      <c r="I1063" s="56">
        <v>1150</v>
      </c>
      <c r="J1063" s="59" t="s">
        <v>1181</v>
      </c>
      <c r="K1063" s="59">
        <v>1</v>
      </c>
      <c r="L1063" s="59">
        <f t="shared" si="16"/>
        <v>2300</v>
      </c>
      <c r="M1063" s="59"/>
    </row>
    <row r="1064" spans="1:14" ht="30">
      <c r="A1064" s="56">
        <v>1115</v>
      </c>
      <c r="B1064" s="56">
        <v>1115</v>
      </c>
      <c r="C1064" s="56">
        <v>1115</v>
      </c>
      <c r="D1064" s="56" t="s">
        <v>2382</v>
      </c>
      <c r="F1064" s="56" t="s">
        <v>24</v>
      </c>
      <c r="G1064" s="56">
        <v>1</v>
      </c>
      <c r="H1064" s="56">
        <v>2</v>
      </c>
      <c r="I1064" s="56">
        <v>1400</v>
      </c>
      <c r="J1064" s="59" t="s">
        <v>1181</v>
      </c>
      <c r="K1064" s="59">
        <v>1</v>
      </c>
      <c r="L1064" s="59">
        <f t="shared" si="16"/>
        <v>2800</v>
      </c>
      <c r="M1064" s="59"/>
    </row>
    <row r="1065" spans="1:14" ht="30">
      <c r="A1065" s="56">
        <v>1127</v>
      </c>
      <c r="B1065" s="56">
        <v>1127</v>
      </c>
      <c r="C1065" s="56">
        <v>1127</v>
      </c>
      <c r="D1065" s="56" t="s">
        <v>2394</v>
      </c>
      <c r="F1065" s="56" t="s">
        <v>24</v>
      </c>
      <c r="G1065" s="56">
        <v>1</v>
      </c>
      <c r="H1065" s="56">
        <v>2</v>
      </c>
      <c r="I1065" s="56">
        <v>1100</v>
      </c>
      <c r="J1065" s="59" t="s">
        <v>1181</v>
      </c>
      <c r="K1065" s="59">
        <v>1</v>
      </c>
      <c r="L1065" s="59">
        <f t="shared" si="16"/>
        <v>2200</v>
      </c>
      <c r="M1065" s="59"/>
    </row>
    <row r="1066" spans="1:14" ht="30">
      <c r="A1066" s="56">
        <v>1146</v>
      </c>
      <c r="B1066" s="56">
        <v>1146</v>
      </c>
      <c r="C1066" s="56">
        <v>1146</v>
      </c>
      <c r="D1066" s="56" t="s">
        <v>2410</v>
      </c>
      <c r="F1066" s="56" t="s">
        <v>24</v>
      </c>
      <c r="G1066" s="56">
        <v>1</v>
      </c>
      <c r="H1066" s="56">
        <v>2</v>
      </c>
      <c r="I1066" s="56">
        <v>270</v>
      </c>
      <c r="J1066" s="59" t="s">
        <v>1181</v>
      </c>
      <c r="K1066" s="59">
        <v>1</v>
      </c>
      <c r="L1066" s="59">
        <f t="shared" si="16"/>
        <v>540</v>
      </c>
      <c r="M1066" s="59"/>
    </row>
    <row r="1067" spans="1:14" ht="30">
      <c r="A1067" s="56">
        <v>1148</v>
      </c>
      <c r="B1067" s="56">
        <v>1148</v>
      </c>
      <c r="C1067" s="56">
        <v>1148</v>
      </c>
      <c r="D1067" s="56" t="s">
        <v>2412</v>
      </c>
      <c r="F1067" s="56" t="s">
        <v>24</v>
      </c>
      <c r="G1067" s="56">
        <v>1</v>
      </c>
      <c r="H1067" s="56">
        <v>2</v>
      </c>
      <c r="I1067" s="56">
        <v>400</v>
      </c>
      <c r="J1067" s="59" t="s">
        <v>1181</v>
      </c>
      <c r="K1067" s="59">
        <v>1</v>
      </c>
      <c r="L1067" s="59">
        <f t="shared" si="16"/>
        <v>800</v>
      </c>
      <c r="M1067" s="59"/>
    </row>
    <row r="1068" spans="1:14" ht="30">
      <c r="A1068" s="56">
        <v>1153</v>
      </c>
      <c r="B1068" s="56">
        <v>1153</v>
      </c>
      <c r="C1068" s="56">
        <v>1153</v>
      </c>
      <c r="D1068" s="56" t="s">
        <v>2415</v>
      </c>
      <c r="F1068" s="56" t="s">
        <v>24</v>
      </c>
      <c r="G1068" s="56">
        <v>1</v>
      </c>
      <c r="H1068" s="56">
        <v>2</v>
      </c>
      <c r="I1068" s="56">
        <v>400</v>
      </c>
      <c r="J1068" s="59" t="s">
        <v>1181</v>
      </c>
      <c r="K1068" s="59">
        <v>1</v>
      </c>
      <c r="L1068" s="59">
        <f t="shared" si="16"/>
        <v>800</v>
      </c>
      <c r="M1068" s="59"/>
    </row>
    <row r="1069" spans="1:14" ht="30">
      <c r="A1069" s="56">
        <v>1182</v>
      </c>
      <c r="B1069" s="56">
        <v>1182</v>
      </c>
      <c r="C1069" s="56">
        <v>1182</v>
      </c>
      <c r="D1069" s="56" t="s">
        <v>2432</v>
      </c>
      <c r="F1069" s="56" t="s">
        <v>24</v>
      </c>
      <c r="G1069" s="56">
        <v>1</v>
      </c>
      <c r="H1069" s="56">
        <v>2</v>
      </c>
      <c r="I1069" s="56">
        <v>2800</v>
      </c>
      <c r="J1069" s="59" t="s">
        <v>1181</v>
      </c>
      <c r="K1069" s="59">
        <v>1</v>
      </c>
      <c r="L1069" s="59">
        <f t="shared" si="16"/>
        <v>5600</v>
      </c>
      <c r="M1069" s="59"/>
    </row>
    <row r="1070" spans="1:14" ht="30">
      <c r="A1070" s="56">
        <v>1198</v>
      </c>
      <c r="B1070" s="56">
        <v>1198</v>
      </c>
      <c r="C1070" s="56">
        <v>1198</v>
      </c>
      <c r="D1070" s="56" t="s">
        <v>2447</v>
      </c>
      <c r="F1070" s="56" t="s">
        <v>24</v>
      </c>
      <c r="G1070" s="56">
        <v>1</v>
      </c>
      <c r="H1070" s="56">
        <v>2</v>
      </c>
      <c r="I1070" s="56">
        <v>360</v>
      </c>
      <c r="J1070" s="59" t="s">
        <v>1181</v>
      </c>
      <c r="K1070" s="59">
        <v>1</v>
      </c>
      <c r="L1070" s="59">
        <f t="shared" si="16"/>
        <v>720</v>
      </c>
      <c r="M1070" s="59"/>
    </row>
    <row r="1071" spans="1:14" ht="30">
      <c r="A1071" s="56">
        <v>1199</v>
      </c>
      <c r="B1071" s="56">
        <v>1199</v>
      </c>
      <c r="C1071" s="56">
        <v>1199</v>
      </c>
      <c r="D1071" s="56" t="s">
        <v>2448</v>
      </c>
      <c r="F1071" s="56" t="s">
        <v>24</v>
      </c>
      <c r="G1071" s="56">
        <v>1</v>
      </c>
      <c r="H1071" s="56">
        <v>2</v>
      </c>
      <c r="I1071" s="56">
        <v>1600</v>
      </c>
      <c r="J1071" s="59" t="s">
        <v>1181</v>
      </c>
      <c r="K1071" s="59">
        <v>1</v>
      </c>
      <c r="L1071" s="59">
        <f t="shared" si="16"/>
        <v>3200</v>
      </c>
      <c r="M1071" s="59"/>
    </row>
    <row r="1072" spans="1:14" ht="30">
      <c r="A1072" s="56">
        <v>1205</v>
      </c>
      <c r="B1072" s="56">
        <v>1205</v>
      </c>
      <c r="C1072" s="56">
        <v>1205</v>
      </c>
      <c r="D1072" s="56" t="s">
        <v>2453</v>
      </c>
      <c r="F1072" s="56" t="s">
        <v>24</v>
      </c>
      <c r="G1072" s="56">
        <v>1</v>
      </c>
      <c r="H1072" s="56">
        <v>2</v>
      </c>
      <c r="I1072" s="56">
        <v>80</v>
      </c>
      <c r="J1072" s="59" t="s">
        <v>1181</v>
      </c>
      <c r="K1072" s="59">
        <v>1</v>
      </c>
      <c r="L1072" s="59">
        <f t="shared" si="16"/>
        <v>160</v>
      </c>
      <c r="M1072" s="59"/>
    </row>
    <row r="1073" spans="1:14" ht="30">
      <c r="A1073" s="56">
        <v>1209</v>
      </c>
      <c r="B1073" s="56">
        <v>1209</v>
      </c>
      <c r="C1073" s="56">
        <v>1209</v>
      </c>
      <c r="D1073" s="56" t="s">
        <v>2457</v>
      </c>
      <c r="F1073" s="56" t="s">
        <v>24</v>
      </c>
      <c r="G1073" s="56">
        <v>1</v>
      </c>
      <c r="H1073" s="56">
        <v>2</v>
      </c>
      <c r="I1073" s="56">
        <v>150</v>
      </c>
      <c r="J1073" s="59" t="s">
        <v>1181</v>
      </c>
      <c r="K1073" s="59">
        <v>1</v>
      </c>
      <c r="L1073" s="59">
        <f t="shared" si="16"/>
        <v>300</v>
      </c>
      <c r="M1073" s="59"/>
    </row>
    <row r="1074" spans="1:14" ht="30">
      <c r="A1074" s="56">
        <v>1213</v>
      </c>
      <c r="B1074" s="56">
        <v>1213</v>
      </c>
      <c r="C1074" s="56">
        <v>1213</v>
      </c>
      <c r="D1074" s="56" t="s">
        <v>2461</v>
      </c>
      <c r="F1074" s="56" t="s">
        <v>24</v>
      </c>
      <c r="G1074" s="56">
        <v>1</v>
      </c>
      <c r="H1074" s="56">
        <v>2</v>
      </c>
      <c r="I1074" s="56">
        <v>200</v>
      </c>
      <c r="J1074" s="59" t="s">
        <v>1181</v>
      </c>
      <c r="K1074" s="59">
        <v>1</v>
      </c>
      <c r="L1074" s="59">
        <f t="shared" si="16"/>
        <v>400</v>
      </c>
      <c r="M1074" s="59"/>
    </row>
    <row r="1075" spans="1:14" ht="30">
      <c r="A1075" s="56">
        <v>1222</v>
      </c>
      <c r="B1075" s="56">
        <v>1222</v>
      </c>
      <c r="C1075" s="56">
        <v>1222</v>
      </c>
      <c r="D1075" s="56" t="s">
        <v>2469</v>
      </c>
      <c r="F1075" s="56" t="s">
        <v>24</v>
      </c>
      <c r="G1075" s="56">
        <v>1</v>
      </c>
      <c r="H1075" s="56">
        <v>2</v>
      </c>
      <c r="I1075" s="56">
        <v>350</v>
      </c>
      <c r="J1075" s="59" t="s">
        <v>1181</v>
      </c>
      <c r="K1075" s="59">
        <v>1</v>
      </c>
      <c r="L1075" s="59">
        <f t="shared" si="16"/>
        <v>700</v>
      </c>
      <c r="M1075" s="59"/>
    </row>
    <row r="1076" spans="1:14" ht="30">
      <c r="A1076" s="56">
        <v>1226</v>
      </c>
      <c r="B1076" s="56">
        <v>1226</v>
      </c>
      <c r="C1076" s="56">
        <v>1226</v>
      </c>
      <c r="D1076" s="56" t="s">
        <v>1423</v>
      </c>
      <c r="F1076" s="58" t="s">
        <v>1190</v>
      </c>
      <c r="G1076" s="58">
        <v>1</v>
      </c>
      <c r="H1076" s="58">
        <v>2</v>
      </c>
      <c r="I1076" s="56">
        <v>278</v>
      </c>
      <c r="J1076" s="59" t="s">
        <v>1181</v>
      </c>
      <c r="K1076" s="59">
        <v>1</v>
      </c>
      <c r="L1076" s="59">
        <f t="shared" si="16"/>
        <v>556</v>
      </c>
      <c r="M1076" s="59"/>
      <c r="N1076" s="58"/>
    </row>
    <row r="1077" spans="1:14" ht="30">
      <c r="A1077" s="56">
        <v>1260</v>
      </c>
      <c r="B1077" s="56">
        <v>1260</v>
      </c>
      <c r="C1077" s="56">
        <v>1260</v>
      </c>
      <c r="D1077" s="56" t="s">
        <v>2485</v>
      </c>
      <c r="F1077" s="56" t="s">
        <v>24</v>
      </c>
      <c r="G1077" s="56">
        <v>1</v>
      </c>
      <c r="H1077" s="56">
        <v>2</v>
      </c>
      <c r="I1077" s="56">
        <v>1000</v>
      </c>
      <c r="J1077" s="59" t="s">
        <v>1181</v>
      </c>
      <c r="K1077" s="59">
        <v>1</v>
      </c>
      <c r="L1077" s="59">
        <f t="shared" si="16"/>
        <v>2000</v>
      </c>
      <c r="M1077" s="59"/>
    </row>
    <row r="1078" spans="1:14" ht="30">
      <c r="A1078" s="56">
        <v>1267</v>
      </c>
      <c r="B1078" s="56">
        <v>1267</v>
      </c>
      <c r="C1078" s="56">
        <v>1267</v>
      </c>
      <c r="D1078" s="56" t="s">
        <v>2492</v>
      </c>
      <c r="F1078" s="56" t="s">
        <v>24</v>
      </c>
      <c r="G1078" s="56">
        <v>1</v>
      </c>
      <c r="H1078" s="56">
        <v>2</v>
      </c>
      <c r="I1078" s="56">
        <v>1000</v>
      </c>
      <c r="J1078" s="59" t="s">
        <v>1181</v>
      </c>
      <c r="K1078" s="59">
        <v>1</v>
      </c>
      <c r="L1078" s="59">
        <f t="shared" si="16"/>
        <v>2000</v>
      </c>
      <c r="M1078" s="59"/>
    </row>
    <row r="1079" spans="1:14" ht="30">
      <c r="A1079" s="56">
        <v>1268</v>
      </c>
      <c r="B1079" s="56">
        <v>1268</v>
      </c>
      <c r="C1079" s="56">
        <v>1268</v>
      </c>
      <c r="D1079" s="56" t="s">
        <v>2493</v>
      </c>
      <c r="F1079" s="56" t="s">
        <v>24</v>
      </c>
      <c r="G1079" s="56">
        <v>1</v>
      </c>
      <c r="H1079" s="56">
        <v>2</v>
      </c>
      <c r="I1079" s="56">
        <v>700</v>
      </c>
      <c r="J1079" s="59" t="s">
        <v>1181</v>
      </c>
      <c r="K1079" s="59">
        <v>1</v>
      </c>
      <c r="L1079" s="59">
        <f t="shared" si="16"/>
        <v>1400</v>
      </c>
      <c r="M1079" s="59"/>
    </row>
    <row r="1080" spans="1:14" ht="30">
      <c r="A1080" s="56">
        <v>1280</v>
      </c>
      <c r="B1080" s="56">
        <v>1280</v>
      </c>
      <c r="C1080" s="56">
        <v>1280</v>
      </c>
      <c r="D1080" s="56" t="s">
        <v>2505</v>
      </c>
      <c r="F1080" s="56" t="s">
        <v>24</v>
      </c>
      <c r="G1080" s="56">
        <v>1</v>
      </c>
      <c r="H1080" s="56">
        <v>2</v>
      </c>
      <c r="I1080" s="56">
        <v>400</v>
      </c>
      <c r="J1080" s="59" t="s">
        <v>1181</v>
      </c>
      <c r="K1080" s="59">
        <v>1</v>
      </c>
      <c r="L1080" s="59">
        <f t="shared" si="16"/>
        <v>800</v>
      </c>
      <c r="M1080" s="59"/>
    </row>
    <row r="1081" spans="1:14" ht="30">
      <c r="A1081" s="56">
        <v>1286</v>
      </c>
      <c r="B1081" s="56">
        <v>1286</v>
      </c>
      <c r="C1081" s="56">
        <v>1286</v>
      </c>
      <c r="D1081" s="56" t="s">
        <v>2511</v>
      </c>
      <c r="F1081" s="56" t="s">
        <v>24</v>
      </c>
      <c r="G1081" s="56">
        <v>1</v>
      </c>
      <c r="H1081" s="56">
        <v>2</v>
      </c>
      <c r="I1081" s="56">
        <v>450</v>
      </c>
      <c r="J1081" s="59" t="s">
        <v>1181</v>
      </c>
      <c r="K1081" s="59">
        <v>1</v>
      </c>
      <c r="L1081" s="59">
        <f t="shared" si="16"/>
        <v>900</v>
      </c>
      <c r="M1081" s="59"/>
    </row>
    <row r="1082" spans="1:14" ht="30">
      <c r="A1082" s="56">
        <v>1291</v>
      </c>
      <c r="B1082" s="56">
        <v>1291</v>
      </c>
      <c r="C1082" s="56">
        <v>1291</v>
      </c>
      <c r="D1082" s="56" t="s">
        <v>2516</v>
      </c>
      <c r="F1082" s="56" t="s">
        <v>24</v>
      </c>
      <c r="G1082" s="56">
        <v>1</v>
      </c>
      <c r="H1082" s="56">
        <v>2</v>
      </c>
      <c r="I1082" s="56">
        <v>450</v>
      </c>
      <c r="J1082" s="59" t="s">
        <v>1181</v>
      </c>
      <c r="K1082" s="59">
        <v>1</v>
      </c>
      <c r="L1082" s="59">
        <f t="shared" si="16"/>
        <v>900</v>
      </c>
      <c r="M1082" s="59"/>
    </row>
    <row r="1083" spans="1:14" ht="30">
      <c r="A1083" s="56">
        <v>1292</v>
      </c>
      <c r="B1083" s="56">
        <v>1292</v>
      </c>
      <c r="C1083" s="56">
        <v>1292</v>
      </c>
      <c r="D1083" s="56" t="s">
        <v>2517</v>
      </c>
      <c r="F1083" s="56" t="s">
        <v>24</v>
      </c>
      <c r="G1083" s="56">
        <v>1</v>
      </c>
      <c r="H1083" s="56">
        <v>2</v>
      </c>
      <c r="I1083" s="56">
        <v>450</v>
      </c>
      <c r="J1083" s="59" t="s">
        <v>1181</v>
      </c>
      <c r="K1083" s="59">
        <v>1</v>
      </c>
      <c r="L1083" s="59">
        <f t="shared" si="16"/>
        <v>900</v>
      </c>
      <c r="M1083" s="59"/>
    </row>
    <row r="1084" spans="1:14" ht="30">
      <c r="A1084" s="56">
        <v>1295</v>
      </c>
      <c r="B1084" s="56">
        <v>1295</v>
      </c>
      <c r="C1084" s="56">
        <v>1295</v>
      </c>
      <c r="D1084" s="56" t="s">
        <v>2520</v>
      </c>
      <c r="F1084" s="56" t="s">
        <v>24</v>
      </c>
      <c r="G1084" s="56">
        <v>1</v>
      </c>
      <c r="H1084" s="56">
        <v>2</v>
      </c>
      <c r="I1084" s="56">
        <v>450</v>
      </c>
      <c r="J1084" s="59" t="s">
        <v>1181</v>
      </c>
      <c r="K1084" s="59">
        <v>1</v>
      </c>
      <c r="L1084" s="59">
        <f t="shared" si="16"/>
        <v>900</v>
      </c>
      <c r="M1084" s="59"/>
    </row>
    <row r="1085" spans="1:14" ht="30">
      <c r="A1085" s="56">
        <v>1346</v>
      </c>
      <c r="B1085" s="56">
        <v>1346</v>
      </c>
      <c r="C1085" s="56">
        <v>1346</v>
      </c>
      <c r="D1085" s="56" t="s">
        <v>2569</v>
      </c>
      <c r="F1085" s="56" t="s">
        <v>24</v>
      </c>
      <c r="G1085" s="56">
        <v>1</v>
      </c>
      <c r="H1085" s="56">
        <v>2</v>
      </c>
      <c r="I1085" s="56">
        <v>200</v>
      </c>
      <c r="J1085" s="59" t="s">
        <v>1181</v>
      </c>
      <c r="K1085" s="59">
        <v>1</v>
      </c>
      <c r="L1085" s="59">
        <f t="shared" si="16"/>
        <v>400</v>
      </c>
      <c r="M1085" s="59"/>
    </row>
    <row r="1086" spans="1:14" ht="30">
      <c r="A1086" s="56">
        <v>1347</v>
      </c>
      <c r="B1086" s="56">
        <v>1347</v>
      </c>
      <c r="C1086" s="56">
        <v>1347</v>
      </c>
      <c r="D1086" s="56" t="s">
        <v>67</v>
      </c>
      <c r="F1086" s="56" t="s">
        <v>24</v>
      </c>
      <c r="G1086" s="56">
        <v>1</v>
      </c>
      <c r="H1086" s="56">
        <v>2</v>
      </c>
      <c r="I1086" s="56">
        <v>150</v>
      </c>
      <c r="J1086" s="59" t="s">
        <v>1181</v>
      </c>
      <c r="K1086" s="59">
        <v>1</v>
      </c>
      <c r="L1086" s="59">
        <f t="shared" si="16"/>
        <v>300</v>
      </c>
      <c r="M1086" s="59"/>
    </row>
    <row r="1087" spans="1:14" ht="30">
      <c r="A1087" s="56">
        <v>1348</v>
      </c>
      <c r="B1087" s="56">
        <v>1348</v>
      </c>
      <c r="C1087" s="56">
        <v>1348</v>
      </c>
      <c r="D1087" s="56" t="s">
        <v>2570</v>
      </c>
      <c r="F1087" s="56" t="s">
        <v>24</v>
      </c>
      <c r="G1087" s="56">
        <v>1</v>
      </c>
      <c r="H1087" s="56">
        <v>2</v>
      </c>
      <c r="I1087" s="56">
        <v>250</v>
      </c>
      <c r="J1087" s="59" t="s">
        <v>1181</v>
      </c>
      <c r="K1087" s="59">
        <v>1</v>
      </c>
      <c r="L1087" s="59">
        <f t="shared" si="16"/>
        <v>500</v>
      </c>
      <c r="M1087" s="59"/>
    </row>
    <row r="1088" spans="1:14" ht="30">
      <c r="A1088" s="56">
        <v>1349</v>
      </c>
      <c r="B1088" s="56">
        <v>1349</v>
      </c>
      <c r="C1088" s="56">
        <v>1349</v>
      </c>
      <c r="D1088" s="56" t="s">
        <v>2571</v>
      </c>
      <c r="F1088" s="56" t="s">
        <v>24</v>
      </c>
      <c r="G1088" s="56">
        <v>1</v>
      </c>
      <c r="H1088" s="56">
        <v>2</v>
      </c>
      <c r="I1088" s="56">
        <v>150</v>
      </c>
      <c r="J1088" s="59" t="s">
        <v>1181</v>
      </c>
      <c r="K1088" s="59">
        <v>1</v>
      </c>
      <c r="L1088" s="59">
        <f t="shared" si="16"/>
        <v>300</v>
      </c>
      <c r="M1088" s="59"/>
    </row>
    <row r="1089" spans="1:14" ht="30">
      <c r="A1089" s="56">
        <v>1361</v>
      </c>
      <c r="B1089" s="56">
        <v>1361</v>
      </c>
      <c r="C1089" s="56">
        <v>1361</v>
      </c>
      <c r="D1089" s="56" t="s">
        <v>2583</v>
      </c>
      <c r="F1089" s="56" t="s">
        <v>24</v>
      </c>
      <c r="G1089" s="56">
        <v>1</v>
      </c>
      <c r="H1089" s="56">
        <v>2</v>
      </c>
      <c r="I1089" s="56">
        <v>400</v>
      </c>
      <c r="J1089" s="59" t="s">
        <v>1181</v>
      </c>
      <c r="K1089" s="59">
        <v>1</v>
      </c>
      <c r="L1089" s="59">
        <f t="shared" si="16"/>
        <v>800</v>
      </c>
      <c r="M1089" s="59"/>
    </row>
    <row r="1090" spans="1:14" ht="30">
      <c r="A1090" s="56">
        <v>1386</v>
      </c>
      <c r="B1090" s="56">
        <v>1386</v>
      </c>
      <c r="C1090" s="56">
        <v>1386</v>
      </c>
      <c r="D1090" s="56" t="s">
        <v>2600</v>
      </c>
      <c r="F1090" s="56" t="s">
        <v>24</v>
      </c>
      <c r="G1090" s="56">
        <v>1</v>
      </c>
      <c r="H1090" s="56">
        <v>2</v>
      </c>
      <c r="I1090" s="56">
        <v>200</v>
      </c>
      <c r="J1090" s="59" t="s">
        <v>1181</v>
      </c>
      <c r="K1090" s="59">
        <v>1</v>
      </c>
      <c r="L1090" s="59">
        <f t="shared" ref="L1090:L1153" si="17">H1090*I1090</f>
        <v>400</v>
      </c>
      <c r="M1090" s="59"/>
    </row>
    <row r="1091" spans="1:14" ht="30">
      <c r="A1091" s="56">
        <v>1392</v>
      </c>
      <c r="B1091" s="56">
        <v>1392</v>
      </c>
      <c r="C1091" s="56">
        <v>1392</v>
      </c>
      <c r="D1091" s="56" t="s">
        <v>1512</v>
      </c>
      <c r="F1091" s="58" t="s">
        <v>1185</v>
      </c>
      <c r="G1091" s="58">
        <v>1</v>
      </c>
      <c r="H1091" s="58">
        <v>2</v>
      </c>
      <c r="I1091" s="56">
        <v>200</v>
      </c>
      <c r="J1091" s="59" t="s">
        <v>1181</v>
      </c>
      <c r="K1091" s="59">
        <v>1</v>
      </c>
      <c r="L1091" s="59">
        <f t="shared" si="17"/>
        <v>400</v>
      </c>
      <c r="M1091" s="59"/>
      <c r="N1091" s="58"/>
    </row>
    <row r="1092" spans="1:14" ht="30">
      <c r="A1092" s="56">
        <v>1398</v>
      </c>
      <c r="B1092" s="56">
        <v>1398</v>
      </c>
      <c r="C1092" s="56">
        <v>1398</v>
      </c>
      <c r="D1092" s="56" t="s">
        <v>2610</v>
      </c>
      <c r="F1092" s="56" t="s">
        <v>24</v>
      </c>
      <c r="G1092" s="56">
        <v>1</v>
      </c>
      <c r="H1092" s="56">
        <v>2</v>
      </c>
      <c r="I1092" s="56">
        <v>450</v>
      </c>
      <c r="J1092" s="59" t="s">
        <v>1181</v>
      </c>
      <c r="K1092" s="59">
        <v>1</v>
      </c>
      <c r="L1092" s="59">
        <f t="shared" si="17"/>
        <v>900</v>
      </c>
      <c r="M1092" s="59"/>
    </row>
    <row r="1093" spans="1:14" ht="30">
      <c r="A1093" s="56">
        <v>1409</v>
      </c>
      <c r="B1093" s="56">
        <v>1409</v>
      </c>
      <c r="C1093" s="56">
        <v>1409</v>
      </c>
      <c r="D1093" s="56" t="s">
        <v>2620</v>
      </c>
      <c r="F1093" s="56" t="s">
        <v>24</v>
      </c>
      <c r="G1093" s="56">
        <v>1</v>
      </c>
      <c r="H1093" s="56">
        <v>2</v>
      </c>
      <c r="I1093" s="56">
        <v>500</v>
      </c>
      <c r="J1093" s="59" t="s">
        <v>1181</v>
      </c>
      <c r="K1093" s="59">
        <v>1</v>
      </c>
      <c r="L1093" s="59">
        <f t="shared" si="17"/>
        <v>1000</v>
      </c>
      <c r="M1093" s="59"/>
    </row>
    <row r="1094" spans="1:14" ht="30">
      <c r="A1094" s="56">
        <v>1410</v>
      </c>
      <c r="B1094" s="56">
        <v>1410</v>
      </c>
      <c r="C1094" s="56">
        <v>1410</v>
      </c>
      <c r="D1094" s="56" t="s">
        <v>2621</v>
      </c>
      <c r="F1094" s="56" t="s">
        <v>24</v>
      </c>
      <c r="G1094" s="56">
        <v>1</v>
      </c>
      <c r="H1094" s="56">
        <v>2</v>
      </c>
      <c r="I1094" s="56">
        <v>500</v>
      </c>
      <c r="J1094" s="59" t="s">
        <v>1181</v>
      </c>
      <c r="K1094" s="59">
        <v>1</v>
      </c>
      <c r="L1094" s="59">
        <f t="shared" si="17"/>
        <v>1000</v>
      </c>
      <c r="M1094" s="59"/>
    </row>
    <row r="1095" spans="1:14" ht="30">
      <c r="A1095" s="56">
        <v>1411</v>
      </c>
      <c r="B1095" s="56">
        <v>1411</v>
      </c>
      <c r="C1095" s="56">
        <v>1411</v>
      </c>
      <c r="D1095" s="56" t="s">
        <v>2622</v>
      </c>
      <c r="F1095" s="56" t="s">
        <v>24</v>
      </c>
      <c r="G1095" s="56">
        <v>1</v>
      </c>
      <c r="H1095" s="56">
        <v>2</v>
      </c>
      <c r="I1095" s="56">
        <v>500</v>
      </c>
      <c r="J1095" s="59" t="s">
        <v>1181</v>
      </c>
      <c r="K1095" s="59">
        <v>1</v>
      </c>
      <c r="L1095" s="59">
        <f t="shared" si="17"/>
        <v>1000</v>
      </c>
      <c r="M1095" s="59"/>
    </row>
    <row r="1096" spans="1:14" ht="30">
      <c r="A1096" s="56">
        <v>1413</v>
      </c>
      <c r="B1096" s="56">
        <v>1413</v>
      </c>
      <c r="C1096" s="56">
        <v>1413</v>
      </c>
      <c r="D1096" s="56" t="s">
        <v>2624</v>
      </c>
      <c r="F1096" s="56" t="s">
        <v>24</v>
      </c>
      <c r="G1096" s="56">
        <v>1</v>
      </c>
      <c r="H1096" s="56">
        <v>2</v>
      </c>
      <c r="I1096" s="56">
        <v>500</v>
      </c>
      <c r="J1096" s="59" t="s">
        <v>1181</v>
      </c>
      <c r="K1096" s="59">
        <v>1</v>
      </c>
      <c r="L1096" s="59">
        <f t="shared" si="17"/>
        <v>1000</v>
      </c>
      <c r="M1096" s="59"/>
    </row>
    <row r="1097" spans="1:14" ht="30">
      <c r="A1097" s="56">
        <v>1433</v>
      </c>
      <c r="B1097" s="56">
        <v>1433</v>
      </c>
      <c r="C1097" s="56">
        <v>1433</v>
      </c>
      <c r="D1097" s="56" t="s">
        <v>2636</v>
      </c>
      <c r="F1097" s="56" t="s">
        <v>24</v>
      </c>
      <c r="G1097" s="56">
        <v>1</v>
      </c>
      <c r="H1097" s="56">
        <v>2</v>
      </c>
      <c r="I1097" s="56">
        <v>166</v>
      </c>
      <c r="J1097" s="59" t="s">
        <v>1181</v>
      </c>
      <c r="K1097" s="59">
        <v>1</v>
      </c>
      <c r="L1097" s="59">
        <f t="shared" si="17"/>
        <v>332</v>
      </c>
      <c r="M1097" s="59"/>
    </row>
    <row r="1098" spans="1:14" ht="30">
      <c r="A1098" s="56">
        <v>1441</v>
      </c>
      <c r="B1098" s="56">
        <v>1441</v>
      </c>
      <c r="C1098" s="56">
        <v>1441</v>
      </c>
      <c r="D1098" s="56" t="s">
        <v>1213</v>
      </c>
      <c r="F1098" s="58" t="s">
        <v>24</v>
      </c>
      <c r="G1098" s="58">
        <v>1</v>
      </c>
      <c r="H1098" s="58">
        <v>2</v>
      </c>
      <c r="I1098" s="56">
        <v>33</v>
      </c>
      <c r="J1098" s="59" t="s">
        <v>1181</v>
      </c>
      <c r="K1098" s="59">
        <v>1</v>
      </c>
      <c r="L1098" s="59">
        <f t="shared" si="17"/>
        <v>66</v>
      </c>
      <c r="M1098" s="59"/>
      <c r="N1098" s="58"/>
    </row>
    <row r="1099" spans="1:14" ht="30">
      <c r="A1099" s="56">
        <v>1447</v>
      </c>
      <c r="B1099" s="56">
        <v>1447</v>
      </c>
      <c r="C1099" s="56">
        <v>1447</v>
      </c>
      <c r="D1099" s="56" t="s">
        <v>2643</v>
      </c>
      <c r="F1099" s="56" t="s">
        <v>24</v>
      </c>
      <c r="G1099" s="56">
        <v>1</v>
      </c>
      <c r="H1099" s="56">
        <v>2</v>
      </c>
      <c r="I1099" s="56">
        <v>400</v>
      </c>
      <c r="J1099" s="59" t="s">
        <v>1181</v>
      </c>
      <c r="K1099" s="59">
        <v>1</v>
      </c>
      <c r="L1099" s="59">
        <f t="shared" si="17"/>
        <v>800</v>
      </c>
      <c r="M1099" s="59"/>
    </row>
    <row r="1100" spans="1:14" ht="30">
      <c r="A1100" s="56">
        <v>1449</v>
      </c>
      <c r="B1100" s="56">
        <v>1449</v>
      </c>
      <c r="C1100" s="56">
        <v>1449</v>
      </c>
      <c r="D1100" s="56" t="s">
        <v>2645</v>
      </c>
      <c r="F1100" s="56" t="s">
        <v>24</v>
      </c>
      <c r="G1100" s="56">
        <v>1</v>
      </c>
      <c r="H1100" s="56">
        <v>2</v>
      </c>
      <c r="I1100" s="56">
        <v>220</v>
      </c>
      <c r="J1100" s="59" t="s">
        <v>1181</v>
      </c>
      <c r="K1100" s="59">
        <v>1</v>
      </c>
      <c r="L1100" s="59">
        <f t="shared" si="17"/>
        <v>440</v>
      </c>
      <c r="M1100" s="59"/>
    </row>
    <row r="1101" spans="1:14" ht="30">
      <c r="A1101" s="56">
        <v>1453</v>
      </c>
      <c r="B1101" s="56">
        <v>1453</v>
      </c>
      <c r="C1101" s="56">
        <v>1453</v>
      </c>
      <c r="D1101" s="56" t="s">
        <v>2649</v>
      </c>
      <c r="F1101" s="56" t="s">
        <v>24</v>
      </c>
      <c r="G1101" s="56">
        <v>1</v>
      </c>
      <c r="H1101" s="56">
        <v>2</v>
      </c>
      <c r="I1101" s="56">
        <v>450</v>
      </c>
      <c r="J1101" s="59" t="s">
        <v>1181</v>
      </c>
      <c r="K1101" s="59">
        <v>1</v>
      </c>
      <c r="L1101" s="59">
        <f t="shared" si="17"/>
        <v>900</v>
      </c>
      <c r="M1101" s="59"/>
    </row>
    <row r="1102" spans="1:14" ht="30">
      <c r="A1102" s="56">
        <v>1454</v>
      </c>
      <c r="B1102" s="56">
        <v>1454</v>
      </c>
      <c r="C1102" s="56">
        <v>1454</v>
      </c>
      <c r="D1102" s="56" t="s">
        <v>2650</v>
      </c>
      <c r="F1102" s="56" t="s">
        <v>24</v>
      </c>
      <c r="G1102" s="56">
        <v>1</v>
      </c>
      <c r="H1102" s="56">
        <v>2</v>
      </c>
      <c r="I1102" s="56">
        <v>700</v>
      </c>
      <c r="J1102" s="59" t="s">
        <v>1181</v>
      </c>
      <c r="K1102" s="59">
        <v>1</v>
      </c>
      <c r="L1102" s="59">
        <f t="shared" si="17"/>
        <v>1400</v>
      </c>
      <c r="M1102" s="59"/>
    </row>
    <row r="1103" spans="1:14" ht="30">
      <c r="A1103" s="56">
        <v>1464</v>
      </c>
      <c r="B1103" s="56">
        <v>1464</v>
      </c>
      <c r="C1103" s="56">
        <v>1464</v>
      </c>
      <c r="D1103" s="56" t="s">
        <v>2660</v>
      </c>
      <c r="F1103" s="56" t="s">
        <v>24</v>
      </c>
      <c r="G1103" s="56">
        <v>1</v>
      </c>
      <c r="H1103" s="56">
        <v>2</v>
      </c>
      <c r="I1103" s="56">
        <v>700</v>
      </c>
      <c r="J1103" s="59" t="s">
        <v>1181</v>
      </c>
      <c r="K1103" s="59">
        <v>1</v>
      </c>
      <c r="L1103" s="59">
        <f t="shared" si="17"/>
        <v>1400</v>
      </c>
      <c r="M1103" s="59"/>
    </row>
    <row r="1104" spans="1:14" ht="30">
      <c r="A1104" s="56">
        <v>1466</v>
      </c>
      <c r="B1104" s="56">
        <v>1466</v>
      </c>
      <c r="C1104" s="56">
        <v>1466</v>
      </c>
      <c r="D1104" s="56" t="s">
        <v>2659</v>
      </c>
      <c r="F1104" s="56" t="s">
        <v>24</v>
      </c>
      <c r="G1104" s="56">
        <v>1</v>
      </c>
      <c r="H1104" s="56">
        <v>2</v>
      </c>
      <c r="I1104" s="56">
        <v>900</v>
      </c>
      <c r="J1104" s="59" t="s">
        <v>1181</v>
      </c>
      <c r="K1104" s="59">
        <v>1</v>
      </c>
      <c r="L1104" s="59">
        <f t="shared" si="17"/>
        <v>1800</v>
      </c>
      <c r="M1104" s="59"/>
    </row>
    <row r="1105" spans="1:13" ht="30">
      <c r="A1105" s="56">
        <v>1477</v>
      </c>
      <c r="B1105" s="56">
        <v>1477</v>
      </c>
      <c r="C1105" s="56">
        <v>1477</v>
      </c>
      <c r="D1105" s="56" t="s">
        <v>2671</v>
      </c>
      <c r="F1105" s="56" t="s">
        <v>24</v>
      </c>
      <c r="G1105" s="56">
        <v>1</v>
      </c>
      <c r="H1105" s="56">
        <v>2</v>
      </c>
      <c r="I1105" s="56">
        <v>35</v>
      </c>
      <c r="J1105" s="59" t="s">
        <v>1181</v>
      </c>
      <c r="K1105" s="59">
        <v>1</v>
      </c>
      <c r="L1105" s="59">
        <f t="shared" si="17"/>
        <v>70</v>
      </c>
      <c r="M1105" s="59"/>
    </row>
    <row r="1106" spans="1:13" ht="30">
      <c r="A1106" s="56">
        <v>1504</v>
      </c>
      <c r="B1106" s="56">
        <v>1504</v>
      </c>
      <c r="C1106" s="56">
        <v>1504</v>
      </c>
      <c r="D1106" s="56" t="s">
        <v>2695</v>
      </c>
      <c r="F1106" s="56" t="s">
        <v>24</v>
      </c>
      <c r="G1106" s="56">
        <v>1</v>
      </c>
      <c r="H1106" s="56">
        <v>2</v>
      </c>
      <c r="I1106" s="56">
        <v>950</v>
      </c>
      <c r="J1106" s="59" t="s">
        <v>1181</v>
      </c>
      <c r="K1106" s="59">
        <v>1</v>
      </c>
      <c r="L1106" s="59">
        <f t="shared" si="17"/>
        <v>1900</v>
      </c>
      <c r="M1106" s="59"/>
    </row>
    <row r="1107" spans="1:13" ht="30">
      <c r="A1107" s="56">
        <v>1510</v>
      </c>
      <c r="B1107" s="56">
        <v>1510</v>
      </c>
      <c r="C1107" s="56">
        <v>1510</v>
      </c>
      <c r="D1107" s="56" t="s">
        <v>2700</v>
      </c>
      <c r="F1107" s="56" t="s">
        <v>24</v>
      </c>
      <c r="G1107" s="56">
        <v>1</v>
      </c>
      <c r="H1107" s="56">
        <v>2</v>
      </c>
      <c r="I1107" s="56">
        <v>700</v>
      </c>
      <c r="J1107" s="59" t="s">
        <v>1181</v>
      </c>
      <c r="K1107" s="59">
        <v>1</v>
      </c>
      <c r="L1107" s="59">
        <f t="shared" si="17"/>
        <v>1400</v>
      </c>
      <c r="M1107" s="59"/>
    </row>
    <row r="1108" spans="1:13" ht="30">
      <c r="A1108" s="56">
        <v>1513</v>
      </c>
      <c r="B1108" s="56">
        <v>1513</v>
      </c>
      <c r="C1108" s="56">
        <v>1513</v>
      </c>
      <c r="D1108" s="56" t="s">
        <v>2703</v>
      </c>
      <c r="F1108" s="56" t="s">
        <v>24</v>
      </c>
      <c r="G1108" s="56">
        <v>1</v>
      </c>
      <c r="H1108" s="56">
        <v>2</v>
      </c>
      <c r="I1108" s="56">
        <v>600</v>
      </c>
      <c r="J1108" s="59" t="s">
        <v>1181</v>
      </c>
      <c r="K1108" s="59">
        <v>1</v>
      </c>
      <c r="L1108" s="59">
        <f t="shared" si="17"/>
        <v>1200</v>
      </c>
      <c r="M1108" s="59"/>
    </row>
    <row r="1109" spans="1:13" ht="30">
      <c r="A1109" s="56">
        <v>1518</v>
      </c>
      <c r="B1109" s="56">
        <v>1518</v>
      </c>
      <c r="C1109" s="56">
        <v>1518</v>
      </c>
      <c r="D1109" s="56" t="s">
        <v>2708</v>
      </c>
      <c r="F1109" s="56" t="s">
        <v>24</v>
      </c>
      <c r="G1109" s="56">
        <v>1</v>
      </c>
      <c r="H1109" s="56">
        <v>2</v>
      </c>
      <c r="I1109" s="56">
        <v>350</v>
      </c>
      <c r="J1109" s="59" t="s">
        <v>1181</v>
      </c>
      <c r="K1109" s="59">
        <v>1</v>
      </c>
      <c r="L1109" s="59">
        <f t="shared" si="17"/>
        <v>700</v>
      </c>
      <c r="M1109" s="59"/>
    </row>
    <row r="1110" spans="1:13" ht="30">
      <c r="A1110" s="56">
        <v>1526</v>
      </c>
      <c r="B1110" s="56">
        <v>1526</v>
      </c>
      <c r="C1110" s="56">
        <v>1526</v>
      </c>
      <c r="D1110" s="56" t="s">
        <v>2716</v>
      </c>
      <c r="F1110" s="56" t="s">
        <v>24</v>
      </c>
      <c r="G1110" s="56">
        <v>1</v>
      </c>
      <c r="H1110" s="56">
        <v>2</v>
      </c>
      <c r="I1110" s="56">
        <v>750</v>
      </c>
      <c r="J1110" s="59" t="s">
        <v>1181</v>
      </c>
      <c r="K1110" s="59">
        <v>1</v>
      </c>
      <c r="L1110" s="59">
        <f t="shared" si="17"/>
        <v>1500</v>
      </c>
      <c r="M1110" s="59"/>
    </row>
    <row r="1111" spans="1:13" ht="30">
      <c r="A1111" s="56">
        <v>1530</v>
      </c>
      <c r="B1111" s="56">
        <v>1530</v>
      </c>
      <c r="C1111" s="56">
        <v>1530</v>
      </c>
      <c r="D1111" s="56" t="s">
        <v>2720</v>
      </c>
      <c r="F1111" s="56" t="s">
        <v>24</v>
      </c>
      <c r="G1111" s="56">
        <v>1</v>
      </c>
      <c r="H1111" s="56">
        <v>2</v>
      </c>
      <c r="I1111" s="56">
        <v>650</v>
      </c>
      <c r="J1111" s="59" t="s">
        <v>1181</v>
      </c>
      <c r="K1111" s="59">
        <v>1</v>
      </c>
      <c r="L1111" s="59">
        <f t="shared" si="17"/>
        <v>1300</v>
      </c>
      <c r="M1111" s="59"/>
    </row>
    <row r="1112" spans="1:13" ht="30">
      <c r="A1112" s="56">
        <v>1536</v>
      </c>
      <c r="B1112" s="56">
        <v>1536</v>
      </c>
      <c r="C1112" s="56">
        <v>1536</v>
      </c>
      <c r="D1112" s="56" t="s">
        <v>2726</v>
      </c>
      <c r="F1112" s="56" t="s">
        <v>24</v>
      </c>
      <c r="G1112" s="56">
        <v>1</v>
      </c>
      <c r="H1112" s="56">
        <v>2</v>
      </c>
      <c r="I1112" s="56">
        <v>500</v>
      </c>
      <c r="J1112" s="59" t="s">
        <v>1181</v>
      </c>
      <c r="K1112" s="59">
        <v>1</v>
      </c>
      <c r="L1112" s="59">
        <f t="shared" si="17"/>
        <v>1000</v>
      </c>
      <c r="M1112" s="59"/>
    </row>
    <row r="1113" spans="1:13" ht="30">
      <c r="A1113" s="56">
        <v>1539</v>
      </c>
      <c r="B1113" s="56">
        <v>1539</v>
      </c>
      <c r="C1113" s="56">
        <v>1539</v>
      </c>
      <c r="D1113" s="56" t="s">
        <v>2729</v>
      </c>
      <c r="F1113" s="56" t="s">
        <v>24</v>
      </c>
      <c r="G1113" s="56">
        <v>1</v>
      </c>
      <c r="H1113" s="56">
        <v>2</v>
      </c>
      <c r="I1113" s="56">
        <v>850</v>
      </c>
      <c r="J1113" s="59" t="s">
        <v>1181</v>
      </c>
      <c r="K1113" s="59">
        <v>1</v>
      </c>
      <c r="L1113" s="59">
        <f t="shared" si="17"/>
        <v>1700</v>
      </c>
      <c r="M1113" s="59"/>
    </row>
    <row r="1114" spans="1:13" ht="30">
      <c r="A1114" s="56">
        <v>1540</v>
      </c>
      <c r="B1114" s="56">
        <v>1540</v>
      </c>
      <c r="C1114" s="56">
        <v>1540</v>
      </c>
      <c r="D1114" s="56" t="s">
        <v>2730</v>
      </c>
      <c r="F1114" s="56" t="s">
        <v>24</v>
      </c>
      <c r="G1114" s="56">
        <v>1</v>
      </c>
      <c r="H1114" s="56">
        <v>2</v>
      </c>
      <c r="I1114" s="56">
        <v>850</v>
      </c>
      <c r="J1114" s="59" t="s">
        <v>1181</v>
      </c>
      <c r="K1114" s="59">
        <v>1</v>
      </c>
      <c r="L1114" s="59">
        <f t="shared" si="17"/>
        <v>1700</v>
      </c>
      <c r="M1114" s="59"/>
    </row>
    <row r="1115" spans="1:13" ht="30">
      <c r="A1115" s="56">
        <v>1543</v>
      </c>
      <c r="B1115" s="56">
        <v>1543</v>
      </c>
      <c r="C1115" s="56">
        <v>1543</v>
      </c>
      <c r="D1115" s="56" t="s">
        <v>2733</v>
      </c>
      <c r="F1115" s="56" t="s">
        <v>24</v>
      </c>
      <c r="G1115" s="56">
        <v>1</v>
      </c>
      <c r="H1115" s="56">
        <v>2</v>
      </c>
      <c r="I1115" s="56">
        <v>1000</v>
      </c>
      <c r="J1115" s="59" t="s">
        <v>1181</v>
      </c>
      <c r="K1115" s="59">
        <v>1</v>
      </c>
      <c r="L1115" s="59">
        <f t="shared" si="17"/>
        <v>2000</v>
      </c>
      <c r="M1115" s="59"/>
    </row>
    <row r="1116" spans="1:13" ht="30">
      <c r="A1116" s="56">
        <v>1546</v>
      </c>
      <c r="B1116" s="56">
        <v>1546</v>
      </c>
      <c r="C1116" s="56">
        <v>1546</v>
      </c>
      <c r="D1116" s="56" t="s">
        <v>2736</v>
      </c>
      <c r="F1116" s="56" t="s">
        <v>24</v>
      </c>
      <c r="G1116" s="56">
        <v>1</v>
      </c>
      <c r="H1116" s="56">
        <v>2</v>
      </c>
      <c r="I1116" s="56">
        <v>1100</v>
      </c>
      <c r="J1116" s="59" t="s">
        <v>1181</v>
      </c>
      <c r="K1116" s="59">
        <v>1</v>
      </c>
      <c r="L1116" s="59">
        <f t="shared" si="17"/>
        <v>2200</v>
      </c>
      <c r="M1116" s="59"/>
    </row>
    <row r="1117" spans="1:13" ht="30">
      <c r="A1117" s="56">
        <v>1557</v>
      </c>
      <c r="B1117" s="56">
        <v>1557</v>
      </c>
      <c r="C1117" s="56">
        <v>1557</v>
      </c>
      <c r="D1117" s="56" t="s">
        <v>2747</v>
      </c>
      <c r="F1117" s="56" t="s">
        <v>24</v>
      </c>
      <c r="G1117" s="56">
        <v>1</v>
      </c>
      <c r="H1117" s="56">
        <v>2</v>
      </c>
      <c r="I1117" s="56">
        <v>600</v>
      </c>
      <c r="J1117" s="59" t="s">
        <v>1181</v>
      </c>
      <c r="K1117" s="59">
        <v>1</v>
      </c>
      <c r="L1117" s="59">
        <f t="shared" si="17"/>
        <v>1200</v>
      </c>
      <c r="M1117" s="59"/>
    </row>
    <row r="1118" spans="1:13" ht="30">
      <c r="A1118" s="56">
        <v>1558</v>
      </c>
      <c r="B1118" s="56">
        <v>1558</v>
      </c>
      <c r="C1118" s="56">
        <v>1558</v>
      </c>
      <c r="D1118" s="56" t="s">
        <v>2748</v>
      </c>
      <c r="F1118" s="56" t="s">
        <v>24</v>
      </c>
      <c r="G1118" s="56">
        <v>1</v>
      </c>
      <c r="H1118" s="56">
        <v>2</v>
      </c>
      <c r="I1118" s="56">
        <v>600</v>
      </c>
      <c r="J1118" s="59" t="s">
        <v>1181</v>
      </c>
      <c r="K1118" s="59">
        <v>1</v>
      </c>
      <c r="L1118" s="59">
        <f t="shared" si="17"/>
        <v>1200</v>
      </c>
      <c r="M1118" s="59"/>
    </row>
    <row r="1119" spans="1:13" ht="30">
      <c r="A1119" s="56">
        <v>1559</v>
      </c>
      <c r="B1119" s="56">
        <v>1559</v>
      </c>
      <c r="C1119" s="56">
        <v>1559</v>
      </c>
      <c r="D1119" s="56" t="s">
        <v>2749</v>
      </c>
      <c r="F1119" s="56" t="s">
        <v>24</v>
      </c>
      <c r="G1119" s="56">
        <v>1</v>
      </c>
      <c r="H1119" s="56">
        <v>2</v>
      </c>
      <c r="I1119" s="56">
        <v>600</v>
      </c>
      <c r="J1119" s="59" t="s">
        <v>1181</v>
      </c>
      <c r="K1119" s="59">
        <v>1</v>
      </c>
      <c r="L1119" s="59">
        <f t="shared" si="17"/>
        <v>1200</v>
      </c>
      <c r="M1119" s="59"/>
    </row>
    <row r="1120" spans="1:13" ht="30">
      <c r="A1120" s="56">
        <v>1568</v>
      </c>
      <c r="B1120" s="56">
        <v>1568</v>
      </c>
      <c r="C1120" s="56">
        <v>1568</v>
      </c>
      <c r="D1120" s="56" t="s">
        <v>2758</v>
      </c>
      <c r="F1120" s="56" t="s">
        <v>24</v>
      </c>
      <c r="G1120" s="56">
        <v>1</v>
      </c>
      <c r="H1120" s="56">
        <v>2</v>
      </c>
      <c r="I1120" s="56">
        <v>2200</v>
      </c>
      <c r="J1120" s="59" t="s">
        <v>1181</v>
      </c>
      <c r="K1120" s="59">
        <v>1</v>
      </c>
      <c r="L1120" s="59">
        <f t="shared" si="17"/>
        <v>4400</v>
      </c>
      <c r="M1120" s="59"/>
    </row>
    <row r="1121" spans="1:13" ht="30">
      <c r="A1121" s="56">
        <v>1605</v>
      </c>
      <c r="B1121" s="56">
        <v>1605</v>
      </c>
      <c r="C1121" s="56">
        <v>1605</v>
      </c>
      <c r="D1121" s="56" t="s">
        <v>2788</v>
      </c>
      <c r="F1121" s="56" t="s">
        <v>24</v>
      </c>
      <c r="G1121" s="56">
        <v>1</v>
      </c>
      <c r="H1121" s="56">
        <v>2</v>
      </c>
      <c r="I1121" s="56">
        <v>200</v>
      </c>
      <c r="J1121" s="59" t="s">
        <v>1181</v>
      </c>
      <c r="K1121" s="59">
        <v>1</v>
      </c>
      <c r="L1121" s="59">
        <f t="shared" si="17"/>
        <v>400</v>
      </c>
      <c r="M1121" s="59"/>
    </row>
    <row r="1122" spans="1:13" ht="30">
      <c r="A1122" s="56">
        <v>1607</v>
      </c>
      <c r="B1122" s="56">
        <v>1607</v>
      </c>
      <c r="C1122" s="56">
        <v>1607</v>
      </c>
      <c r="D1122" s="56" t="s">
        <v>2790</v>
      </c>
      <c r="F1122" s="56" t="s">
        <v>24</v>
      </c>
      <c r="G1122" s="56">
        <v>1</v>
      </c>
      <c r="H1122" s="56">
        <v>2</v>
      </c>
      <c r="I1122" s="56">
        <v>350</v>
      </c>
      <c r="J1122" s="59" t="s">
        <v>1181</v>
      </c>
      <c r="K1122" s="59">
        <v>1</v>
      </c>
      <c r="L1122" s="59">
        <f t="shared" si="17"/>
        <v>700</v>
      </c>
      <c r="M1122" s="59"/>
    </row>
    <row r="1123" spans="1:13" ht="30">
      <c r="A1123" s="56">
        <v>1610</v>
      </c>
      <c r="B1123" s="56">
        <v>1610</v>
      </c>
      <c r="C1123" s="56">
        <v>1610</v>
      </c>
      <c r="D1123" s="56" t="s">
        <v>1445</v>
      </c>
      <c r="F1123" s="58" t="s">
        <v>24</v>
      </c>
      <c r="G1123" s="58">
        <v>1</v>
      </c>
      <c r="H1123" s="58">
        <v>2</v>
      </c>
      <c r="I1123" s="56">
        <v>900</v>
      </c>
      <c r="J1123" s="59" t="s">
        <v>1181</v>
      </c>
      <c r="K1123" s="59">
        <v>1</v>
      </c>
      <c r="L1123" s="59">
        <f t="shared" si="17"/>
        <v>1800</v>
      </c>
      <c r="M1123" s="59"/>
    </row>
    <row r="1124" spans="1:13" ht="30">
      <c r="A1124" s="56">
        <v>1612</v>
      </c>
      <c r="B1124" s="56">
        <v>1612</v>
      </c>
      <c r="C1124" s="56">
        <v>1612</v>
      </c>
      <c r="D1124" s="56" t="s">
        <v>2794</v>
      </c>
      <c r="F1124" s="56" t="s">
        <v>24</v>
      </c>
      <c r="G1124" s="56">
        <v>1</v>
      </c>
      <c r="H1124" s="56">
        <v>2</v>
      </c>
      <c r="I1124" s="56">
        <v>400</v>
      </c>
      <c r="J1124" s="59" t="s">
        <v>1181</v>
      </c>
      <c r="K1124" s="59">
        <v>1</v>
      </c>
      <c r="L1124" s="59">
        <f t="shared" si="17"/>
        <v>800</v>
      </c>
      <c r="M1124" s="59"/>
    </row>
    <row r="1125" spans="1:13" ht="30">
      <c r="A1125" s="56">
        <v>1616</v>
      </c>
      <c r="B1125" s="56">
        <v>1616</v>
      </c>
      <c r="C1125" s="56">
        <v>1616</v>
      </c>
      <c r="D1125" s="56" t="s">
        <v>1446</v>
      </c>
      <c r="F1125" s="58" t="s">
        <v>24</v>
      </c>
      <c r="G1125" s="58">
        <v>1</v>
      </c>
      <c r="H1125" s="58">
        <v>2</v>
      </c>
      <c r="I1125" s="56">
        <v>350</v>
      </c>
      <c r="J1125" s="59" t="s">
        <v>1181</v>
      </c>
      <c r="K1125" s="59">
        <v>1</v>
      </c>
      <c r="L1125" s="59">
        <f t="shared" si="17"/>
        <v>700</v>
      </c>
      <c r="M1125" s="59"/>
    </row>
    <row r="1126" spans="1:13" ht="30">
      <c r="A1126" s="56">
        <v>1619</v>
      </c>
      <c r="B1126" s="56">
        <v>1619</v>
      </c>
      <c r="C1126" s="56">
        <v>1619</v>
      </c>
      <c r="D1126" s="56" t="s">
        <v>2800</v>
      </c>
      <c r="F1126" s="56" t="s">
        <v>24</v>
      </c>
      <c r="G1126" s="56">
        <v>1</v>
      </c>
      <c r="H1126" s="56">
        <v>2</v>
      </c>
      <c r="I1126" s="56">
        <v>700</v>
      </c>
      <c r="J1126" s="59" t="s">
        <v>1181</v>
      </c>
      <c r="K1126" s="59">
        <v>1</v>
      </c>
      <c r="L1126" s="59">
        <f t="shared" si="17"/>
        <v>1400</v>
      </c>
      <c r="M1126" s="59"/>
    </row>
    <row r="1127" spans="1:13" ht="30">
      <c r="A1127" s="56">
        <v>1620</v>
      </c>
      <c r="B1127" s="56">
        <v>1620</v>
      </c>
      <c r="C1127" s="56">
        <v>1620</v>
      </c>
      <c r="D1127" s="56" t="s">
        <v>1237</v>
      </c>
      <c r="F1127" s="58" t="s">
        <v>24</v>
      </c>
      <c r="G1127" s="58">
        <v>1</v>
      </c>
      <c r="H1127" s="58">
        <v>2</v>
      </c>
      <c r="I1127" s="56">
        <v>183</v>
      </c>
      <c r="J1127" s="59" t="s">
        <v>1181</v>
      </c>
      <c r="K1127" s="59">
        <v>1</v>
      </c>
      <c r="L1127" s="59">
        <f t="shared" si="17"/>
        <v>366</v>
      </c>
      <c r="M1127" s="59"/>
    </row>
    <row r="1128" spans="1:13" ht="30">
      <c r="A1128" s="56">
        <v>1625</v>
      </c>
      <c r="B1128" s="56">
        <v>1625</v>
      </c>
      <c r="C1128" s="56">
        <v>1625</v>
      </c>
      <c r="D1128" s="56" t="s">
        <v>1447</v>
      </c>
      <c r="F1128" s="58" t="s">
        <v>24</v>
      </c>
      <c r="G1128" s="58">
        <v>1</v>
      </c>
      <c r="H1128" s="58">
        <v>2</v>
      </c>
      <c r="I1128" s="56">
        <v>120</v>
      </c>
      <c r="J1128" s="59" t="s">
        <v>1181</v>
      </c>
      <c r="K1128" s="59">
        <v>1</v>
      </c>
      <c r="L1128" s="59">
        <f t="shared" si="17"/>
        <v>240</v>
      </c>
      <c r="M1128" s="59"/>
    </row>
    <row r="1129" spans="1:13" ht="30">
      <c r="A1129" s="56">
        <v>1629</v>
      </c>
      <c r="B1129" s="56">
        <v>1629</v>
      </c>
      <c r="C1129" s="56">
        <v>1629</v>
      </c>
      <c r="D1129" s="56" t="s">
        <v>2808</v>
      </c>
      <c r="F1129" s="56" t="s">
        <v>24</v>
      </c>
      <c r="G1129" s="56">
        <v>1</v>
      </c>
      <c r="H1129" s="56">
        <v>2</v>
      </c>
      <c r="I1129" s="56">
        <v>900</v>
      </c>
      <c r="J1129" s="59" t="s">
        <v>1181</v>
      </c>
      <c r="K1129" s="59">
        <v>1</v>
      </c>
      <c r="L1129" s="59">
        <f t="shared" si="17"/>
        <v>1800</v>
      </c>
      <c r="M1129" s="59"/>
    </row>
    <row r="1130" spans="1:13" ht="30">
      <c r="A1130" s="56">
        <v>1644</v>
      </c>
      <c r="B1130" s="56">
        <v>1644</v>
      </c>
      <c r="C1130" s="56">
        <v>1644</v>
      </c>
      <c r="D1130" s="56" t="s">
        <v>1451</v>
      </c>
      <c r="F1130" s="58" t="s">
        <v>24</v>
      </c>
      <c r="G1130" s="58">
        <v>1</v>
      </c>
      <c r="H1130" s="58">
        <v>2</v>
      </c>
      <c r="I1130" s="56">
        <v>200</v>
      </c>
      <c r="J1130" s="59" t="s">
        <v>1181</v>
      </c>
      <c r="K1130" s="59">
        <v>1</v>
      </c>
      <c r="L1130" s="59">
        <f t="shared" si="17"/>
        <v>400</v>
      </c>
      <c r="M1130" s="59"/>
    </row>
    <row r="1131" spans="1:13" ht="30">
      <c r="A1131" s="56">
        <v>1673</v>
      </c>
      <c r="B1131" s="56">
        <v>1673</v>
      </c>
      <c r="C1131" s="56">
        <v>1673</v>
      </c>
      <c r="D1131" s="56" t="s">
        <v>1461</v>
      </c>
      <c r="F1131" s="58" t="s">
        <v>24</v>
      </c>
      <c r="G1131" s="58">
        <v>1</v>
      </c>
      <c r="H1131" s="58">
        <v>2</v>
      </c>
      <c r="I1131" s="56">
        <v>170</v>
      </c>
      <c r="J1131" s="59" t="s">
        <v>1181</v>
      </c>
      <c r="K1131" s="59">
        <v>1</v>
      </c>
      <c r="L1131" s="59">
        <f t="shared" si="17"/>
        <v>340</v>
      </c>
      <c r="M1131" s="59"/>
    </row>
    <row r="1132" spans="1:13" ht="30">
      <c r="A1132" s="56">
        <v>1709</v>
      </c>
      <c r="B1132" s="56">
        <v>1709</v>
      </c>
      <c r="C1132" s="56">
        <v>1709</v>
      </c>
      <c r="D1132" s="56" t="s">
        <v>2863</v>
      </c>
      <c r="F1132" s="56" t="s">
        <v>24</v>
      </c>
      <c r="G1132" s="56">
        <v>1</v>
      </c>
      <c r="H1132" s="56">
        <v>2</v>
      </c>
      <c r="I1132" s="56">
        <v>200</v>
      </c>
      <c r="J1132" s="59" t="s">
        <v>1181</v>
      </c>
      <c r="K1132" s="59">
        <v>1</v>
      </c>
      <c r="L1132" s="59">
        <f t="shared" si="17"/>
        <v>400</v>
      </c>
      <c r="M1132" s="59"/>
    </row>
    <row r="1133" spans="1:13" ht="30">
      <c r="A1133" s="56">
        <v>1722</v>
      </c>
      <c r="B1133" s="56">
        <v>1722</v>
      </c>
      <c r="C1133" s="56">
        <v>1722</v>
      </c>
      <c r="D1133" s="56" t="s">
        <v>2873</v>
      </c>
      <c r="F1133" s="56" t="s">
        <v>24</v>
      </c>
      <c r="G1133" s="56">
        <v>1</v>
      </c>
      <c r="H1133" s="56">
        <v>2</v>
      </c>
      <c r="I1133" s="56">
        <v>460</v>
      </c>
      <c r="J1133" s="59" t="s">
        <v>1181</v>
      </c>
      <c r="K1133" s="59">
        <v>1</v>
      </c>
      <c r="L1133" s="59">
        <f t="shared" si="17"/>
        <v>920</v>
      </c>
      <c r="M1133" s="59"/>
    </row>
    <row r="1134" spans="1:13" ht="30">
      <c r="A1134" s="56">
        <v>1738</v>
      </c>
      <c r="B1134" s="56">
        <v>1738</v>
      </c>
      <c r="C1134" s="56">
        <v>1738</v>
      </c>
      <c r="D1134" s="56" t="s">
        <v>2888</v>
      </c>
      <c r="F1134" s="56" t="s">
        <v>24</v>
      </c>
      <c r="G1134" s="56">
        <v>1</v>
      </c>
      <c r="H1134" s="56">
        <v>2</v>
      </c>
      <c r="I1134" s="56">
        <v>700</v>
      </c>
      <c r="J1134" s="59" t="s">
        <v>1181</v>
      </c>
      <c r="K1134" s="59">
        <v>1</v>
      </c>
      <c r="L1134" s="59">
        <f t="shared" si="17"/>
        <v>1400</v>
      </c>
      <c r="M1134" s="59"/>
    </row>
    <row r="1135" spans="1:13" ht="30">
      <c r="A1135" s="56">
        <v>1739</v>
      </c>
      <c r="B1135" s="56">
        <v>1739</v>
      </c>
      <c r="C1135" s="56">
        <v>1739</v>
      </c>
      <c r="D1135" s="56" t="s">
        <v>2889</v>
      </c>
      <c r="F1135" s="56" t="s">
        <v>24</v>
      </c>
      <c r="G1135" s="56">
        <v>1</v>
      </c>
      <c r="H1135" s="56">
        <v>2</v>
      </c>
      <c r="I1135" s="56">
        <v>600</v>
      </c>
      <c r="J1135" s="59" t="s">
        <v>1181</v>
      </c>
      <c r="K1135" s="59">
        <v>1</v>
      </c>
      <c r="L1135" s="59">
        <f t="shared" si="17"/>
        <v>1200</v>
      </c>
      <c r="M1135" s="59"/>
    </row>
    <row r="1136" spans="1:13" ht="30">
      <c r="A1136" s="56">
        <v>1752</v>
      </c>
      <c r="B1136" s="56">
        <v>1752</v>
      </c>
      <c r="C1136" s="56">
        <v>1752</v>
      </c>
      <c r="D1136" s="56" t="s">
        <v>1474</v>
      </c>
      <c r="F1136" s="58" t="s">
        <v>24</v>
      </c>
      <c r="G1136" s="58">
        <v>1</v>
      </c>
      <c r="H1136" s="58">
        <v>2</v>
      </c>
      <c r="I1136" s="56">
        <v>600</v>
      </c>
      <c r="J1136" s="59" t="s">
        <v>1181</v>
      </c>
      <c r="K1136" s="59">
        <v>1</v>
      </c>
      <c r="L1136" s="59">
        <f t="shared" si="17"/>
        <v>1200</v>
      </c>
      <c r="M1136" s="59"/>
    </row>
    <row r="1137" spans="1:13" ht="30">
      <c r="A1137" s="56">
        <v>1759</v>
      </c>
      <c r="B1137" s="56">
        <v>1759</v>
      </c>
      <c r="C1137" s="56">
        <v>1759</v>
      </c>
      <c r="D1137" s="56" t="s">
        <v>2903</v>
      </c>
      <c r="F1137" s="56" t="s">
        <v>24</v>
      </c>
      <c r="G1137" s="56">
        <v>1</v>
      </c>
      <c r="H1137" s="56">
        <v>2</v>
      </c>
      <c r="I1137" s="56">
        <v>950</v>
      </c>
      <c r="J1137" s="59" t="s">
        <v>1181</v>
      </c>
      <c r="K1137" s="59">
        <v>1</v>
      </c>
      <c r="L1137" s="59">
        <f t="shared" si="17"/>
        <v>1900</v>
      </c>
      <c r="M1137" s="59"/>
    </row>
    <row r="1138" spans="1:13" ht="30">
      <c r="A1138" s="56">
        <v>1763</v>
      </c>
      <c r="B1138" s="56">
        <v>1763</v>
      </c>
      <c r="C1138" s="56">
        <v>1763</v>
      </c>
      <c r="D1138" s="56" t="s">
        <v>2907</v>
      </c>
      <c r="F1138" s="56" t="s">
        <v>24</v>
      </c>
      <c r="G1138" s="56">
        <v>1</v>
      </c>
      <c r="H1138" s="56">
        <v>2</v>
      </c>
      <c r="I1138" s="56">
        <v>650</v>
      </c>
      <c r="J1138" s="59" t="s">
        <v>1181</v>
      </c>
      <c r="K1138" s="59">
        <v>1</v>
      </c>
      <c r="L1138" s="59">
        <f t="shared" si="17"/>
        <v>1300</v>
      </c>
      <c r="M1138" s="59"/>
    </row>
    <row r="1139" spans="1:13" ht="30">
      <c r="A1139" s="56">
        <v>1782</v>
      </c>
      <c r="B1139" s="56">
        <v>1782</v>
      </c>
      <c r="C1139" s="56">
        <v>1782</v>
      </c>
      <c r="D1139" s="56" t="s">
        <v>2925</v>
      </c>
      <c r="F1139" s="56" t="s">
        <v>24</v>
      </c>
      <c r="G1139" s="56">
        <v>1</v>
      </c>
      <c r="H1139" s="56">
        <v>2</v>
      </c>
      <c r="I1139" s="56">
        <v>320</v>
      </c>
      <c r="J1139" s="59" t="s">
        <v>1181</v>
      </c>
      <c r="K1139" s="59">
        <v>1</v>
      </c>
      <c r="L1139" s="59">
        <f t="shared" si="17"/>
        <v>640</v>
      </c>
      <c r="M1139" s="59"/>
    </row>
    <row r="1140" spans="1:13" ht="30">
      <c r="A1140" s="56">
        <v>1783</v>
      </c>
      <c r="B1140" s="56">
        <v>1783</v>
      </c>
      <c r="C1140" s="56">
        <v>1783</v>
      </c>
      <c r="D1140" s="56" t="s">
        <v>2926</v>
      </c>
      <c r="F1140" s="56" t="s">
        <v>24</v>
      </c>
      <c r="G1140" s="56">
        <v>1</v>
      </c>
      <c r="H1140" s="56">
        <v>2</v>
      </c>
      <c r="I1140" s="56">
        <v>400</v>
      </c>
      <c r="J1140" s="59" t="s">
        <v>1181</v>
      </c>
      <c r="K1140" s="59">
        <v>1</v>
      </c>
      <c r="L1140" s="59">
        <f t="shared" si="17"/>
        <v>800</v>
      </c>
      <c r="M1140" s="59"/>
    </row>
    <row r="1141" spans="1:13" ht="30">
      <c r="A1141" s="56">
        <v>1786</v>
      </c>
      <c r="B1141" s="56">
        <v>1786</v>
      </c>
      <c r="C1141" s="56">
        <v>1786</v>
      </c>
      <c r="D1141" s="56" t="s">
        <v>2929</v>
      </c>
      <c r="F1141" s="56" t="s">
        <v>24</v>
      </c>
      <c r="G1141" s="56">
        <v>1</v>
      </c>
      <c r="H1141" s="56">
        <v>2</v>
      </c>
      <c r="I1141" s="56">
        <v>1300</v>
      </c>
      <c r="J1141" s="59" t="s">
        <v>1181</v>
      </c>
      <c r="K1141" s="59">
        <v>1</v>
      </c>
      <c r="L1141" s="59">
        <f t="shared" si="17"/>
        <v>2600</v>
      </c>
      <c r="M1141" s="59"/>
    </row>
    <row r="1142" spans="1:13" ht="30">
      <c r="A1142" s="56">
        <v>1787</v>
      </c>
      <c r="B1142" s="56">
        <v>1787</v>
      </c>
      <c r="C1142" s="56">
        <v>1787</v>
      </c>
      <c r="D1142" s="56" t="s">
        <v>2930</v>
      </c>
      <c r="F1142" s="56" t="s">
        <v>24</v>
      </c>
      <c r="G1142" s="56">
        <v>1</v>
      </c>
      <c r="H1142" s="56">
        <v>2</v>
      </c>
      <c r="I1142" s="56">
        <v>900</v>
      </c>
      <c r="J1142" s="59" t="s">
        <v>1181</v>
      </c>
      <c r="K1142" s="59">
        <v>1</v>
      </c>
      <c r="L1142" s="59">
        <f t="shared" si="17"/>
        <v>1800</v>
      </c>
      <c r="M1142" s="59"/>
    </row>
    <row r="1143" spans="1:13" ht="30">
      <c r="A1143" s="56">
        <v>1788</v>
      </c>
      <c r="B1143" s="56">
        <v>1788</v>
      </c>
      <c r="C1143" s="56">
        <v>1788</v>
      </c>
      <c r="D1143" s="56" t="s">
        <v>2931</v>
      </c>
      <c r="F1143" s="56" t="s">
        <v>24</v>
      </c>
      <c r="G1143" s="56">
        <v>1</v>
      </c>
      <c r="H1143" s="56">
        <v>2</v>
      </c>
      <c r="I1143" s="56">
        <v>1600</v>
      </c>
      <c r="J1143" s="59" t="s">
        <v>1181</v>
      </c>
      <c r="K1143" s="59">
        <v>1</v>
      </c>
      <c r="L1143" s="59">
        <f t="shared" si="17"/>
        <v>3200</v>
      </c>
      <c r="M1143" s="59"/>
    </row>
    <row r="1144" spans="1:13" ht="30">
      <c r="A1144" s="56">
        <v>1790</v>
      </c>
      <c r="B1144" s="56">
        <v>1790</v>
      </c>
      <c r="C1144" s="56">
        <v>1790</v>
      </c>
      <c r="D1144" s="56" t="s">
        <v>2933</v>
      </c>
      <c r="F1144" s="56" t="s">
        <v>24</v>
      </c>
      <c r="G1144" s="56">
        <v>1</v>
      </c>
      <c r="H1144" s="56">
        <v>2</v>
      </c>
      <c r="I1144" s="56">
        <v>700</v>
      </c>
      <c r="J1144" s="59" t="s">
        <v>1181</v>
      </c>
      <c r="K1144" s="59">
        <v>1</v>
      </c>
      <c r="L1144" s="59">
        <f t="shared" si="17"/>
        <v>1400</v>
      </c>
      <c r="M1144" s="59"/>
    </row>
    <row r="1145" spans="1:13" ht="30">
      <c r="A1145" s="56">
        <v>1791</v>
      </c>
      <c r="B1145" s="56">
        <v>1791</v>
      </c>
      <c r="C1145" s="56">
        <v>1791</v>
      </c>
      <c r="D1145" s="56" t="s">
        <v>2934</v>
      </c>
      <c r="F1145" s="56" t="s">
        <v>24</v>
      </c>
      <c r="G1145" s="56">
        <v>1</v>
      </c>
      <c r="H1145" s="56">
        <v>2</v>
      </c>
      <c r="I1145" s="56">
        <v>70</v>
      </c>
      <c r="J1145" s="59" t="s">
        <v>1181</v>
      </c>
      <c r="K1145" s="59">
        <v>1</v>
      </c>
      <c r="L1145" s="59">
        <f t="shared" si="17"/>
        <v>140</v>
      </c>
      <c r="M1145" s="59"/>
    </row>
    <row r="1146" spans="1:13" ht="30">
      <c r="A1146" s="56">
        <v>1801</v>
      </c>
      <c r="B1146" s="56">
        <v>1801</v>
      </c>
      <c r="C1146" s="56">
        <v>1801</v>
      </c>
      <c r="D1146" s="56" t="s">
        <v>2944</v>
      </c>
      <c r="F1146" s="56" t="s">
        <v>24</v>
      </c>
      <c r="G1146" s="56">
        <v>1</v>
      </c>
      <c r="H1146" s="56">
        <v>2</v>
      </c>
      <c r="I1146" s="56">
        <v>390</v>
      </c>
      <c r="J1146" s="59" t="s">
        <v>1181</v>
      </c>
      <c r="K1146" s="59">
        <v>1</v>
      </c>
      <c r="L1146" s="59">
        <f t="shared" si="17"/>
        <v>780</v>
      </c>
      <c r="M1146" s="59"/>
    </row>
    <row r="1147" spans="1:13" ht="30">
      <c r="A1147" s="56">
        <v>1802</v>
      </c>
      <c r="B1147" s="56">
        <v>1802</v>
      </c>
      <c r="C1147" s="56">
        <v>1802</v>
      </c>
      <c r="D1147" s="56" t="s">
        <v>2945</v>
      </c>
      <c r="F1147" s="56" t="s">
        <v>24</v>
      </c>
      <c r="G1147" s="56">
        <v>1</v>
      </c>
      <c r="H1147" s="56">
        <v>2</v>
      </c>
      <c r="I1147" s="56">
        <v>800</v>
      </c>
      <c r="J1147" s="59" t="s">
        <v>1181</v>
      </c>
      <c r="K1147" s="59">
        <v>1</v>
      </c>
      <c r="L1147" s="59">
        <f t="shared" si="17"/>
        <v>1600</v>
      </c>
      <c r="M1147" s="59"/>
    </row>
    <row r="1148" spans="1:13" ht="30">
      <c r="A1148" s="56">
        <v>1805</v>
      </c>
      <c r="B1148" s="56">
        <v>1805</v>
      </c>
      <c r="C1148" s="56">
        <v>1805</v>
      </c>
      <c r="D1148" s="56" t="s">
        <v>1477</v>
      </c>
      <c r="F1148" s="58" t="s">
        <v>24</v>
      </c>
      <c r="G1148" s="58">
        <v>1</v>
      </c>
      <c r="H1148" s="58">
        <v>2</v>
      </c>
      <c r="I1148" s="56">
        <v>66.7</v>
      </c>
      <c r="J1148" s="59" t="s">
        <v>1181</v>
      </c>
      <c r="K1148" s="59">
        <v>1</v>
      </c>
      <c r="L1148" s="59">
        <f t="shared" si="17"/>
        <v>133.4</v>
      </c>
      <c r="M1148" s="59"/>
    </row>
    <row r="1149" spans="1:13" ht="30">
      <c r="A1149" s="56">
        <v>1806</v>
      </c>
      <c r="B1149" s="56">
        <v>1806</v>
      </c>
      <c r="C1149" s="56">
        <v>1806</v>
      </c>
      <c r="D1149" s="56" t="s">
        <v>1478</v>
      </c>
      <c r="F1149" s="58" t="s">
        <v>24</v>
      </c>
      <c r="G1149" s="58">
        <v>1</v>
      </c>
      <c r="H1149" s="58">
        <v>2</v>
      </c>
      <c r="I1149" s="56">
        <v>58.3</v>
      </c>
      <c r="J1149" s="59" t="s">
        <v>1181</v>
      </c>
      <c r="K1149" s="59">
        <v>1</v>
      </c>
      <c r="L1149" s="59">
        <f t="shared" si="17"/>
        <v>116.6</v>
      </c>
      <c r="M1149" s="59"/>
    </row>
    <row r="1150" spans="1:13" ht="30">
      <c r="A1150" s="56">
        <v>1811</v>
      </c>
      <c r="B1150" s="56">
        <v>1811</v>
      </c>
      <c r="C1150" s="56">
        <v>1811</v>
      </c>
      <c r="D1150" s="56" t="s">
        <v>2948</v>
      </c>
      <c r="F1150" s="56" t="s">
        <v>24</v>
      </c>
      <c r="G1150" s="56">
        <v>1</v>
      </c>
      <c r="H1150" s="56">
        <v>2</v>
      </c>
      <c r="I1150" s="56">
        <v>100</v>
      </c>
      <c r="J1150" s="59" t="s">
        <v>1181</v>
      </c>
      <c r="K1150" s="59">
        <v>1</v>
      </c>
      <c r="L1150" s="59">
        <f t="shared" si="17"/>
        <v>200</v>
      </c>
      <c r="M1150" s="59"/>
    </row>
    <row r="1151" spans="1:13" ht="30">
      <c r="A1151" s="56">
        <v>1814</v>
      </c>
      <c r="B1151" s="56">
        <v>1814</v>
      </c>
      <c r="C1151" s="56">
        <v>1814</v>
      </c>
      <c r="D1151" s="56" t="s">
        <v>2951</v>
      </c>
      <c r="F1151" s="56" t="s">
        <v>24</v>
      </c>
      <c r="G1151" s="56">
        <v>1</v>
      </c>
      <c r="H1151" s="56">
        <v>2</v>
      </c>
      <c r="I1151" s="56">
        <v>3000</v>
      </c>
      <c r="J1151" s="59" t="s">
        <v>1181</v>
      </c>
      <c r="K1151" s="59">
        <v>1</v>
      </c>
      <c r="L1151" s="59">
        <f t="shared" si="17"/>
        <v>6000</v>
      </c>
      <c r="M1151" s="59"/>
    </row>
    <row r="1152" spans="1:13" ht="30">
      <c r="A1152" s="56">
        <v>1815</v>
      </c>
      <c r="B1152" s="56">
        <v>1815</v>
      </c>
      <c r="C1152" s="56">
        <v>1815</v>
      </c>
      <c r="D1152" s="56" t="s">
        <v>1481</v>
      </c>
      <c r="F1152" s="58" t="s">
        <v>24</v>
      </c>
      <c r="G1152" s="58">
        <v>1</v>
      </c>
      <c r="H1152" s="58">
        <v>2</v>
      </c>
      <c r="I1152" s="56">
        <v>650</v>
      </c>
      <c r="J1152" s="59" t="s">
        <v>1181</v>
      </c>
      <c r="K1152" s="59">
        <v>1</v>
      </c>
      <c r="L1152" s="59">
        <f t="shared" si="17"/>
        <v>1300</v>
      </c>
      <c r="M1152" s="59"/>
    </row>
    <row r="1153" spans="1:13" ht="30">
      <c r="A1153" s="56">
        <v>1818</v>
      </c>
      <c r="B1153" s="56">
        <v>1818</v>
      </c>
      <c r="C1153" s="56">
        <v>1818</v>
      </c>
      <c r="D1153" s="56" t="s">
        <v>1482</v>
      </c>
      <c r="F1153" s="58" t="s">
        <v>24</v>
      </c>
      <c r="G1153" s="58">
        <v>1</v>
      </c>
      <c r="H1153" s="58">
        <v>2</v>
      </c>
      <c r="I1153" s="56">
        <v>92</v>
      </c>
      <c r="J1153" s="59" t="s">
        <v>1181</v>
      </c>
      <c r="K1153" s="59">
        <v>1</v>
      </c>
      <c r="L1153" s="59">
        <f t="shared" si="17"/>
        <v>184</v>
      </c>
      <c r="M1153" s="59"/>
    </row>
    <row r="1154" spans="1:13" ht="30">
      <c r="A1154" s="56">
        <v>1829</v>
      </c>
      <c r="B1154" s="56">
        <v>1829</v>
      </c>
      <c r="C1154" s="56">
        <v>1829</v>
      </c>
      <c r="D1154" s="56" t="s">
        <v>2962</v>
      </c>
      <c r="F1154" s="56" t="s">
        <v>24</v>
      </c>
      <c r="G1154" s="56">
        <v>1</v>
      </c>
      <c r="H1154" s="56">
        <v>2</v>
      </c>
      <c r="I1154" s="56">
        <v>540</v>
      </c>
      <c r="J1154" s="59" t="s">
        <v>1181</v>
      </c>
      <c r="K1154" s="59">
        <v>1</v>
      </c>
      <c r="L1154" s="59">
        <f t="shared" ref="L1154:L1217" si="18">H1154*I1154</f>
        <v>1080</v>
      </c>
      <c r="M1154" s="59"/>
    </row>
    <row r="1155" spans="1:13" ht="30">
      <c r="A1155" s="56">
        <v>1843</v>
      </c>
      <c r="B1155" s="56">
        <v>1843</v>
      </c>
      <c r="C1155" s="56">
        <v>1843</v>
      </c>
      <c r="D1155" s="56" t="s">
        <v>1486</v>
      </c>
      <c r="F1155" s="58" t="s">
        <v>24</v>
      </c>
      <c r="G1155" s="58">
        <v>1</v>
      </c>
      <c r="H1155" s="58">
        <v>2</v>
      </c>
      <c r="I1155" s="56">
        <v>60</v>
      </c>
      <c r="J1155" s="59" t="s">
        <v>1181</v>
      </c>
      <c r="K1155" s="59">
        <v>1</v>
      </c>
      <c r="L1155" s="59">
        <f t="shared" si="18"/>
        <v>120</v>
      </c>
      <c r="M1155" s="59"/>
    </row>
    <row r="1156" spans="1:13" ht="30">
      <c r="A1156" s="56">
        <v>1913</v>
      </c>
      <c r="B1156" s="56">
        <v>1913</v>
      </c>
      <c r="C1156" s="56">
        <v>1913</v>
      </c>
      <c r="D1156" s="56" t="s">
        <v>3040</v>
      </c>
      <c r="F1156" s="56" t="s">
        <v>24</v>
      </c>
      <c r="G1156" s="56">
        <v>1</v>
      </c>
      <c r="H1156" s="56">
        <v>2</v>
      </c>
      <c r="I1156" s="56">
        <v>3600</v>
      </c>
      <c r="J1156" s="59" t="s">
        <v>1181</v>
      </c>
      <c r="K1156" s="59">
        <v>1</v>
      </c>
      <c r="L1156" s="59">
        <f t="shared" si="18"/>
        <v>7200</v>
      </c>
      <c r="M1156" s="59"/>
    </row>
    <row r="1157" spans="1:13" ht="30">
      <c r="A1157" s="56">
        <v>1939</v>
      </c>
      <c r="B1157" s="56">
        <v>1939</v>
      </c>
      <c r="C1157" s="56">
        <v>1939</v>
      </c>
      <c r="D1157" s="56" t="s">
        <v>3066</v>
      </c>
      <c r="F1157" s="56" t="s">
        <v>24</v>
      </c>
      <c r="G1157" s="56">
        <v>1</v>
      </c>
      <c r="H1157" s="56">
        <v>2</v>
      </c>
      <c r="I1157" s="56">
        <v>1800</v>
      </c>
      <c r="J1157" s="59" t="s">
        <v>1181</v>
      </c>
      <c r="K1157" s="59">
        <v>1</v>
      </c>
      <c r="L1157" s="59">
        <f t="shared" si="18"/>
        <v>3600</v>
      </c>
      <c r="M1157" s="59"/>
    </row>
    <row r="1158" spans="1:13" ht="30">
      <c r="A1158" s="56">
        <v>1944</v>
      </c>
      <c r="B1158" s="56">
        <v>1944</v>
      </c>
      <c r="C1158" s="56">
        <v>1944</v>
      </c>
      <c r="D1158" s="56" t="s">
        <v>3071</v>
      </c>
      <c r="F1158" s="56" t="s">
        <v>24</v>
      </c>
      <c r="G1158" s="56">
        <v>1</v>
      </c>
      <c r="H1158" s="56">
        <v>2</v>
      </c>
      <c r="I1158" s="56">
        <v>1600</v>
      </c>
      <c r="J1158" s="59" t="s">
        <v>1181</v>
      </c>
      <c r="K1158" s="59">
        <v>1</v>
      </c>
      <c r="L1158" s="59">
        <f t="shared" si="18"/>
        <v>3200</v>
      </c>
      <c r="M1158" s="59"/>
    </row>
    <row r="1159" spans="1:13" ht="30">
      <c r="A1159" s="56">
        <v>1945</v>
      </c>
      <c r="B1159" s="56">
        <v>1945</v>
      </c>
      <c r="C1159" s="56">
        <v>1945</v>
      </c>
      <c r="D1159" s="56" t="s">
        <v>3072</v>
      </c>
      <c r="F1159" s="56" t="s">
        <v>24</v>
      </c>
      <c r="G1159" s="56">
        <v>1</v>
      </c>
      <c r="H1159" s="56">
        <v>2</v>
      </c>
      <c r="I1159" s="56">
        <v>1400</v>
      </c>
      <c r="J1159" s="59" t="s">
        <v>1181</v>
      </c>
      <c r="K1159" s="59">
        <v>1</v>
      </c>
      <c r="L1159" s="59">
        <f t="shared" si="18"/>
        <v>2800</v>
      </c>
      <c r="M1159" s="59"/>
    </row>
    <row r="1160" spans="1:13" ht="30">
      <c r="A1160" s="56">
        <v>1427</v>
      </c>
      <c r="B1160" s="56">
        <v>1427</v>
      </c>
      <c r="C1160" s="56">
        <v>1427</v>
      </c>
      <c r="D1160" s="56" t="s">
        <v>1184</v>
      </c>
      <c r="F1160" s="56" t="s">
        <v>1185</v>
      </c>
      <c r="G1160" s="58">
        <v>125</v>
      </c>
      <c r="H1160" s="56">
        <v>3</v>
      </c>
      <c r="I1160" s="56">
        <v>1000</v>
      </c>
      <c r="J1160" s="59" t="s">
        <v>1181</v>
      </c>
      <c r="K1160" s="59">
        <v>1</v>
      </c>
      <c r="L1160" s="59">
        <f t="shared" si="18"/>
        <v>3000</v>
      </c>
      <c r="M1160" s="59"/>
    </row>
    <row r="1161" spans="1:13" ht="30">
      <c r="A1161" s="56">
        <v>1053</v>
      </c>
      <c r="B1161" s="56">
        <v>1053</v>
      </c>
      <c r="C1161" s="56">
        <v>1053</v>
      </c>
      <c r="D1161" s="56" t="s">
        <v>1188</v>
      </c>
      <c r="F1161" s="56" t="s">
        <v>1180</v>
      </c>
      <c r="G1161" s="58">
        <v>100</v>
      </c>
      <c r="H1161" s="56">
        <v>3</v>
      </c>
      <c r="I1161" s="56">
        <v>1500</v>
      </c>
      <c r="J1161" s="59" t="s">
        <v>1181</v>
      </c>
      <c r="K1161" s="59">
        <v>1</v>
      </c>
      <c r="L1161" s="59">
        <f t="shared" si="18"/>
        <v>4500</v>
      </c>
      <c r="M1161" s="59"/>
    </row>
    <row r="1162" spans="1:13" ht="30">
      <c r="A1162" s="56">
        <v>1107</v>
      </c>
      <c r="B1162" s="56">
        <v>1107</v>
      </c>
      <c r="C1162" s="56">
        <v>1107</v>
      </c>
      <c r="D1162" s="56" t="s">
        <v>1189</v>
      </c>
      <c r="F1162" s="58" t="s">
        <v>1190</v>
      </c>
      <c r="G1162" s="58">
        <v>100</v>
      </c>
      <c r="H1162" s="56">
        <v>3</v>
      </c>
      <c r="I1162" s="56">
        <v>600</v>
      </c>
      <c r="J1162" s="59" t="s">
        <v>1181</v>
      </c>
      <c r="K1162" s="59">
        <v>1</v>
      </c>
      <c r="L1162" s="59">
        <f t="shared" si="18"/>
        <v>1800</v>
      </c>
      <c r="M1162" s="59"/>
    </row>
    <row r="1163" spans="1:13" ht="30">
      <c r="A1163" s="56">
        <v>1247</v>
      </c>
      <c r="B1163" s="56">
        <v>1247</v>
      </c>
      <c r="C1163" s="56">
        <v>1247</v>
      </c>
      <c r="D1163" s="56" t="s">
        <v>1195</v>
      </c>
      <c r="F1163" s="56" t="s">
        <v>1180</v>
      </c>
      <c r="G1163" s="58">
        <v>100</v>
      </c>
      <c r="H1163" s="56">
        <v>3</v>
      </c>
      <c r="I1163" s="56">
        <v>950</v>
      </c>
      <c r="J1163" s="59" t="s">
        <v>1181</v>
      </c>
      <c r="K1163" s="59">
        <v>1</v>
      </c>
      <c r="L1163" s="59">
        <f t="shared" si="18"/>
        <v>2850</v>
      </c>
      <c r="M1163" s="59"/>
    </row>
    <row r="1164" spans="1:13" ht="30">
      <c r="A1164" s="56">
        <v>1372</v>
      </c>
      <c r="B1164" s="56">
        <v>1372</v>
      </c>
      <c r="C1164" s="56">
        <v>1372</v>
      </c>
      <c r="D1164" s="56" t="s">
        <v>1204</v>
      </c>
      <c r="F1164" s="56" t="s">
        <v>1180</v>
      </c>
      <c r="G1164" s="58">
        <v>100</v>
      </c>
      <c r="H1164" s="56">
        <v>3</v>
      </c>
      <c r="I1164" s="56">
        <v>1300</v>
      </c>
      <c r="J1164" s="59" t="s">
        <v>1181</v>
      </c>
      <c r="K1164" s="59">
        <v>1</v>
      </c>
      <c r="L1164" s="59">
        <f t="shared" si="18"/>
        <v>3900</v>
      </c>
      <c r="M1164" s="59"/>
    </row>
    <row r="1165" spans="1:13" ht="30">
      <c r="A1165" s="56">
        <v>1672</v>
      </c>
      <c r="B1165" s="56">
        <v>1672</v>
      </c>
      <c r="C1165" s="56">
        <v>1672</v>
      </c>
      <c r="D1165" s="56" t="s">
        <v>1219</v>
      </c>
      <c r="F1165" s="56" t="s">
        <v>1183</v>
      </c>
      <c r="G1165" s="58">
        <v>100</v>
      </c>
      <c r="H1165" s="56">
        <v>3</v>
      </c>
      <c r="I1165" s="56">
        <v>1050</v>
      </c>
      <c r="J1165" s="59" t="s">
        <v>1181</v>
      </c>
      <c r="K1165" s="59">
        <v>1</v>
      </c>
      <c r="L1165" s="59">
        <f t="shared" si="18"/>
        <v>3150</v>
      </c>
      <c r="M1165" s="59"/>
    </row>
    <row r="1166" spans="1:13" ht="30">
      <c r="A1166" s="56">
        <v>1254</v>
      </c>
      <c r="B1166" s="56">
        <v>1254</v>
      </c>
      <c r="C1166" s="56">
        <v>1254</v>
      </c>
      <c r="D1166" s="56" t="s">
        <v>1229</v>
      </c>
      <c r="F1166" s="58" t="s">
        <v>1180</v>
      </c>
      <c r="G1166" s="58">
        <v>50</v>
      </c>
      <c r="H1166" s="56">
        <v>3</v>
      </c>
      <c r="I1166" s="56">
        <v>1300</v>
      </c>
      <c r="J1166" s="59" t="s">
        <v>1181</v>
      </c>
      <c r="K1166" s="59">
        <v>1</v>
      </c>
      <c r="L1166" s="59">
        <f t="shared" si="18"/>
        <v>3900</v>
      </c>
      <c r="M1166" s="59"/>
    </row>
    <row r="1167" spans="1:13" ht="30">
      <c r="A1167" s="56">
        <v>1424</v>
      </c>
      <c r="B1167" s="56">
        <v>1424</v>
      </c>
      <c r="C1167" s="56">
        <v>1424</v>
      </c>
      <c r="D1167" s="56" t="s">
        <v>1234</v>
      </c>
      <c r="F1167" s="58" t="s">
        <v>1185</v>
      </c>
      <c r="G1167" s="58">
        <v>50</v>
      </c>
      <c r="H1167" s="56">
        <v>3</v>
      </c>
      <c r="I1167" s="56">
        <v>850</v>
      </c>
      <c r="J1167" s="59" t="s">
        <v>1181</v>
      </c>
      <c r="K1167" s="59">
        <v>1</v>
      </c>
      <c r="L1167" s="59">
        <f t="shared" si="18"/>
        <v>2550</v>
      </c>
      <c r="M1167" s="59"/>
    </row>
    <row r="1168" spans="1:13" ht="30">
      <c r="A1168" s="56">
        <v>1620</v>
      </c>
      <c r="B1168" s="56">
        <v>1620</v>
      </c>
      <c r="C1168" s="56">
        <v>1620</v>
      </c>
      <c r="D1168" s="56" t="s">
        <v>1237</v>
      </c>
      <c r="F1168" s="58" t="s">
        <v>1183</v>
      </c>
      <c r="G1168" s="58">
        <v>50</v>
      </c>
      <c r="H1168" s="56">
        <v>3</v>
      </c>
      <c r="I1168" s="56">
        <v>2200</v>
      </c>
      <c r="J1168" s="59" t="s">
        <v>1181</v>
      </c>
      <c r="K1168" s="59">
        <v>1</v>
      </c>
      <c r="L1168" s="59">
        <f t="shared" si="18"/>
        <v>6600</v>
      </c>
      <c r="M1168" s="59"/>
    </row>
    <row r="1169" spans="1:13" ht="30">
      <c r="A1169" s="56">
        <v>1655</v>
      </c>
      <c r="B1169" s="56">
        <v>1655</v>
      </c>
      <c r="C1169" s="56">
        <v>1655</v>
      </c>
      <c r="D1169" s="56" t="s">
        <v>1238</v>
      </c>
      <c r="F1169" s="56" t="s">
        <v>1185</v>
      </c>
      <c r="G1169" s="58">
        <v>50</v>
      </c>
      <c r="H1169" s="56">
        <v>3</v>
      </c>
      <c r="I1169" s="56">
        <v>1340</v>
      </c>
      <c r="J1169" s="59" t="s">
        <v>1181</v>
      </c>
      <c r="K1169" s="59">
        <v>1</v>
      </c>
      <c r="L1169" s="59">
        <f t="shared" si="18"/>
        <v>4020</v>
      </c>
      <c r="M1169" s="59"/>
    </row>
    <row r="1170" spans="1:13" ht="30">
      <c r="A1170" s="56">
        <v>1177</v>
      </c>
      <c r="B1170" s="56">
        <v>1177</v>
      </c>
      <c r="C1170" s="56">
        <v>1177</v>
      </c>
      <c r="D1170" s="56" t="s">
        <v>1246</v>
      </c>
      <c r="F1170" s="56" t="s">
        <v>1247</v>
      </c>
      <c r="G1170" s="58">
        <v>25</v>
      </c>
      <c r="H1170" s="56">
        <v>3</v>
      </c>
      <c r="I1170" s="56">
        <v>5000</v>
      </c>
      <c r="J1170" s="59" t="s">
        <v>1181</v>
      </c>
      <c r="K1170" s="59">
        <v>1</v>
      </c>
      <c r="L1170" s="59">
        <f t="shared" si="18"/>
        <v>15000</v>
      </c>
      <c r="M1170" s="59"/>
    </row>
    <row r="1171" spans="1:13" ht="30">
      <c r="A1171" s="56">
        <v>592</v>
      </c>
      <c r="B1171" s="56">
        <v>592</v>
      </c>
      <c r="C1171" s="56">
        <v>592</v>
      </c>
      <c r="D1171" s="56" t="s">
        <v>1248</v>
      </c>
      <c r="F1171" s="58" t="s">
        <v>1185</v>
      </c>
      <c r="G1171" s="58">
        <v>24</v>
      </c>
      <c r="H1171" s="56">
        <v>3</v>
      </c>
      <c r="I1171" s="56">
        <v>1320</v>
      </c>
      <c r="J1171" s="59" t="s">
        <v>1181</v>
      </c>
      <c r="K1171" s="59">
        <v>1</v>
      </c>
      <c r="L1171" s="59">
        <f t="shared" si="18"/>
        <v>3960</v>
      </c>
      <c r="M1171" s="59"/>
    </row>
    <row r="1172" spans="1:13" ht="30">
      <c r="A1172" s="56">
        <v>593</v>
      </c>
      <c r="B1172" s="56">
        <v>593</v>
      </c>
      <c r="C1172" s="56">
        <v>593</v>
      </c>
      <c r="D1172" s="56" t="s">
        <v>1249</v>
      </c>
      <c r="F1172" s="58" t="s">
        <v>1180</v>
      </c>
      <c r="G1172" s="58">
        <v>24</v>
      </c>
      <c r="H1172" s="56">
        <v>3</v>
      </c>
      <c r="I1172" s="56">
        <v>1632</v>
      </c>
      <c r="J1172" s="59" t="s">
        <v>1181</v>
      </c>
      <c r="K1172" s="59">
        <v>1</v>
      </c>
      <c r="L1172" s="59">
        <f t="shared" si="18"/>
        <v>4896</v>
      </c>
      <c r="M1172" s="59"/>
    </row>
    <row r="1173" spans="1:13" ht="30">
      <c r="A1173" s="56">
        <v>1579</v>
      </c>
      <c r="B1173" s="56">
        <v>1579</v>
      </c>
      <c r="C1173" s="56">
        <v>1579</v>
      </c>
      <c r="D1173" s="56" t="s">
        <v>1253</v>
      </c>
      <c r="F1173" s="56" t="s">
        <v>1183</v>
      </c>
      <c r="G1173" s="58">
        <v>24</v>
      </c>
      <c r="H1173" s="56">
        <v>3</v>
      </c>
      <c r="I1173" s="56">
        <v>1440</v>
      </c>
      <c r="J1173" s="59" t="s">
        <v>1181</v>
      </c>
      <c r="K1173" s="59">
        <v>1</v>
      </c>
      <c r="L1173" s="59">
        <f t="shared" si="18"/>
        <v>4320</v>
      </c>
      <c r="M1173" s="59"/>
    </row>
    <row r="1174" spans="1:13" ht="30">
      <c r="A1174" s="56">
        <v>1043</v>
      </c>
      <c r="B1174" s="56">
        <v>1043</v>
      </c>
      <c r="C1174" s="56">
        <v>1043</v>
      </c>
      <c r="D1174" s="56" t="s">
        <v>1259</v>
      </c>
      <c r="F1174" s="58" t="s">
        <v>1180</v>
      </c>
      <c r="G1174" s="58">
        <v>20</v>
      </c>
      <c r="H1174" s="56">
        <v>3</v>
      </c>
      <c r="I1174" s="56">
        <v>700</v>
      </c>
      <c r="J1174" s="59" t="s">
        <v>1181</v>
      </c>
      <c r="K1174" s="59">
        <v>1</v>
      </c>
      <c r="L1174" s="59">
        <f t="shared" si="18"/>
        <v>2100</v>
      </c>
      <c r="M1174" s="59"/>
    </row>
    <row r="1175" spans="1:13" ht="30">
      <c r="A1175" s="56">
        <v>804</v>
      </c>
      <c r="B1175" s="56">
        <v>804</v>
      </c>
      <c r="C1175" s="56">
        <v>804</v>
      </c>
      <c r="D1175" s="56" t="s">
        <v>1293</v>
      </c>
      <c r="F1175" s="58" t="s">
        <v>1185</v>
      </c>
      <c r="G1175" s="58">
        <v>12</v>
      </c>
      <c r="H1175" s="56">
        <v>3</v>
      </c>
      <c r="I1175" s="56">
        <v>1200</v>
      </c>
      <c r="J1175" s="59" t="s">
        <v>1181</v>
      </c>
      <c r="K1175" s="59">
        <v>1</v>
      </c>
      <c r="L1175" s="59">
        <f t="shared" si="18"/>
        <v>3600</v>
      </c>
      <c r="M1175" s="59"/>
    </row>
    <row r="1176" spans="1:13" ht="30">
      <c r="A1176" s="56">
        <v>814</v>
      </c>
      <c r="B1176" s="56">
        <v>814</v>
      </c>
      <c r="C1176" s="56">
        <v>814</v>
      </c>
      <c r="D1176" s="56" t="s">
        <v>1303</v>
      </c>
      <c r="F1176" s="58" t="s">
        <v>1185</v>
      </c>
      <c r="G1176" s="58">
        <v>12</v>
      </c>
      <c r="H1176" s="56">
        <v>3</v>
      </c>
      <c r="I1176" s="56">
        <v>600</v>
      </c>
      <c r="J1176" s="59" t="s">
        <v>1181</v>
      </c>
      <c r="K1176" s="59">
        <v>1</v>
      </c>
      <c r="L1176" s="59">
        <f t="shared" si="18"/>
        <v>1800</v>
      </c>
      <c r="M1176" s="59"/>
    </row>
    <row r="1177" spans="1:13" ht="30">
      <c r="A1177" s="56">
        <v>818</v>
      </c>
      <c r="B1177" s="56">
        <v>818</v>
      </c>
      <c r="C1177" s="56">
        <v>818</v>
      </c>
      <c r="D1177" s="56" t="s">
        <v>1306</v>
      </c>
      <c r="F1177" s="56" t="s">
        <v>1185</v>
      </c>
      <c r="G1177" s="58">
        <v>12</v>
      </c>
      <c r="H1177" s="56">
        <v>3</v>
      </c>
      <c r="I1177" s="56">
        <v>850</v>
      </c>
      <c r="J1177" s="59" t="s">
        <v>1181</v>
      </c>
      <c r="K1177" s="59">
        <v>1</v>
      </c>
      <c r="L1177" s="59">
        <f t="shared" si="18"/>
        <v>2550</v>
      </c>
      <c r="M1177" s="59"/>
    </row>
    <row r="1178" spans="1:13" ht="30">
      <c r="A1178" s="56">
        <v>845</v>
      </c>
      <c r="B1178" s="56">
        <v>845</v>
      </c>
      <c r="C1178" s="56">
        <v>845</v>
      </c>
      <c r="D1178" s="56" t="s">
        <v>1327</v>
      </c>
      <c r="F1178" s="58" t="s">
        <v>1185</v>
      </c>
      <c r="G1178" s="58">
        <v>12</v>
      </c>
      <c r="H1178" s="56">
        <v>3</v>
      </c>
      <c r="I1178" s="56">
        <v>1440</v>
      </c>
      <c r="J1178" s="59" t="s">
        <v>1181</v>
      </c>
      <c r="K1178" s="59">
        <v>1</v>
      </c>
      <c r="L1178" s="59">
        <f t="shared" si="18"/>
        <v>4320</v>
      </c>
      <c r="M1178" s="59"/>
    </row>
    <row r="1179" spans="1:13" ht="30">
      <c r="A1179" s="56">
        <v>857</v>
      </c>
      <c r="B1179" s="56">
        <v>857</v>
      </c>
      <c r="C1179" s="56">
        <v>857</v>
      </c>
      <c r="D1179" s="56" t="s">
        <v>1337</v>
      </c>
      <c r="F1179" s="58" t="s">
        <v>1185</v>
      </c>
      <c r="G1179" s="58">
        <v>12</v>
      </c>
      <c r="H1179" s="56">
        <v>3</v>
      </c>
      <c r="I1179" s="56">
        <v>2580</v>
      </c>
      <c r="J1179" s="59" t="s">
        <v>1181</v>
      </c>
      <c r="K1179" s="59">
        <v>1</v>
      </c>
      <c r="L1179" s="59">
        <f t="shared" si="18"/>
        <v>7740</v>
      </c>
      <c r="M1179" s="59"/>
    </row>
    <row r="1180" spans="1:13" ht="30">
      <c r="A1180" s="56">
        <v>863</v>
      </c>
      <c r="B1180" s="56">
        <v>863</v>
      </c>
      <c r="C1180" s="56">
        <v>863</v>
      </c>
      <c r="D1180" s="56" t="s">
        <v>1343</v>
      </c>
      <c r="F1180" s="56" t="s">
        <v>1185</v>
      </c>
      <c r="G1180" s="58">
        <v>12</v>
      </c>
      <c r="H1180" s="56">
        <v>3</v>
      </c>
      <c r="I1180" s="56">
        <v>2520</v>
      </c>
      <c r="J1180" s="59" t="s">
        <v>1181</v>
      </c>
      <c r="K1180" s="59">
        <v>1</v>
      </c>
      <c r="L1180" s="59">
        <f t="shared" si="18"/>
        <v>7560</v>
      </c>
      <c r="M1180" s="59"/>
    </row>
    <row r="1181" spans="1:13" ht="30">
      <c r="A1181" s="56">
        <v>877</v>
      </c>
      <c r="B1181" s="56">
        <v>877</v>
      </c>
      <c r="C1181" s="56">
        <v>877</v>
      </c>
      <c r="D1181" s="56" t="s">
        <v>1356</v>
      </c>
      <c r="F1181" s="58" t="s">
        <v>1185</v>
      </c>
      <c r="G1181" s="58">
        <v>12</v>
      </c>
      <c r="H1181" s="56">
        <v>3</v>
      </c>
      <c r="I1181" s="56">
        <v>1200</v>
      </c>
      <c r="J1181" s="59" t="s">
        <v>1181</v>
      </c>
      <c r="K1181" s="59">
        <v>1</v>
      </c>
      <c r="L1181" s="59">
        <f t="shared" si="18"/>
        <v>3600</v>
      </c>
      <c r="M1181" s="59"/>
    </row>
    <row r="1182" spans="1:13" ht="30">
      <c r="A1182" s="56">
        <v>986</v>
      </c>
      <c r="B1182" s="56">
        <v>986</v>
      </c>
      <c r="C1182" s="56">
        <v>986</v>
      </c>
      <c r="D1182" s="56" t="s">
        <v>1395</v>
      </c>
      <c r="F1182" s="56" t="s">
        <v>1185</v>
      </c>
      <c r="G1182" s="58">
        <v>12</v>
      </c>
      <c r="H1182" s="56">
        <v>3</v>
      </c>
      <c r="I1182" s="56">
        <v>816</v>
      </c>
      <c r="J1182" s="59" t="s">
        <v>1181</v>
      </c>
      <c r="K1182" s="59">
        <v>1</v>
      </c>
      <c r="L1182" s="59">
        <f t="shared" si="18"/>
        <v>2448</v>
      </c>
      <c r="M1182" s="59"/>
    </row>
    <row r="1183" spans="1:13" ht="30">
      <c r="A1183" s="56">
        <v>1085</v>
      </c>
      <c r="B1183" s="56">
        <v>1085</v>
      </c>
      <c r="C1183" s="56">
        <v>1085</v>
      </c>
      <c r="D1183" s="56" t="s">
        <v>1408</v>
      </c>
      <c r="F1183" s="56" t="s">
        <v>1183</v>
      </c>
      <c r="G1183" s="56">
        <v>12</v>
      </c>
      <c r="H1183" s="56">
        <v>3</v>
      </c>
      <c r="I1183" s="56">
        <v>460</v>
      </c>
      <c r="J1183" s="59" t="s">
        <v>1181</v>
      </c>
      <c r="K1183" s="59">
        <v>1</v>
      </c>
      <c r="L1183" s="59">
        <f t="shared" si="18"/>
        <v>1380</v>
      </c>
      <c r="M1183" s="59"/>
    </row>
    <row r="1184" spans="1:13" ht="30">
      <c r="A1184" s="56">
        <v>1092</v>
      </c>
      <c r="B1184" s="56">
        <v>1092</v>
      </c>
      <c r="C1184" s="56">
        <v>1092</v>
      </c>
      <c r="D1184" s="56" t="s">
        <v>1409</v>
      </c>
      <c r="F1184" s="58" t="s">
        <v>1183</v>
      </c>
      <c r="G1184" s="58">
        <v>12</v>
      </c>
      <c r="H1184" s="56">
        <v>3</v>
      </c>
      <c r="I1184" s="56">
        <v>1500</v>
      </c>
      <c r="J1184" s="59" t="s">
        <v>1181</v>
      </c>
      <c r="K1184" s="59">
        <v>1</v>
      </c>
      <c r="L1184" s="59">
        <f t="shared" si="18"/>
        <v>4500</v>
      </c>
      <c r="M1184" s="59"/>
    </row>
    <row r="1185" spans="1:13" ht="30">
      <c r="A1185" s="56">
        <v>1093</v>
      </c>
      <c r="B1185" s="56">
        <v>1093</v>
      </c>
      <c r="C1185" s="56">
        <v>1093</v>
      </c>
      <c r="D1185" s="56" t="s">
        <v>1410</v>
      </c>
      <c r="F1185" s="58" t="s">
        <v>1180</v>
      </c>
      <c r="G1185" s="58">
        <v>12</v>
      </c>
      <c r="H1185" s="56">
        <v>3</v>
      </c>
      <c r="I1185" s="56">
        <v>1500</v>
      </c>
      <c r="J1185" s="59" t="s">
        <v>1181</v>
      </c>
      <c r="K1185" s="59">
        <v>1</v>
      </c>
      <c r="L1185" s="59">
        <f t="shared" si="18"/>
        <v>4500</v>
      </c>
      <c r="M1185" s="59"/>
    </row>
    <row r="1186" spans="1:13" ht="30">
      <c r="A1186" s="56">
        <v>1108</v>
      </c>
      <c r="B1186" s="56">
        <v>1108</v>
      </c>
      <c r="C1186" s="56">
        <v>1108</v>
      </c>
      <c r="D1186" s="56" t="s">
        <v>1413</v>
      </c>
      <c r="F1186" s="58" t="s">
        <v>1180</v>
      </c>
      <c r="G1186" s="58">
        <v>12</v>
      </c>
      <c r="H1186" s="56">
        <v>3</v>
      </c>
      <c r="I1186" s="56">
        <v>850</v>
      </c>
      <c r="J1186" s="59" t="s">
        <v>1181</v>
      </c>
      <c r="K1186" s="59">
        <v>1</v>
      </c>
      <c r="L1186" s="59">
        <f t="shared" si="18"/>
        <v>2550</v>
      </c>
      <c r="M1186" s="59"/>
    </row>
    <row r="1187" spans="1:13" ht="30">
      <c r="A1187" s="56">
        <v>1226</v>
      </c>
      <c r="B1187" s="56">
        <v>1226</v>
      </c>
      <c r="C1187" s="56">
        <v>1226</v>
      </c>
      <c r="D1187" s="56" t="s">
        <v>1423</v>
      </c>
      <c r="F1187" s="58" t="s">
        <v>1183</v>
      </c>
      <c r="G1187" s="58">
        <v>12</v>
      </c>
      <c r="H1187" s="56">
        <v>3</v>
      </c>
      <c r="I1187" s="56">
        <v>2690</v>
      </c>
      <c r="J1187" s="59" t="s">
        <v>1181</v>
      </c>
      <c r="K1187" s="59">
        <v>1</v>
      </c>
      <c r="L1187" s="59">
        <f t="shared" si="18"/>
        <v>8070</v>
      </c>
      <c r="M1187" s="59"/>
    </row>
    <row r="1188" spans="1:13" ht="30">
      <c r="A1188" s="56">
        <v>1362</v>
      </c>
      <c r="B1188" s="56">
        <v>1362</v>
      </c>
      <c r="C1188" s="56">
        <v>1362</v>
      </c>
      <c r="D1188" s="56" t="s">
        <v>1432</v>
      </c>
      <c r="F1188" s="56" t="s">
        <v>1183</v>
      </c>
      <c r="G1188" s="58">
        <v>12</v>
      </c>
      <c r="H1188" s="56">
        <v>3</v>
      </c>
      <c r="I1188" s="56">
        <v>2400</v>
      </c>
      <c r="J1188" s="59" t="s">
        <v>1181</v>
      </c>
      <c r="K1188" s="59">
        <v>1</v>
      </c>
      <c r="L1188" s="59">
        <f t="shared" si="18"/>
        <v>7200</v>
      </c>
      <c r="M1188" s="59"/>
    </row>
    <row r="1189" spans="1:13" ht="30">
      <c r="A1189" s="56">
        <v>1393</v>
      </c>
      <c r="B1189" s="56">
        <v>1393</v>
      </c>
      <c r="C1189" s="56">
        <v>1393</v>
      </c>
      <c r="D1189" s="56" t="s">
        <v>1436</v>
      </c>
      <c r="F1189" s="58" t="s">
        <v>1185</v>
      </c>
      <c r="G1189" s="58">
        <v>12</v>
      </c>
      <c r="H1189" s="56">
        <v>3</v>
      </c>
      <c r="I1189" s="56">
        <v>450</v>
      </c>
      <c r="J1189" s="59" t="s">
        <v>1181</v>
      </c>
      <c r="K1189" s="59">
        <v>1</v>
      </c>
      <c r="L1189" s="59">
        <f t="shared" si="18"/>
        <v>1350</v>
      </c>
      <c r="M1189" s="59"/>
    </row>
    <row r="1190" spans="1:13" ht="30">
      <c r="A1190" s="56">
        <v>1669</v>
      </c>
      <c r="B1190" s="56">
        <v>1669</v>
      </c>
      <c r="C1190" s="56">
        <v>1669</v>
      </c>
      <c r="D1190" s="56" t="s">
        <v>1458</v>
      </c>
      <c r="F1190" s="58" t="s">
        <v>1185</v>
      </c>
      <c r="G1190" s="58">
        <v>12</v>
      </c>
      <c r="H1190" s="56">
        <v>3</v>
      </c>
      <c r="I1190" s="56">
        <v>1720</v>
      </c>
      <c r="J1190" s="59" t="s">
        <v>1181</v>
      </c>
      <c r="K1190" s="59">
        <v>1</v>
      </c>
      <c r="L1190" s="59">
        <f t="shared" si="18"/>
        <v>5160</v>
      </c>
      <c r="M1190" s="59"/>
    </row>
    <row r="1191" spans="1:13" ht="30">
      <c r="A1191" s="56">
        <v>1820</v>
      </c>
      <c r="B1191" s="56">
        <v>1820</v>
      </c>
      <c r="C1191" s="56">
        <v>1820</v>
      </c>
      <c r="D1191" s="56" t="s">
        <v>1483</v>
      </c>
      <c r="F1191" s="58" t="s">
        <v>1185</v>
      </c>
      <c r="G1191" s="58">
        <v>12</v>
      </c>
      <c r="H1191" s="56">
        <v>3</v>
      </c>
      <c r="I1191" s="56">
        <v>1140</v>
      </c>
      <c r="J1191" s="59" t="s">
        <v>1181</v>
      </c>
      <c r="K1191" s="59">
        <v>1</v>
      </c>
      <c r="L1191" s="59">
        <f t="shared" si="18"/>
        <v>3420</v>
      </c>
      <c r="M1191" s="59"/>
    </row>
    <row r="1192" spans="1:13" ht="30">
      <c r="A1192" s="56">
        <v>258</v>
      </c>
      <c r="B1192" s="56">
        <v>258</v>
      </c>
      <c r="C1192" s="56">
        <v>258</v>
      </c>
      <c r="D1192" s="56" t="s">
        <v>1487</v>
      </c>
      <c r="F1192" s="56" t="s">
        <v>1185</v>
      </c>
      <c r="G1192" s="58">
        <v>10</v>
      </c>
      <c r="H1192" s="56">
        <v>3</v>
      </c>
      <c r="I1192" s="56">
        <v>650</v>
      </c>
      <c r="J1192" s="59" t="s">
        <v>1181</v>
      </c>
      <c r="K1192" s="59">
        <v>1</v>
      </c>
      <c r="L1192" s="59">
        <f t="shared" si="18"/>
        <v>1950</v>
      </c>
      <c r="M1192" s="59"/>
    </row>
    <row r="1193" spans="1:13" ht="30">
      <c r="A1193" s="56">
        <v>780</v>
      </c>
      <c r="B1193" s="56">
        <v>780</v>
      </c>
      <c r="C1193" s="56">
        <v>780</v>
      </c>
      <c r="D1193" s="56" t="s">
        <v>1489</v>
      </c>
      <c r="F1193" s="56" t="s">
        <v>1272</v>
      </c>
      <c r="G1193" s="58">
        <v>10</v>
      </c>
      <c r="H1193" s="56">
        <v>3</v>
      </c>
      <c r="I1193" s="56">
        <v>600</v>
      </c>
      <c r="J1193" s="59" t="s">
        <v>1181</v>
      </c>
      <c r="K1193" s="59">
        <v>1</v>
      </c>
      <c r="L1193" s="59">
        <f t="shared" si="18"/>
        <v>1800</v>
      </c>
      <c r="M1193" s="59"/>
    </row>
    <row r="1194" spans="1:13" ht="30">
      <c r="A1194" s="56">
        <v>936</v>
      </c>
      <c r="B1194" s="56">
        <v>936</v>
      </c>
      <c r="C1194" s="56">
        <v>936</v>
      </c>
      <c r="D1194" s="56" t="s">
        <v>1522</v>
      </c>
      <c r="F1194" s="58" t="s">
        <v>1185</v>
      </c>
      <c r="G1194" s="58">
        <v>4</v>
      </c>
      <c r="H1194" s="56">
        <v>3</v>
      </c>
      <c r="I1194" s="56">
        <v>880</v>
      </c>
      <c r="J1194" s="59" t="s">
        <v>1181</v>
      </c>
      <c r="K1194" s="59">
        <v>1</v>
      </c>
      <c r="L1194" s="59">
        <f t="shared" si="18"/>
        <v>2640</v>
      </c>
      <c r="M1194" s="59"/>
    </row>
    <row r="1195" spans="1:13" ht="30">
      <c r="A1195" s="56">
        <v>21</v>
      </c>
      <c r="B1195" s="56">
        <v>21</v>
      </c>
      <c r="C1195" s="56">
        <v>21</v>
      </c>
      <c r="D1195" s="56" t="s">
        <v>1544</v>
      </c>
      <c r="F1195" s="56" t="s">
        <v>24</v>
      </c>
      <c r="G1195" s="56">
        <v>1</v>
      </c>
      <c r="H1195" s="56">
        <v>3</v>
      </c>
      <c r="I1195" s="56">
        <v>500</v>
      </c>
      <c r="J1195" s="59" t="s">
        <v>1181</v>
      </c>
      <c r="K1195" s="59">
        <v>1</v>
      </c>
      <c r="L1195" s="59">
        <f t="shared" si="18"/>
        <v>1500</v>
      </c>
      <c r="M1195" s="59"/>
    </row>
    <row r="1196" spans="1:13" ht="30">
      <c r="A1196" s="56">
        <v>30</v>
      </c>
      <c r="B1196" s="56">
        <v>30</v>
      </c>
      <c r="C1196" s="56">
        <v>30</v>
      </c>
      <c r="D1196" s="56" t="s">
        <v>1553</v>
      </c>
      <c r="F1196" s="56" t="s">
        <v>24</v>
      </c>
      <c r="G1196" s="56">
        <v>1</v>
      </c>
      <c r="H1196" s="56">
        <v>3</v>
      </c>
      <c r="I1196" s="56">
        <v>1400</v>
      </c>
      <c r="J1196" s="59" t="s">
        <v>1181</v>
      </c>
      <c r="K1196" s="59">
        <v>1</v>
      </c>
      <c r="L1196" s="59">
        <f t="shared" si="18"/>
        <v>4200</v>
      </c>
      <c r="M1196" s="59"/>
    </row>
    <row r="1197" spans="1:13" ht="30">
      <c r="A1197" s="56">
        <v>36</v>
      </c>
      <c r="B1197" s="56">
        <v>36</v>
      </c>
      <c r="C1197" s="56">
        <v>36</v>
      </c>
      <c r="D1197" s="56" t="s">
        <v>1559</v>
      </c>
      <c r="F1197" s="56" t="s">
        <v>24</v>
      </c>
      <c r="G1197" s="56">
        <v>1</v>
      </c>
      <c r="H1197" s="56">
        <v>3</v>
      </c>
      <c r="I1197" s="56">
        <v>800</v>
      </c>
      <c r="J1197" s="59" t="s">
        <v>1181</v>
      </c>
      <c r="K1197" s="59">
        <v>1</v>
      </c>
      <c r="L1197" s="59">
        <f t="shared" si="18"/>
        <v>2400</v>
      </c>
      <c r="M1197" s="59"/>
    </row>
    <row r="1198" spans="1:13" ht="30">
      <c r="A1198" s="56">
        <v>38</v>
      </c>
      <c r="B1198" s="56">
        <v>38</v>
      </c>
      <c r="C1198" s="56">
        <v>38</v>
      </c>
      <c r="D1198" s="56" t="s">
        <v>1561</v>
      </c>
      <c r="F1198" s="56" t="s">
        <v>24</v>
      </c>
      <c r="G1198" s="56">
        <v>1</v>
      </c>
      <c r="H1198" s="56">
        <v>3</v>
      </c>
      <c r="I1198" s="56">
        <v>1000</v>
      </c>
      <c r="J1198" s="59" t="s">
        <v>1181</v>
      </c>
      <c r="K1198" s="59">
        <v>1</v>
      </c>
      <c r="L1198" s="59">
        <f t="shared" si="18"/>
        <v>3000</v>
      </c>
      <c r="M1198" s="59"/>
    </row>
    <row r="1199" spans="1:13" ht="30">
      <c r="A1199" s="56">
        <v>53</v>
      </c>
      <c r="B1199" s="56">
        <v>53</v>
      </c>
      <c r="C1199" s="56">
        <v>53</v>
      </c>
      <c r="D1199" s="56" t="s">
        <v>1575</v>
      </c>
      <c r="F1199" s="56" t="s">
        <v>24</v>
      </c>
      <c r="G1199" s="56">
        <v>1</v>
      </c>
      <c r="H1199" s="56">
        <v>3</v>
      </c>
      <c r="I1199" s="56">
        <v>1700</v>
      </c>
      <c r="J1199" s="59" t="s">
        <v>1181</v>
      </c>
      <c r="K1199" s="59">
        <v>1</v>
      </c>
      <c r="L1199" s="59">
        <f t="shared" si="18"/>
        <v>5100</v>
      </c>
      <c r="M1199" s="59"/>
    </row>
    <row r="1200" spans="1:13" ht="30">
      <c r="A1200" s="56">
        <v>57</v>
      </c>
      <c r="B1200" s="56">
        <v>57</v>
      </c>
      <c r="C1200" s="56">
        <v>57</v>
      </c>
      <c r="D1200" s="56" t="s">
        <v>1579</v>
      </c>
      <c r="F1200" s="56" t="s">
        <v>24</v>
      </c>
      <c r="G1200" s="56">
        <v>1</v>
      </c>
      <c r="H1200" s="56">
        <v>3</v>
      </c>
      <c r="I1200" s="56">
        <v>3800</v>
      </c>
      <c r="J1200" s="59" t="s">
        <v>1181</v>
      </c>
      <c r="K1200" s="59">
        <v>1</v>
      </c>
      <c r="L1200" s="59">
        <f t="shared" si="18"/>
        <v>11400</v>
      </c>
      <c r="M1200" s="59"/>
    </row>
    <row r="1201" spans="1:13" ht="30">
      <c r="A1201" s="56">
        <v>64</v>
      </c>
      <c r="B1201" s="56">
        <v>64</v>
      </c>
      <c r="C1201" s="56">
        <v>64</v>
      </c>
      <c r="D1201" s="56" t="s">
        <v>1585</v>
      </c>
      <c r="F1201" s="56" t="s">
        <v>24</v>
      </c>
      <c r="G1201" s="56">
        <v>1</v>
      </c>
      <c r="H1201" s="56">
        <v>3</v>
      </c>
      <c r="I1201" s="56">
        <v>1200</v>
      </c>
      <c r="J1201" s="59" t="s">
        <v>1181</v>
      </c>
      <c r="K1201" s="59">
        <v>1</v>
      </c>
      <c r="L1201" s="59">
        <f t="shared" si="18"/>
        <v>3600</v>
      </c>
      <c r="M1201" s="59"/>
    </row>
    <row r="1202" spans="1:13" ht="30">
      <c r="A1202" s="56">
        <v>72</v>
      </c>
      <c r="B1202" s="56">
        <v>72</v>
      </c>
      <c r="C1202" s="56">
        <v>72</v>
      </c>
      <c r="D1202" s="56" t="s">
        <v>1593</v>
      </c>
      <c r="F1202" s="56" t="s">
        <v>24</v>
      </c>
      <c r="G1202" s="56">
        <v>1</v>
      </c>
      <c r="H1202" s="56">
        <v>3</v>
      </c>
      <c r="I1202" s="56">
        <v>600</v>
      </c>
      <c r="J1202" s="59" t="s">
        <v>1181</v>
      </c>
      <c r="K1202" s="59">
        <v>1</v>
      </c>
      <c r="L1202" s="59">
        <f t="shared" si="18"/>
        <v>1800</v>
      </c>
      <c r="M1202" s="59"/>
    </row>
    <row r="1203" spans="1:13" ht="30">
      <c r="A1203" s="56">
        <v>88</v>
      </c>
      <c r="B1203" s="56">
        <v>88</v>
      </c>
      <c r="C1203" s="56">
        <v>88</v>
      </c>
      <c r="D1203" s="56" t="s">
        <v>1609</v>
      </c>
      <c r="F1203" s="56" t="s">
        <v>24</v>
      </c>
      <c r="G1203" s="56">
        <v>1</v>
      </c>
      <c r="H1203" s="56">
        <v>3</v>
      </c>
      <c r="I1203" s="56">
        <v>3600</v>
      </c>
      <c r="J1203" s="59" t="s">
        <v>1181</v>
      </c>
      <c r="K1203" s="59">
        <v>1</v>
      </c>
      <c r="L1203" s="59">
        <f t="shared" si="18"/>
        <v>10800</v>
      </c>
      <c r="M1203" s="59"/>
    </row>
    <row r="1204" spans="1:13" ht="30">
      <c r="A1204" s="56">
        <v>91</v>
      </c>
      <c r="B1204" s="56">
        <v>91</v>
      </c>
      <c r="C1204" s="56">
        <v>91</v>
      </c>
      <c r="D1204" s="56" t="s">
        <v>28</v>
      </c>
      <c r="F1204" s="56" t="s">
        <v>24</v>
      </c>
      <c r="G1204" s="56">
        <v>1</v>
      </c>
      <c r="H1204" s="56">
        <v>3</v>
      </c>
      <c r="I1204" s="56">
        <v>2500</v>
      </c>
      <c r="J1204" s="59" t="s">
        <v>1181</v>
      </c>
      <c r="K1204" s="59">
        <v>1</v>
      </c>
      <c r="L1204" s="59">
        <f t="shared" si="18"/>
        <v>7500</v>
      </c>
      <c r="M1204" s="59"/>
    </row>
    <row r="1205" spans="1:13" ht="30">
      <c r="A1205" s="56">
        <v>99</v>
      </c>
      <c r="B1205" s="56">
        <v>99</v>
      </c>
      <c r="C1205" s="56">
        <v>99</v>
      </c>
      <c r="D1205" s="56" t="s">
        <v>29</v>
      </c>
      <c r="F1205" s="56" t="s">
        <v>24</v>
      </c>
      <c r="G1205" s="56">
        <v>1</v>
      </c>
      <c r="H1205" s="56">
        <v>3</v>
      </c>
      <c r="I1205" s="56">
        <v>1500</v>
      </c>
      <c r="J1205" s="59" t="s">
        <v>1181</v>
      </c>
      <c r="K1205" s="59">
        <v>1</v>
      </c>
      <c r="L1205" s="59">
        <f t="shared" si="18"/>
        <v>4500</v>
      </c>
      <c r="M1205" s="59"/>
    </row>
    <row r="1206" spans="1:13" ht="30">
      <c r="A1206" s="56">
        <v>105</v>
      </c>
      <c r="B1206" s="56">
        <v>105</v>
      </c>
      <c r="C1206" s="56">
        <v>105</v>
      </c>
      <c r="D1206" s="56" t="s">
        <v>1622</v>
      </c>
      <c r="F1206" s="56" t="s">
        <v>24</v>
      </c>
      <c r="G1206" s="56">
        <v>1</v>
      </c>
      <c r="H1206" s="56">
        <v>3</v>
      </c>
      <c r="I1206" s="56">
        <v>1700</v>
      </c>
      <c r="J1206" s="59" t="s">
        <v>1181</v>
      </c>
      <c r="K1206" s="59">
        <v>1</v>
      </c>
      <c r="L1206" s="59">
        <f t="shared" si="18"/>
        <v>5100</v>
      </c>
      <c r="M1206" s="59"/>
    </row>
    <row r="1207" spans="1:13" ht="30">
      <c r="A1207" s="56">
        <v>113</v>
      </c>
      <c r="B1207" s="56">
        <v>113</v>
      </c>
      <c r="C1207" s="56">
        <v>113</v>
      </c>
      <c r="D1207" s="56" t="s">
        <v>1628</v>
      </c>
      <c r="F1207" s="56" t="s">
        <v>24</v>
      </c>
      <c r="G1207" s="56">
        <v>1</v>
      </c>
      <c r="H1207" s="56">
        <v>3</v>
      </c>
      <c r="I1207" s="56">
        <v>1200</v>
      </c>
      <c r="J1207" s="59" t="s">
        <v>1181</v>
      </c>
      <c r="K1207" s="59">
        <v>1</v>
      </c>
      <c r="L1207" s="59">
        <f t="shared" si="18"/>
        <v>3600</v>
      </c>
      <c r="M1207" s="59"/>
    </row>
    <row r="1208" spans="1:13" ht="30">
      <c r="A1208" s="56">
        <v>116</v>
      </c>
      <c r="B1208" s="56">
        <v>116</v>
      </c>
      <c r="C1208" s="56">
        <v>116</v>
      </c>
      <c r="D1208" s="56" t="s">
        <v>1630</v>
      </c>
      <c r="F1208" s="56" t="s">
        <v>24</v>
      </c>
      <c r="G1208" s="56">
        <v>1</v>
      </c>
      <c r="H1208" s="56">
        <v>3</v>
      </c>
      <c r="I1208" s="56">
        <v>2200</v>
      </c>
      <c r="J1208" s="59" t="s">
        <v>1181</v>
      </c>
      <c r="K1208" s="59">
        <v>1</v>
      </c>
      <c r="L1208" s="59">
        <f t="shared" si="18"/>
        <v>6600</v>
      </c>
      <c r="M1208" s="59"/>
    </row>
    <row r="1209" spans="1:13" ht="30">
      <c r="A1209" s="56">
        <v>120</v>
      </c>
      <c r="B1209" s="56">
        <v>120</v>
      </c>
      <c r="C1209" s="56">
        <v>120</v>
      </c>
      <c r="D1209" s="56" t="s">
        <v>1634</v>
      </c>
      <c r="F1209" s="56" t="s">
        <v>24</v>
      </c>
      <c r="G1209" s="56">
        <v>1</v>
      </c>
      <c r="H1209" s="56">
        <v>3</v>
      </c>
      <c r="I1209" s="56">
        <v>1800</v>
      </c>
      <c r="J1209" s="59" t="s">
        <v>1181</v>
      </c>
      <c r="K1209" s="59">
        <v>1</v>
      </c>
      <c r="L1209" s="59">
        <f t="shared" si="18"/>
        <v>5400</v>
      </c>
      <c r="M1209" s="59"/>
    </row>
    <row r="1210" spans="1:13" ht="30">
      <c r="A1210" s="56">
        <v>128</v>
      </c>
      <c r="B1210" s="56">
        <v>128</v>
      </c>
      <c r="C1210" s="56">
        <v>128</v>
      </c>
      <c r="D1210" s="56" t="s">
        <v>1642</v>
      </c>
      <c r="F1210" s="56" t="s">
        <v>24</v>
      </c>
      <c r="G1210" s="56">
        <v>1</v>
      </c>
      <c r="H1210" s="56">
        <v>3</v>
      </c>
      <c r="I1210" s="56">
        <v>1800</v>
      </c>
      <c r="J1210" s="59" t="s">
        <v>1181</v>
      </c>
      <c r="K1210" s="59">
        <v>1</v>
      </c>
      <c r="L1210" s="59">
        <f t="shared" si="18"/>
        <v>5400</v>
      </c>
      <c r="M1210" s="59"/>
    </row>
    <row r="1211" spans="1:13" ht="30">
      <c r="A1211" s="56">
        <v>133</v>
      </c>
      <c r="B1211" s="56">
        <v>133</v>
      </c>
      <c r="C1211" s="56">
        <v>133</v>
      </c>
      <c r="D1211" s="56" t="s">
        <v>1646</v>
      </c>
      <c r="F1211" s="56" t="s">
        <v>24</v>
      </c>
      <c r="G1211" s="56">
        <v>1</v>
      </c>
      <c r="H1211" s="56">
        <v>3</v>
      </c>
      <c r="I1211" s="56">
        <v>1800</v>
      </c>
      <c r="J1211" s="59" t="s">
        <v>1181</v>
      </c>
      <c r="K1211" s="59">
        <v>1</v>
      </c>
      <c r="L1211" s="59">
        <f t="shared" si="18"/>
        <v>5400</v>
      </c>
      <c r="M1211" s="59"/>
    </row>
    <row r="1212" spans="1:13" ht="30">
      <c r="A1212" s="56">
        <v>149</v>
      </c>
      <c r="B1212" s="56">
        <v>149</v>
      </c>
      <c r="C1212" s="56">
        <v>149</v>
      </c>
      <c r="D1212" s="56" t="s">
        <v>1660</v>
      </c>
      <c r="F1212" s="56" t="s">
        <v>24</v>
      </c>
      <c r="G1212" s="56">
        <v>1</v>
      </c>
      <c r="H1212" s="56">
        <v>3</v>
      </c>
      <c r="I1212" s="56">
        <v>800</v>
      </c>
      <c r="J1212" s="59" t="s">
        <v>1181</v>
      </c>
      <c r="K1212" s="59">
        <v>1</v>
      </c>
      <c r="L1212" s="59">
        <f t="shared" si="18"/>
        <v>2400</v>
      </c>
      <c r="M1212" s="59"/>
    </row>
    <row r="1213" spans="1:13" ht="30">
      <c r="A1213" s="56">
        <v>152</v>
      </c>
      <c r="B1213" s="56">
        <v>152</v>
      </c>
      <c r="C1213" s="56">
        <v>152</v>
      </c>
      <c r="D1213" s="56" t="s">
        <v>1663</v>
      </c>
      <c r="F1213" s="56" t="s">
        <v>24</v>
      </c>
      <c r="G1213" s="56">
        <v>1</v>
      </c>
      <c r="H1213" s="56">
        <v>3</v>
      </c>
      <c r="I1213" s="56">
        <v>500</v>
      </c>
      <c r="J1213" s="59" t="s">
        <v>1181</v>
      </c>
      <c r="K1213" s="59">
        <v>1</v>
      </c>
      <c r="L1213" s="59">
        <f t="shared" si="18"/>
        <v>1500</v>
      </c>
      <c r="M1213" s="59"/>
    </row>
    <row r="1214" spans="1:13" ht="30">
      <c r="A1214" s="56">
        <v>181</v>
      </c>
      <c r="B1214" s="56">
        <v>181</v>
      </c>
      <c r="C1214" s="56">
        <v>181</v>
      </c>
      <c r="D1214" s="56" t="s">
        <v>1682</v>
      </c>
      <c r="F1214" s="56" t="s">
        <v>24</v>
      </c>
      <c r="G1214" s="56">
        <v>1</v>
      </c>
      <c r="H1214" s="56">
        <v>3</v>
      </c>
      <c r="I1214" s="56">
        <v>1500</v>
      </c>
      <c r="J1214" s="59" t="s">
        <v>1181</v>
      </c>
      <c r="K1214" s="59">
        <v>1</v>
      </c>
      <c r="L1214" s="59">
        <f t="shared" si="18"/>
        <v>4500</v>
      </c>
      <c r="M1214" s="59"/>
    </row>
    <row r="1215" spans="1:13" ht="30">
      <c r="A1215" s="56">
        <v>190</v>
      </c>
      <c r="B1215" s="56">
        <v>190</v>
      </c>
      <c r="C1215" s="56">
        <v>190</v>
      </c>
      <c r="D1215" s="56" t="s">
        <v>1689</v>
      </c>
      <c r="F1215" s="56" t="s">
        <v>24</v>
      </c>
      <c r="G1215" s="56">
        <v>1</v>
      </c>
      <c r="H1215" s="56">
        <v>3</v>
      </c>
      <c r="I1215" s="56">
        <v>2500</v>
      </c>
      <c r="J1215" s="59" t="s">
        <v>1181</v>
      </c>
      <c r="K1215" s="59">
        <v>1</v>
      </c>
      <c r="L1215" s="59">
        <f t="shared" si="18"/>
        <v>7500</v>
      </c>
      <c r="M1215" s="59"/>
    </row>
    <row r="1216" spans="1:13" ht="30">
      <c r="A1216" s="56">
        <v>191</v>
      </c>
      <c r="B1216" s="56">
        <v>191</v>
      </c>
      <c r="C1216" s="56">
        <v>191</v>
      </c>
      <c r="D1216" s="56" t="s">
        <v>1690</v>
      </c>
      <c r="F1216" s="56" t="s">
        <v>24</v>
      </c>
      <c r="G1216" s="56">
        <v>1</v>
      </c>
      <c r="H1216" s="56">
        <v>3</v>
      </c>
      <c r="I1216" s="56">
        <v>2000</v>
      </c>
      <c r="J1216" s="59" t="s">
        <v>1181</v>
      </c>
      <c r="K1216" s="59">
        <v>1</v>
      </c>
      <c r="L1216" s="59">
        <f t="shared" si="18"/>
        <v>6000</v>
      </c>
      <c r="M1216" s="59"/>
    </row>
    <row r="1217" spans="1:14" ht="30">
      <c r="A1217" s="56">
        <v>285</v>
      </c>
      <c r="B1217" s="56">
        <v>285</v>
      </c>
      <c r="C1217" s="56">
        <v>285</v>
      </c>
      <c r="D1217" s="56" t="s">
        <v>1765</v>
      </c>
      <c r="F1217" s="56" t="s">
        <v>24</v>
      </c>
      <c r="G1217" s="56">
        <v>1</v>
      </c>
      <c r="H1217" s="56">
        <v>3</v>
      </c>
      <c r="I1217" s="56">
        <v>900</v>
      </c>
      <c r="J1217" s="59" t="s">
        <v>1181</v>
      </c>
      <c r="K1217" s="59">
        <v>1</v>
      </c>
      <c r="L1217" s="59">
        <f t="shared" si="18"/>
        <v>2700</v>
      </c>
      <c r="M1217" s="59"/>
    </row>
    <row r="1218" spans="1:14" ht="30">
      <c r="A1218" s="56">
        <v>306</v>
      </c>
      <c r="B1218" s="56">
        <v>306</v>
      </c>
      <c r="C1218" s="56">
        <v>306</v>
      </c>
      <c r="D1218" s="56" t="s">
        <v>1782</v>
      </c>
      <c r="F1218" s="56" t="s">
        <v>24</v>
      </c>
      <c r="G1218" s="56">
        <v>1</v>
      </c>
      <c r="H1218" s="56">
        <v>3</v>
      </c>
      <c r="I1218" s="56">
        <v>600</v>
      </c>
      <c r="J1218" s="59" t="s">
        <v>1181</v>
      </c>
      <c r="K1218" s="59">
        <v>1</v>
      </c>
      <c r="L1218" s="59">
        <f t="shared" ref="L1218:L1281" si="19">H1218*I1218</f>
        <v>1800</v>
      </c>
      <c r="M1218" s="59"/>
    </row>
    <row r="1219" spans="1:14" ht="30">
      <c r="A1219" s="56">
        <v>330</v>
      </c>
      <c r="B1219" s="56">
        <v>330</v>
      </c>
      <c r="C1219" s="56">
        <v>330</v>
      </c>
      <c r="D1219" s="56" t="s">
        <v>1803</v>
      </c>
      <c r="F1219" s="56" t="s">
        <v>24</v>
      </c>
      <c r="G1219" s="56">
        <v>1</v>
      </c>
      <c r="H1219" s="56">
        <v>3</v>
      </c>
      <c r="I1219" s="56">
        <v>1400</v>
      </c>
      <c r="J1219" s="59" t="s">
        <v>1181</v>
      </c>
      <c r="K1219" s="59">
        <v>1</v>
      </c>
      <c r="L1219" s="59">
        <f t="shared" si="19"/>
        <v>4200</v>
      </c>
      <c r="M1219" s="59"/>
    </row>
    <row r="1220" spans="1:14" ht="30">
      <c r="A1220" s="56">
        <v>341</v>
      </c>
      <c r="B1220" s="56">
        <v>341</v>
      </c>
      <c r="C1220" s="56">
        <v>341</v>
      </c>
      <c r="D1220" s="56" t="s">
        <v>1814</v>
      </c>
      <c r="F1220" s="56" t="s">
        <v>24</v>
      </c>
      <c r="G1220" s="56">
        <v>1</v>
      </c>
      <c r="H1220" s="56">
        <v>3</v>
      </c>
      <c r="I1220" s="56">
        <v>1500</v>
      </c>
      <c r="J1220" s="59" t="s">
        <v>1181</v>
      </c>
      <c r="K1220" s="59">
        <v>1</v>
      </c>
      <c r="L1220" s="59">
        <f t="shared" si="19"/>
        <v>4500</v>
      </c>
      <c r="M1220" s="59"/>
    </row>
    <row r="1221" spans="1:14" ht="30">
      <c r="A1221" s="56">
        <v>374</v>
      </c>
      <c r="B1221" s="56">
        <v>374</v>
      </c>
      <c r="C1221" s="56">
        <v>374</v>
      </c>
      <c r="D1221" s="56" t="s">
        <v>1847</v>
      </c>
      <c r="F1221" s="56" t="s">
        <v>24</v>
      </c>
      <c r="G1221" s="56">
        <v>1</v>
      </c>
      <c r="H1221" s="56">
        <v>3</v>
      </c>
      <c r="I1221" s="56">
        <v>290</v>
      </c>
      <c r="J1221" s="59" t="s">
        <v>1181</v>
      </c>
      <c r="K1221" s="59">
        <v>1</v>
      </c>
      <c r="L1221" s="59">
        <f t="shared" si="19"/>
        <v>870</v>
      </c>
      <c r="M1221" s="59"/>
    </row>
    <row r="1222" spans="1:14" ht="30">
      <c r="A1222" s="56">
        <v>403</v>
      </c>
      <c r="B1222" s="56">
        <v>403</v>
      </c>
      <c r="C1222" s="56">
        <v>403</v>
      </c>
      <c r="D1222" s="56" t="s">
        <v>1876</v>
      </c>
      <c r="F1222" s="56" t="s">
        <v>24</v>
      </c>
      <c r="G1222" s="56">
        <v>1</v>
      </c>
      <c r="H1222" s="56">
        <v>3</v>
      </c>
      <c r="I1222" s="56">
        <v>550</v>
      </c>
      <c r="J1222" s="59" t="s">
        <v>1181</v>
      </c>
      <c r="K1222" s="59">
        <v>1</v>
      </c>
      <c r="L1222" s="59">
        <f t="shared" si="19"/>
        <v>1650</v>
      </c>
      <c r="M1222" s="59"/>
    </row>
    <row r="1223" spans="1:14" ht="30">
      <c r="A1223" s="56">
        <v>413</v>
      </c>
      <c r="B1223" s="56">
        <v>413</v>
      </c>
      <c r="C1223" s="56">
        <v>413</v>
      </c>
      <c r="D1223" s="56" t="s">
        <v>1273</v>
      </c>
      <c r="F1223" s="58" t="s">
        <v>24</v>
      </c>
      <c r="G1223" s="58">
        <v>1</v>
      </c>
      <c r="H1223" s="58">
        <v>3</v>
      </c>
      <c r="I1223" s="56">
        <v>230</v>
      </c>
      <c r="J1223" s="59" t="s">
        <v>1181</v>
      </c>
      <c r="K1223" s="59">
        <v>1</v>
      </c>
      <c r="L1223" s="59">
        <f t="shared" si="19"/>
        <v>690</v>
      </c>
      <c r="M1223" s="59"/>
      <c r="N1223" s="58"/>
    </row>
    <row r="1224" spans="1:14" ht="30">
      <c r="A1224" s="56">
        <v>438</v>
      </c>
      <c r="B1224" s="56">
        <v>438</v>
      </c>
      <c r="C1224" s="56">
        <v>438</v>
      </c>
      <c r="D1224" s="56" t="s">
        <v>1907</v>
      </c>
      <c r="F1224" s="56" t="s">
        <v>24</v>
      </c>
      <c r="G1224" s="56">
        <v>1</v>
      </c>
      <c r="H1224" s="56">
        <v>3</v>
      </c>
      <c r="I1224" s="56">
        <v>170</v>
      </c>
      <c r="J1224" s="59" t="s">
        <v>1181</v>
      </c>
      <c r="K1224" s="59">
        <v>1</v>
      </c>
      <c r="L1224" s="59">
        <f t="shared" si="19"/>
        <v>510</v>
      </c>
      <c r="M1224" s="59"/>
    </row>
    <row r="1225" spans="1:14" ht="30">
      <c r="A1225" s="56">
        <v>457</v>
      </c>
      <c r="B1225" s="56">
        <v>457</v>
      </c>
      <c r="C1225" s="56">
        <v>457</v>
      </c>
      <c r="D1225" s="56" t="s">
        <v>1925</v>
      </c>
      <c r="F1225" s="56" t="s">
        <v>24</v>
      </c>
      <c r="G1225" s="56">
        <v>1</v>
      </c>
      <c r="H1225" s="56">
        <v>3</v>
      </c>
      <c r="I1225" s="56">
        <v>250</v>
      </c>
      <c r="J1225" s="59" t="s">
        <v>1181</v>
      </c>
      <c r="K1225" s="59">
        <v>1</v>
      </c>
      <c r="L1225" s="59">
        <f t="shared" si="19"/>
        <v>750</v>
      </c>
      <c r="M1225" s="59"/>
    </row>
    <row r="1226" spans="1:14" ht="30">
      <c r="A1226" s="56">
        <v>472</v>
      </c>
      <c r="B1226" s="56">
        <v>472</v>
      </c>
      <c r="C1226" s="56">
        <v>472</v>
      </c>
      <c r="D1226" s="56" t="s">
        <v>1938</v>
      </c>
      <c r="F1226" s="56" t="s">
        <v>24</v>
      </c>
      <c r="G1226" s="56">
        <v>1</v>
      </c>
      <c r="H1226" s="56">
        <v>3</v>
      </c>
      <c r="I1226" s="56">
        <v>400</v>
      </c>
      <c r="J1226" s="59" t="s">
        <v>1181</v>
      </c>
      <c r="K1226" s="59">
        <v>1</v>
      </c>
      <c r="L1226" s="59">
        <f t="shared" si="19"/>
        <v>1200</v>
      </c>
      <c r="M1226" s="59"/>
    </row>
    <row r="1227" spans="1:14" ht="30">
      <c r="A1227" s="56">
        <v>483</v>
      </c>
      <c r="B1227" s="56">
        <v>483</v>
      </c>
      <c r="C1227" s="56">
        <v>483</v>
      </c>
      <c r="D1227" s="56" t="s">
        <v>1948</v>
      </c>
      <c r="F1227" s="56" t="s">
        <v>24</v>
      </c>
      <c r="G1227" s="56">
        <v>1</v>
      </c>
      <c r="H1227" s="56">
        <v>3</v>
      </c>
      <c r="I1227" s="56">
        <v>430</v>
      </c>
      <c r="J1227" s="59" t="s">
        <v>1181</v>
      </c>
      <c r="K1227" s="59">
        <v>1</v>
      </c>
      <c r="L1227" s="59">
        <f t="shared" si="19"/>
        <v>1290</v>
      </c>
      <c r="M1227" s="59"/>
    </row>
    <row r="1228" spans="1:14" ht="30">
      <c r="A1228" s="56">
        <v>495</v>
      </c>
      <c r="B1228" s="56">
        <v>495</v>
      </c>
      <c r="C1228" s="56">
        <v>495</v>
      </c>
      <c r="D1228" s="56" t="s">
        <v>1958</v>
      </c>
      <c r="F1228" s="56" t="s">
        <v>24</v>
      </c>
      <c r="G1228" s="56">
        <v>1</v>
      </c>
      <c r="H1228" s="56">
        <v>3</v>
      </c>
      <c r="I1228" s="56">
        <v>60</v>
      </c>
      <c r="J1228" s="59" t="s">
        <v>1181</v>
      </c>
      <c r="K1228" s="59">
        <v>1</v>
      </c>
      <c r="L1228" s="59">
        <f t="shared" si="19"/>
        <v>180</v>
      </c>
      <c r="M1228" s="59"/>
    </row>
    <row r="1229" spans="1:14" ht="30">
      <c r="A1229" s="56">
        <v>499</v>
      </c>
      <c r="B1229" s="56">
        <v>499</v>
      </c>
      <c r="C1229" s="56">
        <v>499</v>
      </c>
      <c r="D1229" s="56" t="s">
        <v>1962</v>
      </c>
      <c r="F1229" s="56" t="s">
        <v>24</v>
      </c>
      <c r="G1229" s="56">
        <v>1</v>
      </c>
      <c r="H1229" s="56">
        <v>3</v>
      </c>
      <c r="I1229" s="56">
        <v>2400</v>
      </c>
      <c r="J1229" s="59" t="s">
        <v>1181</v>
      </c>
      <c r="K1229" s="59">
        <v>1</v>
      </c>
      <c r="L1229" s="59">
        <f t="shared" si="19"/>
        <v>7200</v>
      </c>
      <c r="M1229" s="59"/>
    </row>
    <row r="1230" spans="1:14" ht="30">
      <c r="A1230" s="56">
        <v>516</v>
      </c>
      <c r="B1230" s="56">
        <v>516</v>
      </c>
      <c r="C1230" s="56">
        <v>516</v>
      </c>
      <c r="D1230" s="56" t="s">
        <v>1978</v>
      </c>
      <c r="F1230" s="56" t="s">
        <v>24</v>
      </c>
      <c r="G1230" s="56">
        <v>1</v>
      </c>
      <c r="H1230" s="56">
        <v>3</v>
      </c>
      <c r="I1230" s="56">
        <v>500</v>
      </c>
      <c r="J1230" s="59" t="s">
        <v>1181</v>
      </c>
      <c r="K1230" s="59">
        <v>1</v>
      </c>
      <c r="L1230" s="59">
        <f t="shared" si="19"/>
        <v>1500</v>
      </c>
      <c r="M1230" s="59"/>
    </row>
    <row r="1231" spans="1:14" ht="30">
      <c r="A1231" s="56">
        <v>536</v>
      </c>
      <c r="B1231" s="56">
        <v>536</v>
      </c>
      <c r="C1231" s="56">
        <v>536</v>
      </c>
      <c r="D1231" s="56" t="s">
        <v>1998</v>
      </c>
      <c r="F1231" s="56" t="s">
        <v>24</v>
      </c>
      <c r="G1231" s="56">
        <v>1</v>
      </c>
      <c r="H1231" s="56">
        <v>3</v>
      </c>
      <c r="I1231" s="56">
        <v>550</v>
      </c>
      <c r="J1231" s="59" t="s">
        <v>1181</v>
      </c>
      <c r="K1231" s="59">
        <v>1</v>
      </c>
      <c r="L1231" s="59">
        <f t="shared" si="19"/>
        <v>1650</v>
      </c>
      <c r="M1231" s="59"/>
    </row>
    <row r="1232" spans="1:14" ht="30">
      <c r="A1232" s="56">
        <v>544</v>
      </c>
      <c r="B1232" s="56">
        <v>544</v>
      </c>
      <c r="C1232" s="56">
        <v>544</v>
      </c>
      <c r="D1232" s="56" t="s">
        <v>2006</v>
      </c>
      <c r="F1232" s="56" t="s">
        <v>24</v>
      </c>
      <c r="G1232" s="56">
        <v>1</v>
      </c>
      <c r="H1232" s="56">
        <v>3</v>
      </c>
      <c r="I1232" s="56">
        <v>1350</v>
      </c>
      <c r="J1232" s="59" t="s">
        <v>1181</v>
      </c>
      <c r="K1232" s="59">
        <v>1</v>
      </c>
      <c r="L1232" s="59">
        <f t="shared" si="19"/>
        <v>4050</v>
      </c>
      <c r="M1232" s="59"/>
    </row>
    <row r="1233" spans="1:13" ht="30">
      <c r="A1233" s="56">
        <v>555</v>
      </c>
      <c r="B1233" s="56">
        <v>555</v>
      </c>
      <c r="C1233" s="56">
        <v>555</v>
      </c>
      <c r="D1233" s="56" t="s">
        <v>2017</v>
      </c>
      <c r="F1233" s="56" t="s">
        <v>24</v>
      </c>
      <c r="G1233" s="56">
        <v>1</v>
      </c>
      <c r="H1233" s="56">
        <v>3</v>
      </c>
      <c r="I1233" s="56">
        <v>600</v>
      </c>
      <c r="J1233" s="59" t="s">
        <v>1181</v>
      </c>
      <c r="K1233" s="59">
        <v>1</v>
      </c>
      <c r="L1233" s="59">
        <f t="shared" si="19"/>
        <v>1800</v>
      </c>
      <c r="M1233" s="59"/>
    </row>
    <row r="1234" spans="1:13" ht="30">
      <c r="A1234" s="56">
        <v>557</v>
      </c>
      <c r="B1234" s="56">
        <v>557</v>
      </c>
      <c r="C1234" s="56">
        <v>557</v>
      </c>
      <c r="D1234" s="56" t="s">
        <v>2019</v>
      </c>
      <c r="F1234" s="56" t="s">
        <v>24</v>
      </c>
      <c r="G1234" s="56">
        <v>1</v>
      </c>
      <c r="H1234" s="56">
        <v>3</v>
      </c>
      <c r="I1234" s="56">
        <v>400</v>
      </c>
      <c r="J1234" s="59" t="s">
        <v>1181</v>
      </c>
      <c r="K1234" s="59">
        <v>1</v>
      </c>
      <c r="L1234" s="59">
        <f t="shared" si="19"/>
        <v>1200</v>
      </c>
      <c r="M1234" s="59"/>
    </row>
    <row r="1235" spans="1:13" ht="30">
      <c r="A1235" s="56">
        <v>563</v>
      </c>
      <c r="B1235" s="56">
        <v>563</v>
      </c>
      <c r="C1235" s="56">
        <v>563</v>
      </c>
      <c r="D1235" s="56" t="s">
        <v>2024</v>
      </c>
      <c r="F1235" s="56" t="s">
        <v>24</v>
      </c>
      <c r="G1235" s="56">
        <v>1</v>
      </c>
      <c r="H1235" s="56">
        <v>3</v>
      </c>
      <c r="I1235" s="56">
        <v>600</v>
      </c>
      <c r="J1235" s="59" t="s">
        <v>1181</v>
      </c>
      <c r="K1235" s="59">
        <v>1</v>
      </c>
      <c r="L1235" s="59">
        <f t="shared" si="19"/>
        <v>1800</v>
      </c>
      <c r="M1235" s="59"/>
    </row>
    <row r="1236" spans="1:13" ht="30">
      <c r="A1236" s="56">
        <v>565</v>
      </c>
      <c r="B1236" s="56">
        <v>565</v>
      </c>
      <c r="C1236" s="56">
        <v>565</v>
      </c>
      <c r="D1236" s="56" t="s">
        <v>65</v>
      </c>
      <c r="F1236" s="56" t="s">
        <v>24</v>
      </c>
      <c r="G1236" s="56">
        <v>1</v>
      </c>
      <c r="H1236" s="56">
        <v>3</v>
      </c>
      <c r="I1236" s="56">
        <v>1900</v>
      </c>
      <c r="J1236" s="59" t="s">
        <v>1181</v>
      </c>
      <c r="K1236" s="59">
        <v>1</v>
      </c>
      <c r="L1236" s="59">
        <f t="shared" si="19"/>
        <v>5700</v>
      </c>
      <c r="M1236" s="59"/>
    </row>
    <row r="1237" spans="1:13" ht="30">
      <c r="A1237" s="56">
        <v>578</v>
      </c>
      <c r="B1237" s="56">
        <v>578</v>
      </c>
      <c r="C1237" s="56">
        <v>578</v>
      </c>
      <c r="D1237" s="56" t="s">
        <v>2036</v>
      </c>
      <c r="F1237" s="56" t="s">
        <v>24</v>
      </c>
      <c r="G1237" s="56">
        <v>1</v>
      </c>
      <c r="H1237" s="56">
        <v>3</v>
      </c>
      <c r="I1237" s="56">
        <v>300</v>
      </c>
      <c r="J1237" s="59" t="s">
        <v>1181</v>
      </c>
      <c r="K1237" s="59">
        <v>1</v>
      </c>
      <c r="L1237" s="59">
        <f t="shared" si="19"/>
        <v>900</v>
      </c>
      <c r="M1237" s="59"/>
    </row>
    <row r="1238" spans="1:13" ht="30">
      <c r="A1238" s="56">
        <v>611</v>
      </c>
      <c r="B1238" s="56">
        <v>611</v>
      </c>
      <c r="C1238" s="56">
        <v>611</v>
      </c>
      <c r="D1238" s="56" t="s">
        <v>2059</v>
      </c>
      <c r="F1238" s="56" t="s">
        <v>24</v>
      </c>
      <c r="G1238" s="56">
        <v>1</v>
      </c>
      <c r="H1238" s="56">
        <v>3</v>
      </c>
      <c r="I1238" s="56">
        <v>140</v>
      </c>
      <c r="J1238" s="59" t="s">
        <v>1181</v>
      </c>
      <c r="K1238" s="59">
        <v>1</v>
      </c>
      <c r="L1238" s="59">
        <f t="shared" si="19"/>
        <v>420</v>
      </c>
      <c r="M1238" s="59"/>
    </row>
    <row r="1239" spans="1:13" ht="30">
      <c r="A1239" s="56">
        <v>619</v>
      </c>
      <c r="B1239" s="56">
        <v>619</v>
      </c>
      <c r="C1239" s="56">
        <v>619</v>
      </c>
      <c r="D1239" s="56" t="s">
        <v>2066</v>
      </c>
      <c r="F1239" s="56" t="s">
        <v>24</v>
      </c>
      <c r="G1239" s="56">
        <v>1</v>
      </c>
      <c r="H1239" s="56">
        <v>3</v>
      </c>
      <c r="I1239" s="56">
        <v>700</v>
      </c>
      <c r="J1239" s="59" t="s">
        <v>1181</v>
      </c>
      <c r="K1239" s="59">
        <v>1</v>
      </c>
      <c r="L1239" s="59">
        <f t="shared" si="19"/>
        <v>2100</v>
      </c>
      <c r="M1239" s="59"/>
    </row>
    <row r="1240" spans="1:13" ht="30">
      <c r="A1240" s="56">
        <v>629</v>
      </c>
      <c r="B1240" s="56">
        <v>629</v>
      </c>
      <c r="C1240" s="56">
        <v>629</v>
      </c>
      <c r="D1240" s="56" t="s">
        <v>2073</v>
      </c>
      <c r="F1240" s="56" t="s">
        <v>24</v>
      </c>
      <c r="G1240" s="56">
        <v>1</v>
      </c>
      <c r="H1240" s="56">
        <v>3</v>
      </c>
      <c r="I1240" s="56">
        <v>120</v>
      </c>
      <c r="J1240" s="59" t="s">
        <v>1181</v>
      </c>
      <c r="K1240" s="59">
        <v>1</v>
      </c>
      <c r="L1240" s="59">
        <f t="shared" si="19"/>
        <v>360</v>
      </c>
      <c r="M1240" s="59"/>
    </row>
    <row r="1241" spans="1:13" ht="30">
      <c r="A1241" s="56">
        <v>650</v>
      </c>
      <c r="B1241" s="56">
        <v>650</v>
      </c>
      <c r="C1241" s="56">
        <v>650</v>
      </c>
      <c r="D1241" s="56" t="s">
        <v>2094</v>
      </c>
      <c r="F1241" s="56" t="s">
        <v>24</v>
      </c>
      <c r="G1241" s="56">
        <v>1</v>
      </c>
      <c r="H1241" s="56">
        <v>3</v>
      </c>
      <c r="I1241" s="56">
        <v>450</v>
      </c>
      <c r="J1241" s="59" t="s">
        <v>1181</v>
      </c>
      <c r="K1241" s="59">
        <v>1</v>
      </c>
      <c r="L1241" s="59">
        <f t="shared" si="19"/>
        <v>1350</v>
      </c>
      <c r="M1241" s="59"/>
    </row>
    <row r="1242" spans="1:13" ht="30">
      <c r="A1242" s="56">
        <v>656</v>
      </c>
      <c r="B1242" s="56">
        <v>656</v>
      </c>
      <c r="C1242" s="56">
        <v>656</v>
      </c>
      <c r="D1242" s="56" t="s">
        <v>2100</v>
      </c>
      <c r="F1242" s="56" t="s">
        <v>24</v>
      </c>
      <c r="G1242" s="56">
        <v>1</v>
      </c>
      <c r="H1242" s="56">
        <v>3</v>
      </c>
      <c r="I1242" s="56">
        <v>400</v>
      </c>
      <c r="J1242" s="59" t="s">
        <v>1181</v>
      </c>
      <c r="K1242" s="59">
        <v>1</v>
      </c>
      <c r="L1242" s="59">
        <f t="shared" si="19"/>
        <v>1200</v>
      </c>
      <c r="M1242" s="59"/>
    </row>
    <row r="1243" spans="1:13" ht="30">
      <c r="A1243" s="56">
        <v>659</v>
      </c>
      <c r="B1243" s="56">
        <v>659</v>
      </c>
      <c r="C1243" s="56">
        <v>659</v>
      </c>
      <c r="D1243" s="56" t="s">
        <v>2103</v>
      </c>
      <c r="F1243" s="56" t="s">
        <v>24</v>
      </c>
      <c r="G1243" s="56">
        <v>1</v>
      </c>
      <c r="H1243" s="56">
        <v>3</v>
      </c>
      <c r="I1243" s="56">
        <v>500</v>
      </c>
      <c r="J1243" s="59" t="s">
        <v>1181</v>
      </c>
      <c r="K1243" s="59">
        <v>1</v>
      </c>
      <c r="L1243" s="59">
        <f t="shared" si="19"/>
        <v>1500</v>
      </c>
      <c r="M1243" s="59"/>
    </row>
    <row r="1244" spans="1:13" ht="30">
      <c r="A1244" s="56">
        <v>661</v>
      </c>
      <c r="B1244" s="56">
        <v>661</v>
      </c>
      <c r="C1244" s="56">
        <v>661</v>
      </c>
      <c r="D1244" s="56" t="s">
        <v>2105</v>
      </c>
      <c r="F1244" s="56" t="s">
        <v>24</v>
      </c>
      <c r="G1244" s="56">
        <v>1</v>
      </c>
      <c r="H1244" s="56">
        <v>3</v>
      </c>
      <c r="I1244" s="56">
        <v>600</v>
      </c>
      <c r="J1244" s="59" t="s">
        <v>1181</v>
      </c>
      <c r="K1244" s="59">
        <v>1</v>
      </c>
      <c r="L1244" s="59">
        <f t="shared" si="19"/>
        <v>1800</v>
      </c>
      <c r="M1244" s="59"/>
    </row>
    <row r="1245" spans="1:13" ht="30">
      <c r="A1245" s="56">
        <v>663</v>
      </c>
      <c r="B1245" s="56">
        <v>663</v>
      </c>
      <c r="C1245" s="56">
        <v>663</v>
      </c>
      <c r="D1245" s="56" t="s">
        <v>2107</v>
      </c>
      <c r="F1245" s="56" t="s">
        <v>24</v>
      </c>
      <c r="G1245" s="56">
        <v>1</v>
      </c>
      <c r="H1245" s="56">
        <v>3</v>
      </c>
      <c r="I1245" s="56">
        <v>700</v>
      </c>
      <c r="J1245" s="59" t="s">
        <v>1181</v>
      </c>
      <c r="K1245" s="59">
        <v>1</v>
      </c>
      <c r="L1245" s="59">
        <f t="shared" si="19"/>
        <v>2100</v>
      </c>
      <c r="M1245" s="59"/>
    </row>
    <row r="1246" spans="1:13" ht="30">
      <c r="A1246" s="56">
        <v>683</v>
      </c>
      <c r="B1246" s="56">
        <v>683</v>
      </c>
      <c r="C1246" s="56">
        <v>683</v>
      </c>
      <c r="D1246" s="56" t="s">
        <v>2127</v>
      </c>
      <c r="F1246" s="56" t="s">
        <v>24</v>
      </c>
      <c r="G1246" s="56">
        <v>1</v>
      </c>
      <c r="H1246" s="56">
        <v>3</v>
      </c>
      <c r="I1246" s="56">
        <v>2850</v>
      </c>
      <c r="J1246" s="59" t="s">
        <v>1181</v>
      </c>
      <c r="K1246" s="59">
        <v>1</v>
      </c>
      <c r="L1246" s="59">
        <f t="shared" si="19"/>
        <v>8550</v>
      </c>
      <c r="M1246" s="59"/>
    </row>
    <row r="1247" spans="1:13" ht="30">
      <c r="A1247" s="56">
        <v>685</v>
      </c>
      <c r="B1247" s="56">
        <v>685</v>
      </c>
      <c r="C1247" s="56">
        <v>685</v>
      </c>
      <c r="D1247" s="56" t="s">
        <v>2129</v>
      </c>
      <c r="F1247" s="56" t="s">
        <v>24</v>
      </c>
      <c r="G1247" s="56">
        <v>1</v>
      </c>
      <c r="H1247" s="56">
        <v>3</v>
      </c>
      <c r="I1247" s="56">
        <v>2700</v>
      </c>
      <c r="J1247" s="59" t="s">
        <v>1181</v>
      </c>
      <c r="K1247" s="59">
        <v>1</v>
      </c>
      <c r="L1247" s="59">
        <f t="shared" si="19"/>
        <v>8100</v>
      </c>
      <c r="M1247" s="59"/>
    </row>
    <row r="1248" spans="1:13" ht="30">
      <c r="A1248" s="56">
        <v>692</v>
      </c>
      <c r="B1248" s="56">
        <v>692</v>
      </c>
      <c r="C1248" s="56">
        <v>692</v>
      </c>
      <c r="D1248" s="56" t="s">
        <v>2136</v>
      </c>
      <c r="F1248" s="56" t="s">
        <v>24</v>
      </c>
      <c r="G1248" s="56">
        <v>1</v>
      </c>
      <c r="H1248" s="56">
        <v>3</v>
      </c>
      <c r="I1248" s="56">
        <v>2500</v>
      </c>
      <c r="J1248" s="59" t="s">
        <v>1181</v>
      </c>
      <c r="K1248" s="59">
        <v>1</v>
      </c>
      <c r="L1248" s="59">
        <f t="shared" si="19"/>
        <v>7500</v>
      </c>
      <c r="M1248" s="59"/>
    </row>
    <row r="1249" spans="1:14" ht="30">
      <c r="A1249" s="56">
        <v>712</v>
      </c>
      <c r="B1249" s="56">
        <v>712</v>
      </c>
      <c r="C1249" s="56">
        <v>712</v>
      </c>
      <c r="D1249" s="56" t="s">
        <v>2155</v>
      </c>
      <c r="F1249" s="56" t="s">
        <v>24</v>
      </c>
      <c r="G1249" s="56">
        <v>1</v>
      </c>
      <c r="H1249" s="56">
        <v>3</v>
      </c>
      <c r="I1249" s="56">
        <v>5500</v>
      </c>
      <c r="J1249" s="59" t="s">
        <v>1181</v>
      </c>
      <c r="K1249" s="59">
        <v>1</v>
      </c>
      <c r="L1249" s="59">
        <f t="shared" si="19"/>
        <v>16500</v>
      </c>
      <c r="M1249" s="59"/>
    </row>
    <row r="1250" spans="1:14" ht="30">
      <c r="A1250" s="56">
        <v>714</v>
      </c>
      <c r="B1250" s="56">
        <v>714</v>
      </c>
      <c r="C1250" s="56">
        <v>714</v>
      </c>
      <c r="D1250" s="56" t="s">
        <v>2157</v>
      </c>
      <c r="F1250" s="56" t="s">
        <v>24</v>
      </c>
      <c r="G1250" s="56">
        <v>1</v>
      </c>
      <c r="H1250" s="56">
        <v>3</v>
      </c>
      <c r="I1250" s="56">
        <v>7500</v>
      </c>
      <c r="J1250" s="59" t="s">
        <v>1181</v>
      </c>
      <c r="K1250" s="59">
        <v>1</v>
      </c>
      <c r="L1250" s="59">
        <f t="shared" si="19"/>
        <v>22500</v>
      </c>
      <c r="M1250" s="59"/>
    </row>
    <row r="1251" spans="1:14" ht="30">
      <c r="A1251" s="56">
        <v>715</v>
      </c>
      <c r="B1251" s="56">
        <v>715</v>
      </c>
      <c r="C1251" s="56">
        <v>715</v>
      </c>
      <c r="D1251" s="56" t="s">
        <v>2158</v>
      </c>
      <c r="F1251" s="56" t="s">
        <v>24</v>
      </c>
      <c r="G1251" s="56">
        <v>1</v>
      </c>
      <c r="H1251" s="56">
        <v>3</v>
      </c>
      <c r="I1251" s="56">
        <v>5000</v>
      </c>
      <c r="J1251" s="59" t="s">
        <v>1181</v>
      </c>
      <c r="K1251" s="59">
        <v>1</v>
      </c>
      <c r="L1251" s="59">
        <f t="shared" si="19"/>
        <v>15000</v>
      </c>
      <c r="M1251" s="59"/>
    </row>
    <row r="1252" spans="1:14" ht="30">
      <c r="A1252" s="56">
        <v>727</v>
      </c>
      <c r="B1252" s="56">
        <v>727</v>
      </c>
      <c r="C1252" s="56">
        <v>727</v>
      </c>
      <c r="D1252" s="56" t="s">
        <v>2170</v>
      </c>
      <c r="F1252" s="56" t="s">
        <v>24</v>
      </c>
      <c r="G1252" s="56">
        <v>1</v>
      </c>
      <c r="H1252" s="56">
        <v>3</v>
      </c>
      <c r="I1252" s="56">
        <v>300</v>
      </c>
      <c r="J1252" s="59" t="s">
        <v>1181</v>
      </c>
      <c r="K1252" s="59">
        <v>1</v>
      </c>
      <c r="L1252" s="59">
        <f t="shared" si="19"/>
        <v>900</v>
      </c>
      <c r="M1252" s="59"/>
    </row>
    <row r="1253" spans="1:14" ht="30">
      <c r="A1253" s="56">
        <v>733</v>
      </c>
      <c r="B1253" s="56">
        <v>733</v>
      </c>
      <c r="C1253" s="56">
        <v>733</v>
      </c>
      <c r="D1253" s="56" t="s">
        <v>2176</v>
      </c>
      <c r="F1253" s="56" t="s">
        <v>24</v>
      </c>
      <c r="G1253" s="56">
        <v>1</v>
      </c>
      <c r="H1253" s="56">
        <v>3</v>
      </c>
      <c r="I1253" s="56">
        <v>4000</v>
      </c>
      <c r="J1253" s="59" t="s">
        <v>1181</v>
      </c>
      <c r="K1253" s="59">
        <v>1</v>
      </c>
      <c r="L1253" s="59">
        <f t="shared" si="19"/>
        <v>12000</v>
      </c>
      <c r="M1253" s="59"/>
    </row>
    <row r="1254" spans="1:14" ht="30">
      <c r="A1254" s="56">
        <v>734</v>
      </c>
      <c r="B1254" s="56">
        <v>734</v>
      </c>
      <c r="C1254" s="56">
        <v>734</v>
      </c>
      <c r="D1254" s="56" t="s">
        <v>2177</v>
      </c>
      <c r="F1254" s="56" t="s">
        <v>24</v>
      </c>
      <c r="G1254" s="56">
        <v>1</v>
      </c>
      <c r="H1254" s="56">
        <v>3</v>
      </c>
      <c r="I1254" s="56">
        <v>4000</v>
      </c>
      <c r="J1254" s="59" t="s">
        <v>1181</v>
      </c>
      <c r="K1254" s="59">
        <v>1</v>
      </c>
      <c r="L1254" s="59">
        <f t="shared" si="19"/>
        <v>12000</v>
      </c>
      <c r="M1254" s="59"/>
    </row>
    <row r="1255" spans="1:14" ht="30">
      <c r="A1255" s="56">
        <v>760</v>
      </c>
      <c r="B1255" s="56">
        <v>760</v>
      </c>
      <c r="C1255" s="56">
        <v>760</v>
      </c>
      <c r="D1255" s="56" t="s">
        <v>2202</v>
      </c>
      <c r="F1255" s="56" t="s">
        <v>24</v>
      </c>
      <c r="G1255" s="56">
        <v>1</v>
      </c>
      <c r="H1255" s="56">
        <v>3</v>
      </c>
      <c r="I1255" s="56">
        <v>550</v>
      </c>
      <c r="J1255" s="59" t="s">
        <v>1181</v>
      </c>
      <c r="K1255" s="59">
        <v>1</v>
      </c>
      <c r="L1255" s="59">
        <f t="shared" si="19"/>
        <v>1650</v>
      </c>
      <c r="M1255" s="59"/>
    </row>
    <row r="1256" spans="1:14" ht="30">
      <c r="A1256" s="56">
        <v>807</v>
      </c>
      <c r="B1256" s="56">
        <v>807</v>
      </c>
      <c r="C1256" s="56">
        <v>807</v>
      </c>
      <c r="D1256" s="56" t="s">
        <v>1296</v>
      </c>
      <c r="F1256" s="58" t="s">
        <v>24</v>
      </c>
      <c r="G1256" s="58">
        <v>1</v>
      </c>
      <c r="H1256" s="58">
        <v>3</v>
      </c>
      <c r="I1256" s="56">
        <v>118.5</v>
      </c>
      <c r="J1256" s="59" t="s">
        <v>1181</v>
      </c>
      <c r="K1256" s="59">
        <v>1</v>
      </c>
      <c r="L1256" s="59">
        <f t="shared" si="19"/>
        <v>355.5</v>
      </c>
      <c r="M1256" s="59"/>
      <c r="N1256" s="58"/>
    </row>
    <row r="1257" spans="1:14" ht="30">
      <c r="A1257" s="56">
        <v>829</v>
      </c>
      <c r="B1257" s="56">
        <v>829</v>
      </c>
      <c r="C1257" s="56">
        <v>829</v>
      </c>
      <c r="D1257" s="56" t="s">
        <v>1317</v>
      </c>
      <c r="F1257" s="58" t="s">
        <v>24</v>
      </c>
      <c r="G1257" s="58">
        <v>1</v>
      </c>
      <c r="H1257" s="58">
        <v>3</v>
      </c>
      <c r="I1257" s="56">
        <v>70</v>
      </c>
      <c r="J1257" s="59" t="s">
        <v>1181</v>
      </c>
      <c r="K1257" s="59">
        <v>1</v>
      </c>
      <c r="L1257" s="59">
        <f t="shared" si="19"/>
        <v>210</v>
      </c>
      <c r="M1257" s="59"/>
      <c r="N1257" s="58"/>
    </row>
    <row r="1258" spans="1:14" ht="30">
      <c r="A1258" s="56">
        <v>920</v>
      </c>
      <c r="B1258" s="56">
        <v>920</v>
      </c>
      <c r="C1258" s="56">
        <v>920</v>
      </c>
      <c r="D1258" s="56" t="s">
        <v>1366</v>
      </c>
      <c r="F1258" s="58" t="s">
        <v>24</v>
      </c>
      <c r="G1258" s="58">
        <v>1</v>
      </c>
      <c r="H1258" s="58">
        <v>3</v>
      </c>
      <c r="I1258" s="56">
        <v>75</v>
      </c>
      <c r="J1258" s="59" t="s">
        <v>1181</v>
      </c>
      <c r="K1258" s="59">
        <v>1</v>
      </c>
      <c r="L1258" s="59">
        <f t="shared" si="19"/>
        <v>225</v>
      </c>
      <c r="M1258" s="59"/>
      <c r="N1258" s="58"/>
    </row>
    <row r="1259" spans="1:14" ht="30">
      <c r="A1259" s="56">
        <v>948</v>
      </c>
      <c r="B1259" s="56">
        <v>948</v>
      </c>
      <c r="C1259" s="56">
        <v>948</v>
      </c>
      <c r="D1259" s="56" t="s">
        <v>2264</v>
      </c>
      <c r="F1259" s="56" t="s">
        <v>24</v>
      </c>
      <c r="G1259" s="56">
        <v>1</v>
      </c>
      <c r="H1259" s="56">
        <v>3</v>
      </c>
      <c r="I1259" s="56">
        <v>82</v>
      </c>
      <c r="J1259" s="59" t="s">
        <v>1181</v>
      </c>
      <c r="K1259" s="59">
        <v>1</v>
      </c>
      <c r="L1259" s="59">
        <f t="shared" si="19"/>
        <v>246</v>
      </c>
      <c r="M1259" s="59"/>
    </row>
    <row r="1260" spans="1:14" ht="30">
      <c r="A1260" s="56">
        <v>973</v>
      </c>
      <c r="B1260" s="56">
        <v>973</v>
      </c>
      <c r="C1260" s="56">
        <v>973</v>
      </c>
      <c r="D1260" s="56" t="s">
        <v>2275</v>
      </c>
      <c r="F1260" s="56" t="s">
        <v>24</v>
      </c>
      <c r="G1260" s="56">
        <v>1</v>
      </c>
      <c r="H1260" s="56">
        <v>3</v>
      </c>
      <c r="I1260" s="56">
        <v>180</v>
      </c>
      <c r="J1260" s="59" t="s">
        <v>1181</v>
      </c>
      <c r="K1260" s="59">
        <v>1</v>
      </c>
      <c r="L1260" s="59">
        <f t="shared" si="19"/>
        <v>540</v>
      </c>
      <c r="M1260" s="59"/>
    </row>
    <row r="1261" spans="1:14" ht="30">
      <c r="A1261" s="56">
        <v>990</v>
      </c>
      <c r="B1261" s="56">
        <v>990</v>
      </c>
      <c r="C1261" s="56">
        <v>990</v>
      </c>
      <c r="D1261" s="56" t="s">
        <v>1396</v>
      </c>
      <c r="F1261" s="58" t="s">
        <v>24</v>
      </c>
      <c r="G1261" s="58">
        <v>1</v>
      </c>
      <c r="H1261" s="58">
        <v>3</v>
      </c>
      <c r="I1261" s="56">
        <v>180</v>
      </c>
      <c r="J1261" s="59" t="s">
        <v>1181</v>
      </c>
      <c r="K1261" s="59">
        <v>1</v>
      </c>
      <c r="L1261" s="59">
        <f t="shared" si="19"/>
        <v>540</v>
      </c>
      <c r="M1261" s="59"/>
      <c r="N1261" s="58"/>
    </row>
    <row r="1262" spans="1:14" ht="30">
      <c r="A1262" s="56">
        <v>1024</v>
      </c>
      <c r="B1262" s="56">
        <v>1024</v>
      </c>
      <c r="C1262" s="56">
        <v>1024</v>
      </c>
      <c r="D1262" s="56" t="s">
        <v>2316</v>
      </c>
      <c r="F1262" s="56" t="s">
        <v>24</v>
      </c>
      <c r="G1262" s="56">
        <v>1</v>
      </c>
      <c r="H1262" s="56">
        <v>3</v>
      </c>
      <c r="I1262" s="56">
        <v>180</v>
      </c>
      <c r="J1262" s="59" t="s">
        <v>1181</v>
      </c>
      <c r="K1262" s="59">
        <v>1</v>
      </c>
      <c r="L1262" s="59">
        <f t="shared" si="19"/>
        <v>540</v>
      </c>
      <c r="M1262" s="59"/>
    </row>
    <row r="1263" spans="1:14" ht="30">
      <c r="A1263" s="56">
        <v>1025</v>
      </c>
      <c r="B1263" s="56">
        <v>1025</v>
      </c>
      <c r="C1263" s="56">
        <v>1025</v>
      </c>
      <c r="D1263" s="56" t="s">
        <v>2317</v>
      </c>
      <c r="F1263" s="56" t="s">
        <v>24</v>
      </c>
      <c r="G1263" s="56">
        <v>1</v>
      </c>
      <c r="H1263" s="56">
        <v>3</v>
      </c>
      <c r="I1263" s="56">
        <v>220</v>
      </c>
      <c r="J1263" s="59" t="s">
        <v>1181</v>
      </c>
      <c r="K1263" s="59">
        <v>1</v>
      </c>
      <c r="L1263" s="59">
        <f t="shared" si="19"/>
        <v>660</v>
      </c>
      <c r="M1263" s="59"/>
    </row>
    <row r="1264" spans="1:14" ht="30">
      <c r="A1264" s="56">
        <v>1030</v>
      </c>
      <c r="B1264" s="56">
        <v>1030</v>
      </c>
      <c r="C1264" s="56">
        <v>1030</v>
      </c>
      <c r="D1264" s="56" t="s">
        <v>2322</v>
      </c>
      <c r="F1264" s="56" t="s">
        <v>24</v>
      </c>
      <c r="G1264" s="56">
        <v>1</v>
      </c>
      <c r="H1264" s="56">
        <v>3</v>
      </c>
      <c r="I1264" s="56">
        <v>220</v>
      </c>
      <c r="J1264" s="59" t="s">
        <v>1181</v>
      </c>
      <c r="K1264" s="59">
        <v>1</v>
      </c>
      <c r="L1264" s="59">
        <f t="shared" si="19"/>
        <v>660</v>
      </c>
      <c r="M1264" s="59"/>
    </row>
    <row r="1265" spans="1:14" ht="30">
      <c r="A1265" s="56">
        <v>1050</v>
      </c>
      <c r="B1265" s="56">
        <v>1050</v>
      </c>
      <c r="C1265" s="56">
        <v>1050</v>
      </c>
      <c r="D1265" s="56" t="s">
        <v>2336</v>
      </c>
      <c r="F1265" s="56" t="s">
        <v>24</v>
      </c>
      <c r="G1265" s="56">
        <v>1</v>
      </c>
      <c r="H1265" s="56">
        <v>3</v>
      </c>
      <c r="I1265" s="56">
        <v>600</v>
      </c>
      <c r="J1265" s="59" t="s">
        <v>1181</v>
      </c>
      <c r="K1265" s="59">
        <v>1</v>
      </c>
      <c r="L1265" s="59">
        <f t="shared" si="19"/>
        <v>1800</v>
      </c>
      <c r="M1265" s="59"/>
    </row>
    <row r="1266" spans="1:14" ht="30">
      <c r="A1266" s="56">
        <v>1098</v>
      </c>
      <c r="B1266" s="56">
        <v>1098</v>
      </c>
      <c r="C1266" s="56">
        <v>1098</v>
      </c>
      <c r="D1266" s="56" t="s">
        <v>2368</v>
      </c>
      <c r="F1266" s="56" t="s">
        <v>24</v>
      </c>
      <c r="G1266" s="56">
        <v>1</v>
      </c>
      <c r="H1266" s="56">
        <v>3</v>
      </c>
      <c r="I1266" s="56">
        <v>600</v>
      </c>
      <c r="J1266" s="59" t="s">
        <v>1181</v>
      </c>
      <c r="K1266" s="59">
        <v>1</v>
      </c>
      <c r="L1266" s="59">
        <f t="shared" si="19"/>
        <v>1800</v>
      </c>
      <c r="M1266" s="59"/>
    </row>
    <row r="1267" spans="1:14" ht="30">
      <c r="A1267" s="56">
        <v>1116</v>
      </c>
      <c r="B1267" s="56">
        <v>1116</v>
      </c>
      <c r="C1267" s="56">
        <v>1116</v>
      </c>
      <c r="D1267" s="56" t="s">
        <v>2383</v>
      </c>
      <c r="F1267" s="56" t="s">
        <v>24</v>
      </c>
      <c r="G1267" s="56">
        <v>1</v>
      </c>
      <c r="H1267" s="56">
        <v>3</v>
      </c>
      <c r="I1267" s="56">
        <v>800</v>
      </c>
      <c r="J1267" s="59" t="s">
        <v>1181</v>
      </c>
      <c r="K1267" s="59">
        <v>1</v>
      </c>
      <c r="L1267" s="59">
        <f t="shared" si="19"/>
        <v>2400</v>
      </c>
      <c r="M1267" s="59"/>
    </row>
    <row r="1268" spans="1:14" ht="30">
      <c r="A1268" s="56">
        <v>1121</v>
      </c>
      <c r="B1268" s="56">
        <v>1121</v>
      </c>
      <c r="C1268" s="56">
        <v>1121</v>
      </c>
      <c r="D1268" s="56" t="s">
        <v>2388</v>
      </c>
      <c r="F1268" s="56" t="s">
        <v>24</v>
      </c>
      <c r="G1268" s="56">
        <v>1</v>
      </c>
      <c r="H1268" s="56">
        <v>3</v>
      </c>
      <c r="I1268" s="56">
        <v>1150</v>
      </c>
      <c r="J1268" s="59" t="s">
        <v>1181</v>
      </c>
      <c r="K1268" s="59">
        <v>1</v>
      </c>
      <c r="L1268" s="59">
        <f t="shared" si="19"/>
        <v>3450</v>
      </c>
      <c r="M1268" s="59"/>
    </row>
    <row r="1269" spans="1:14" ht="30">
      <c r="A1269" s="56">
        <v>1128</v>
      </c>
      <c r="B1269" s="56">
        <v>1128</v>
      </c>
      <c r="C1269" s="56">
        <v>1128</v>
      </c>
      <c r="D1269" s="56" t="s">
        <v>2395</v>
      </c>
      <c r="F1269" s="56" t="s">
        <v>24</v>
      </c>
      <c r="G1269" s="56">
        <v>1</v>
      </c>
      <c r="H1269" s="56">
        <v>3</v>
      </c>
      <c r="I1269" s="56">
        <v>900</v>
      </c>
      <c r="J1269" s="59" t="s">
        <v>1181</v>
      </c>
      <c r="K1269" s="59">
        <v>1</v>
      </c>
      <c r="L1269" s="59">
        <f t="shared" si="19"/>
        <v>2700</v>
      </c>
      <c r="M1269" s="59"/>
    </row>
    <row r="1270" spans="1:14" ht="30">
      <c r="A1270" s="56">
        <v>1130</v>
      </c>
      <c r="B1270" s="56">
        <v>1130</v>
      </c>
      <c r="C1270" s="56">
        <v>1130</v>
      </c>
      <c r="D1270" s="56" t="s">
        <v>2397</v>
      </c>
      <c r="F1270" s="56" t="s">
        <v>24</v>
      </c>
      <c r="G1270" s="56">
        <v>1</v>
      </c>
      <c r="H1270" s="56">
        <v>3</v>
      </c>
      <c r="I1270" s="56">
        <v>850</v>
      </c>
      <c r="J1270" s="59" t="s">
        <v>1181</v>
      </c>
      <c r="K1270" s="59">
        <v>1</v>
      </c>
      <c r="L1270" s="59">
        <f t="shared" si="19"/>
        <v>2550</v>
      </c>
      <c r="M1270" s="59"/>
    </row>
    <row r="1271" spans="1:14" ht="30">
      <c r="A1271" s="56">
        <v>1136</v>
      </c>
      <c r="B1271" s="56">
        <v>1136</v>
      </c>
      <c r="C1271" s="56">
        <v>1136</v>
      </c>
      <c r="D1271" s="56" t="s">
        <v>1518</v>
      </c>
      <c r="F1271" s="58" t="s">
        <v>24</v>
      </c>
      <c r="G1271" s="58">
        <v>1</v>
      </c>
      <c r="H1271" s="58">
        <v>3</v>
      </c>
      <c r="I1271" s="56">
        <v>380</v>
      </c>
      <c r="J1271" s="59" t="s">
        <v>1181</v>
      </c>
      <c r="K1271" s="59">
        <v>1</v>
      </c>
      <c r="L1271" s="59">
        <f t="shared" si="19"/>
        <v>1140</v>
      </c>
      <c r="M1271" s="59"/>
      <c r="N1271" s="58"/>
    </row>
    <row r="1272" spans="1:14" ht="30">
      <c r="A1272" s="56">
        <v>1145</v>
      </c>
      <c r="B1272" s="56">
        <v>1145</v>
      </c>
      <c r="C1272" s="56">
        <v>1145</v>
      </c>
      <c r="D1272" s="56" t="s">
        <v>2409</v>
      </c>
      <c r="F1272" s="56" t="s">
        <v>24</v>
      </c>
      <c r="G1272" s="56">
        <v>1</v>
      </c>
      <c r="H1272" s="56">
        <v>3</v>
      </c>
      <c r="I1272" s="56">
        <v>250</v>
      </c>
      <c r="J1272" s="59" t="s">
        <v>1181</v>
      </c>
      <c r="K1272" s="59">
        <v>1</v>
      </c>
      <c r="L1272" s="59">
        <f t="shared" si="19"/>
        <v>750</v>
      </c>
      <c r="M1272" s="59"/>
    </row>
    <row r="1273" spans="1:14" ht="30">
      <c r="A1273" s="56">
        <v>1192</v>
      </c>
      <c r="B1273" s="56">
        <v>1192</v>
      </c>
      <c r="C1273" s="56">
        <v>1192</v>
      </c>
      <c r="D1273" s="56" t="s">
        <v>2442</v>
      </c>
      <c r="F1273" s="56" t="s">
        <v>24</v>
      </c>
      <c r="G1273" s="56">
        <v>1</v>
      </c>
      <c r="H1273" s="56">
        <v>3</v>
      </c>
      <c r="I1273" s="56">
        <v>1500</v>
      </c>
      <c r="J1273" s="59" t="s">
        <v>1181</v>
      </c>
      <c r="K1273" s="59">
        <v>1</v>
      </c>
      <c r="L1273" s="59">
        <f t="shared" si="19"/>
        <v>4500</v>
      </c>
      <c r="M1273" s="59"/>
    </row>
    <row r="1274" spans="1:14" ht="30">
      <c r="A1274" s="56">
        <v>1203</v>
      </c>
      <c r="B1274" s="56">
        <v>1203</v>
      </c>
      <c r="C1274" s="56">
        <v>1203</v>
      </c>
      <c r="D1274" s="56" t="s">
        <v>2451</v>
      </c>
      <c r="F1274" s="56" t="s">
        <v>24</v>
      </c>
      <c r="G1274" s="56">
        <v>1</v>
      </c>
      <c r="H1274" s="56">
        <v>3</v>
      </c>
      <c r="I1274" s="56">
        <v>100</v>
      </c>
      <c r="J1274" s="59" t="s">
        <v>1181</v>
      </c>
      <c r="K1274" s="59">
        <v>1</v>
      </c>
      <c r="L1274" s="59">
        <f t="shared" si="19"/>
        <v>300</v>
      </c>
      <c r="M1274" s="59"/>
    </row>
    <row r="1275" spans="1:14" ht="30">
      <c r="A1275" s="56">
        <v>1230</v>
      </c>
      <c r="B1275" s="56">
        <v>1230</v>
      </c>
      <c r="C1275" s="56">
        <v>1230</v>
      </c>
      <c r="D1275" s="56" t="s">
        <v>2473</v>
      </c>
      <c r="F1275" s="56" t="s">
        <v>24</v>
      </c>
      <c r="G1275" s="56">
        <v>1</v>
      </c>
      <c r="H1275" s="56">
        <v>3</v>
      </c>
      <c r="I1275" s="56">
        <v>237</v>
      </c>
      <c r="J1275" s="59" t="s">
        <v>1181</v>
      </c>
      <c r="K1275" s="59">
        <v>1</v>
      </c>
      <c r="L1275" s="59">
        <f t="shared" si="19"/>
        <v>711</v>
      </c>
      <c r="M1275" s="59"/>
    </row>
    <row r="1276" spans="1:14" ht="30">
      <c r="A1276" s="56">
        <v>1259</v>
      </c>
      <c r="B1276" s="56">
        <v>1259</v>
      </c>
      <c r="C1276" s="56">
        <v>1259</v>
      </c>
      <c r="D1276" s="56" t="s">
        <v>2484</v>
      </c>
      <c r="F1276" s="56" t="s">
        <v>24</v>
      </c>
      <c r="G1276" s="56">
        <v>1</v>
      </c>
      <c r="H1276" s="56">
        <v>3</v>
      </c>
      <c r="I1276" s="56">
        <v>1000</v>
      </c>
      <c r="J1276" s="59" t="s">
        <v>1181</v>
      </c>
      <c r="K1276" s="59">
        <v>1</v>
      </c>
      <c r="L1276" s="59">
        <f t="shared" si="19"/>
        <v>3000</v>
      </c>
      <c r="M1276" s="59"/>
    </row>
    <row r="1277" spans="1:14" ht="30">
      <c r="A1277" s="56">
        <v>1271</v>
      </c>
      <c r="B1277" s="56">
        <v>1271</v>
      </c>
      <c r="C1277" s="56">
        <v>1271</v>
      </c>
      <c r="D1277" s="56" t="s">
        <v>2496</v>
      </c>
      <c r="F1277" s="56" t="s">
        <v>24</v>
      </c>
      <c r="G1277" s="56">
        <v>1</v>
      </c>
      <c r="H1277" s="56">
        <v>3</v>
      </c>
      <c r="I1277" s="56">
        <v>1000</v>
      </c>
      <c r="J1277" s="59" t="s">
        <v>1181</v>
      </c>
      <c r="K1277" s="59">
        <v>1</v>
      </c>
      <c r="L1277" s="59">
        <f t="shared" si="19"/>
        <v>3000</v>
      </c>
      <c r="M1277" s="59"/>
    </row>
    <row r="1278" spans="1:14" ht="30">
      <c r="A1278" s="56">
        <v>1273</v>
      </c>
      <c r="B1278" s="56">
        <v>1273</v>
      </c>
      <c r="C1278" s="56">
        <v>1273</v>
      </c>
      <c r="D1278" s="56" t="s">
        <v>2498</v>
      </c>
      <c r="F1278" s="56" t="s">
        <v>24</v>
      </c>
      <c r="G1278" s="56">
        <v>1</v>
      </c>
      <c r="H1278" s="56">
        <v>3</v>
      </c>
      <c r="I1278" s="56">
        <v>900</v>
      </c>
      <c r="J1278" s="59" t="s">
        <v>1181</v>
      </c>
      <c r="K1278" s="59">
        <v>1</v>
      </c>
      <c r="L1278" s="59">
        <f t="shared" si="19"/>
        <v>2700</v>
      </c>
      <c r="M1278" s="59"/>
    </row>
    <row r="1279" spans="1:14" ht="30">
      <c r="A1279" s="56">
        <v>1284</v>
      </c>
      <c r="B1279" s="56">
        <v>1284</v>
      </c>
      <c r="C1279" s="56">
        <v>1284</v>
      </c>
      <c r="D1279" s="56" t="s">
        <v>2509</v>
      </c>
      <c r="F1279" s="56" t="s">
        <v>24</v>
      </c>
      <c r="G1279" s="56">
        <v>1</v>
      </c>
      <c r="H1279" s="56">
        <v>3</v>
      </c>
      <c r="I1279" s="56">
        <v>450</v>
      </c>
      <c r="J1279" s="59" t="s">
        <v>1181</v>
      </c>
      <c r="K1279" s="59">
        <v>1</v>
      </c>
      <c r="L1279" s="59">
        <f t="shared" si="19"/>
        <v>1350</v>
      </c>
      <c r="M1279" s="59"/>
    </row>
    <row r="1280" spans="1:14" ht="30">
      <c r="A1280" s="56">
        <v>1290</v>
      </c>
      <c r="B1280" s="56">
        <v>1290</v>
      </c>
      <c r="C1280" s="56">
        <v>1290</v>
      </c>
      <c r="D1280" s="56" t="s">
        <v>2515</v>
      </c>
      <c r="F1280" s="56" t="s">
        <v>24</v>
      </c>
      <c r="G1280" s="56">
        <v>1</v>
      </c>
      <c r="H1280" s="56">
        <v>3</v>
      </c>
      <c r="I1280" s="56">
        <v>450</v>
      </c>
      <c r="J1280" s="59" t="s">
        <v>1181</v>
      </c>
      <c r="K1280" s="59">
        <v>1</v>
      </c>
      <c r="L1280" s="59">
        <f t="shared" si="19"/>
        <v>1350</v>
      </c>
      <c r="M1280" s="59"/>
    </row>
    <row r="1281" spans="1:14" ht="30">
      <c r="A1281" s="56">
        <v>1293</v>
      </c>
      <c r="B1281" s="56">
        <v>1293</v>
      </c>
      <c r="C1281" s="56">
        <v>1293</v>
      </c>
      <c r="D1281" s="56" t="s">
        <v>2518</v>
      </c>
      <c r="F1281" s="56" t="s">
        <v>24</v>
      </c>
      <c r="G1281" s="56">
        <v>1</v>
      </c>
      <c r="H1281" s="56">
        <v>3</v>
      </c>
      <c r="I1281" s="56">
        <v>450</v>
      </c>
      <c r="J1281" s="59" t="s">
        <v>1181</v>
      </c>
      <c r="K1281" s="59">
        <v>1</v>
      </c>
      <c r="L1281" s="59">
        <f t="shared" si="19"/>
        <v>1350</v>
      </c>
      <c r="M1281" s="59"/>
    </row>
    <row r="1282" spans="1:14" ht="30">
      <c r="A1282" s="56">
        <v>1324</v>
      </c>
      <c r="B1282" s="56">
        <v>1324</v>
      </c>
      <c r="C1282" s="56">
        <v>1324</v>
      </c>
      <c r="D1282" s="56" t="s">
        <v>2547</v>
      </c>
      <c r="F1282" s="56" t="s">
        <v>24</v>
      </c>
      <c r="G1282" s="56">
        <v>1</v>
      </c>
      <c r="H1282" s="56">
        <v>3</v>
      </c>
      <c r="I1282" s="56">
        <v>200</v>
      </c>
      <c r="J1282" s="59" t="s">
        <v>1181</v>
      </c>
      <c r="K1282" s="59">
        <v>1</v>
      </c>
      <c r="L1282" s="59">
        <f t="shared" ref="L1282:L1345" si="20">H1282*I1282</f>
        <v>600</v>
      </c>
      <c r="M1282" s="59"/>
    </row>
    <row r="1283" spans="1:14" ht="30">
      <c r="A1283" s="56">
        <v>1339</v>
      </c>
      <c r="B1283" s="56">
        <v>1339</v>
      </c>
      <c r="C1283" s="56">
        <v>1339</v>
      </c>
      <c r="D1283" s="56" t="s">
        <v>2562</v>
      </c>
      <c r="F1283" s="56" t="s">
        <v>24</v>
      </c>
      <c r="G1283" s="56">
        <v>1</v>
      </c>
      <c r="H1283" s="56">
        <v>3</v>
      </c>
      <c r="I1283" s="56">
        <v>300</v>
      </c>
      <c r="J1283" s="59" t="s">
        <v>1181</v>
      </c>
      <c r="K1283" s="59">
        <v>1</v>
      </c>
      <c r="L1283" s="59">
        <f t="shared" si="20"/>
        <v>900</v>
      </c>
      <c r="M1283" s="59"/>
    </row>
    <row r="1284" spans="1:14" ht="30">
      <c r="A1284" s="56">
        <v>1345</v>
      </c>
      <c r="B1284" s="56">
        <v>1345</v>
      </c>
      <c r="C1284" s="56">
        <v>1345</v>
      </c>
      <c r="D1284" s="56" t="s">
        <v>2568</v>
      </c>
      <c r="F1284" s="56" t="s">
        <v>24</v>
      </c>
      <c r="G1284" s="56">
        <v>1</v>
      </c>
      <c r="H1284" s="56">
        <v>3</v>
      </c>
      <c r="I1284" s="56">
        <v>200</v>
      </c>
      <c r="J1284" s="59" t="s">
        <v>1181</v>
      </c>
      <c r="K1284" s="59">
        <v>1</v>
      </c>
      <c r="L1284" s="59">
        <f t="shared" si="20"/>
        <v>600</v>
      </c>
      <c r="M1284" s="59"/>
    </row>
    <row r="1285" spans="1:14" ht="30">
      <c r="A1285" s="56">
        <v>1359</v>
      </c>
      <c r="B1285" s="56">
        <v>1359</v>
      </c>
      <c r="C1285" s="56">
        <v>1359</v>
      </c>
      <c r="D1285" s="56" t="s">
        <v>2581</v>
      </c>
      <c r="F1285" s="56" t="s">
        <v>24</v>
      </c>
      <c r="G1285" s="56">
        <v>1</v>
      </c>
      <c r="H1285" s="56">
        <v>3</v>
      </c>
      <c r="I1285" s="56">
        <v>450</v>
      </c>
      <c r="J1285" s="59" t="s">
        <v>1181</v>
      </c>
      <c r="K1285" s="59">
        <v>1</v>
      </c>
      <c r="L1285" s="59">
        <f t="shared" si="20"/>
        <v>1350</v>
      </c>
      <c r="M1285" s="59"/>
    </row>
    <row r="1286" spans="1:14" ht="30">
      <c r="A1286" s="56">
        <v>1363</v>
      </c>
      <c r="B1286" s="56">
        <v>1363</v>
      </c>
      <c r="C1286" s="56">
        <v>1363</v>
      </c>
      <c r="D1286" s="56" t="s">
        <v>2584</v>
      </c>
      <c r="F1286" s="56" t="s">
        <v>24</v>
      </c>
      <c r="G1286" s="56">
        <v>1</v>
      </c>
      <c r="H1286" s="56">
        <v>3</v>
      </c>
      <c r="I1286" s="56">
        <v>150</v>
      </c>
      <c r="J1286" s="59" t="s">
        <v>1181</v>
      </c>
      <c r="K1286" s="59">
        <v>1</v>
      </c>
      <c r="L1286" s="59">
        <f t="shared" si="20"/>
        <v>450</v>
      </c>
      <c r="M1286" s="59"/>
    </row>
    <row r="1287" spans="1:14" ht="30">
      <c r="A1287" s="56">
        <v>1384</v>
      </c>
      <c r="B1287" s="56">
        <v>1384</v>
      </c>
      <c r="C1287" s="56">
        <v>1384</v>
      </c>
      <c r="D1287" s="56" t="s">
        <v>2598</v>
      </c>
      <c r="F1287" s="56" t="s">
        <v>24</v>
      </c>
      <c r="G1287" s="56">
        <v>1</v>
      </c>
      <c r="H1287" s="56">
        <v>3</v>
      </c>
      <c r="I1287" s="56">
        <v>900</v>
      </c>
      <c r="J1287" s="59" t="s">
        <v>1181</v>
      </c>
      <c r="K1287" s="59">
        <v>1</v>
      </c>
      <c r="L1287" s="59">
        <f t="shared" si="20"/>
        <v>2700</v>
      </c>
      <c r="M1287" s="59"/>
    </row>
    <row r="1288" spans="1:14" ht="30">
      <c r="A1288" s="56">
        <v>1385</v>
      </c>
      <c r="B1288" s="56">
        <v>1385</v>
      </c>
      <c r="C1288" s="56">
        <v>1385</v>
      </c>
      <c r="D1288" s="56" t="s">
        <v>2599</v>
      </c>
      <c r="F1288" s="56" t="s">
        <v>24</v>
      </c>
      <c r="G1288" s="56">
        <v>1</v>
      </c>
      <c r="H1288" s="56">
        <v>3</v>
      </c>
      <c r="I1288" s="56">
        <v>850</v>
      </c>
      <c r="J1288" s="59" t="s">
        <v>1181</v>
      </c>
      <c r="K1288" s="59">
        <v>1</v>
      </c>
      <c r="L1288" s="59">
        <f t="shared" si="20"/>
        <v>2550</v>
      </c>
      <c r="M1288" s="59"/>
    </row>
    <row r="1289" spans="1:14" ht="30">
      <c r="A1289" s="56">
        <v>1401</v>
      </c>
      <c r="B1289" s="56">
        <v>1401</v>
      </c>
      <c r="C1289" s="56">
        <v>1401</v>
      </c>
      <c r="D1289" s="56" t="s">
        <v>2613</v>
      </c>
      <c r="F1289" s="56" t="s">
        <v>24</v>
      </c>
      <c r="G1289" s="56">
        <v>1</v>
      </c>
      <c r="H1289" s="56">
        <v>3</v>
      </c>
      <c r="I1289" s="56">
        <v>250</v>
      </c>
      <c r="J1289" s="59" t="s">
        <v>1181</v>
      </c>
      <c r="K1289" s="59">
        <v>1</v>
      </c>
      <c r="L1289" s="59">
        <f t="shared" si="20"/>
        <v>750</v>
      </c>
      <c r="M1289" s="59"/>
    </row>
    <row r="1290" spans="1:14" ht="30">
      <c r="A1290" s="56">
        <v>1407</v>
      </c>
      <c r="B1290" s="56">
        <v>1407</v>
      </c>
      <c r="C1290" s="56">
        <v>1407</v>
      </c>
      <c r="D1290" s="56" t="s">
        <v>1437</v>
      </c>
      <c r="F1290" s="61" t="s">
        <v>24</v>
      </c>
      <c r="G1290" s="61">
        <v>1</v>
      </c>
      <c r="H1290" s="61">
        <v>3</v>
      </c>
      <c r="I1290" s="56">
        <v>110</v>
      </c>
      <c r="J1290" s="59" t="s">
        <v>1181</v>
      </c>
      <c r="K1290" s="59">
        <v>1</v>
      </c>
      <c r="L1290" s="59">
        <f t="shared" si="20"/>
        <v>330</v>
      </c>
      <c r="M1290" s="59"/>
      <c r="N1290" s="58"/>
    </row>
    <row r="1291" spans="1:14" ht="30">
      <c r="A1291" s="56">
        <v>1446</v>
      </c>
      <c r="B1291" s="56">
        <v>1446</v>
      </c>
      <c r="C1291" s="56">
        <v>1446</v>
      </c>
      <c r="D1291" s="56" t="s">
        <v>2642</v>
      </c>
      <c r="F1291" s="56" t="s">
        <v>24</v>
      </c>
      <c r="G1291" s="56">
        <v>1</v>
      </c>
      <c r="H1291" s="56">
        <v>3</v>
      </c>
      <c r="I1291" s="56">
        <v>289</v>
      </c>
      <c r="J1291" s="59" t="s">
        <v>1181</v>
      </c>
      <c r="K1291" s="59">
        <v>1</v>
      </c>
      <c r="L1291" s="59">
        <f t="shared" si="20"/>
        <v>867</v>
      </c>
      <c r="M1291" s="59"/>
    </row>
    <row r="1292" spans="1:14" ht="30">
      <c r="A1292" s="56">
        <v>1460</v>
      </c>
      <c r="B1292" s="56">
        <v>1460</v>
      </c>
      <c r="C1292" s="56">
        <v>1460</v>
      </c>
      <c r="D1292" s="56" t="s">
        <v>2656</v>
      </c>
      <c r="F1292" s="56" t="s">
        <v>24</v>
      </c>
      <c r="G1292" s="56">
        <v>1</v>
      </c>
      <c r="H1292" s="56">
        <v>3</v>
      </c>
      <c r="I1292" s="56">
        <v>780</v>
      </c>
      <c r="J1292" s="59" t="s">
        <v>1181</v>
      </c>
      <c r="K1292" s="59">
        <v>1</v>
      </c>
      <c r="L1292" s="59">
        <f t="shared" si="20"/>
        <v>2340</v>
      </c>
      <c r="M1292" s="59"/>
    </row>
    <row r="1293" spans="1:14" ht="30">
      <c r="A1293" s="56">
        <v>1503</v>
      </c>
      <c r="B1293" s="56">
        <v>1503</v>
      </c>
      <c r="C1293" s="56">
        <v>1503</v>
      </c>
      <c r="D1293" s="56" t="s">
        <v>2694</v>
      </c>
      <c r="F1293" s="56" t="s">
        <v>24</v>
      </c>
      <c r="G1293" s="56">
        <v>1</v>
      </c>
      <c r="H1293" s="56">
        <v>3</v>
      </c>
      <c r="I1293" s="56">
        <v>390</v>
      </c>
      <c r="J1293" s="59" t="s">
        <v>1181</v>
      </c>
      <c r="K1293" s="59">
        <v>1</v>
      </c>
      <c r="L1293" s="59">
        <f t="shared" si="20"/>
        <v>1170</v>
      </c>
      <c r="M1293" s="59"/>
    </row>
    <row r="1294" spans="1:14" ht="30">
      <c r="A1294" s="56">
        <v>1506</v>
      </c>
      <c r="B1294" s="56">
        <v>1506</v>
      </c>
      <c r="C1294" s="56">
        <v>1506</v>
      </c>
      <c r="D1294" s="56" t="s">
        <v>2696</v>
      </c>
      <c r="F1294" s="56" t="s">
        <v>24</v>
      </c>
      <c r="G1294" s="56">
        <v>1</v>
      </c>
      <c r="H1294" s="56">
        <v>3</v>
      </c>
      <c r="I1294" s="56">
        <v>600</v>
      </c>
      <c r="J1294" s="59" t="s">
        <v>1181</v>
      </c>
      <c r="K1294" s="59">
        <v>1</v>
      </c>
      <c r="L1294" s="59">
        <f t="shared" si="20"/>
        <v>1800</v>
      </c>
      <c r="M1294" s="59"/>
    </row>
    <row r="1295" spans="1:14" ht="30">
      <c r="A1295" s="56">
        <v>1519</v>
      </c>
      <c r="B1295" s="56">
        <v>1519</v>
      </c>
      <c r="C1295" s="56">
        <v>1519</v>
      </c>
      <c r="D1295" s="56" t="s">
        <v>2709</v>
      </c>
      <c r="F1295" s="56" t="s">
        <v>24</v>
      </c>
      <c r="G1295" s="56">
        <v>1</v>
      </c>
      <c r="H1295" s="56">
        <v>3</v>
      </c>
      <c r="I1295" s="56">
        <v>650</v>
      </c>
      <c r="J1295" s="59" t="s">
        <v>1181</v>
      </c>
      <c r="K1295" s="59">
        <v>1</v>
      </c>
      <c r="L1295" s="59">
        <f t="shared" si="20"/>
        <v>1950</v>
      </c>
      <c r="M1295" s="59"/>
    </row>
    <row r="1296" spans="1:14" ht="30">
      <c r="A1296" s="56">
        <v>1522</v>
      </c>
      <c r="B1296" s="56">
        <v>1522</v>
      </c>
      <c r="C1296" s="56">
        <v>1522</v>
      </c>
      <c r="D1296" s="56" t="s">
        <v>2712</v>
      </c>
      <c r="F1296" s="56" t="s">
        <v>24</v>
      </c>
      <c r="G1296" s="56">
        <v>1</v>
      </c>
      <c r="H1296" s="56">
        <v>3</v>
      </c>
      <c r="I1296" s="56">
        <v>650</v>
      </c>
      <c r="J1296" s="59" t="s">
        <v>1181</v>
      </c>
      <c r="K1296" s="59">
        <v>1</v>
      </c>
      <c r="L1296" s="59">
        <f t="shared" si="20"/>
        <v>1950</v>
      </c>
      <c r="M1296" s="59"/>
    </row>
    <row r="1297" spans="1:13" ht="30">
      <c r="A1297" s="56">
        <v>1524</v>
      </c>
      <c r="B1297" s="56">
        <v>1524</v>
      </c>
      <c r="C1297" s="56">
        <v>1524</v>
      </c>
      <c r="D1297" s="56" t="s">
        <v>2714</v>
      </c>
      <c r="F1297" s="56" t="s">
        <v>24</v>
      </c>
      <c r="G1297" s="56">
        <v>1</v>
      </c>
      <c r="H1297" s="56">
        <v>3</v>
      </c>
      <c r="I1297" s="56">
        <v>700</v>
      </c>
      <c r="J1297" s="59" t="s">
        <v>1181</v>
      </c>
      <c r="K1297" s="59">
        <v>1</v>
      </c>
      <c r="L1297" s="59">
        <f t="shared" si="20"/>
        <v>2100</v>
      </c>
      <c r="M1297" s="59"/>
    </row>
    <row r="1298" spans="1:13" ht="30">
      <c r="A1298" s="56">
        <v>1534</v>
      </c>
      <c r="B1298" s="56">
        <v>1534</v>
      </c>
      <c r="C1298" s="56">
        <v>1534</v>
      </c>
      <c r="D1298" s="56" t="s">
        <v>2724</v>
      </c>
      <c r="F1298" s="56" t="s">
        <v>24</v>
      </c>
      <c r="G1298" s="56">
        <v>1</v>
      </c>
      <c r="H1298" s="56">
        <v>3</v>
      </c>
      <c r="I1298" s="56">
        <v>500</v>
      </c>
      <c r="J1298" s="59" t="s">
        <v>1181</v>
      </c>
      <c r="K1298" s="59">
        <v>1</v>
      </c>
      <c r="L1298" s="59">
        <f t="shared" si="20"/>
        <v>1500</v>
      </c>
      <c r="M1298" s="59"/>
    </row>
    <row r="1299" spans="1:13" ht="30">
      <c r="A1299" s="56">
        <v>1537</v>
      </c>
      <c r="B1299" s="56">
        <v>1537</v>
      </c>
      <c r="C1299" s="56">
        <v>1537</v>
      </c>
      <c r="D1299" s="56" t="s">
        <v>2727</v>
      </c>
      <c r="F1299" s="56" t="s">
        <v>24</v>
      </c>
      <c r="G1299" s="56">
        <v>1</v>
      </c>
      <c r="H1299" s="56">
        <v>3</v>
      </c>
      <c r="I1299" s="56">
        <v>1300</v>
      </c>
      <c r="J1299" s="59" t="s">
        <v>1181</v>
      </c>
      <c r="K1299" s="59">
        <v>1</v>
      </c>
      <c r="L1299" s="59">
        <f t="shared" si="20"/>
        <v>3900</v>
      </c>
      <c r="M1299" s="59"/>
    </row>
    <row r="1300" spans="1:13" ht="30">
      <c r="A1300" s="56">
        <v>1550</v>
      </c>
      <c r="B1300" s="56">
        <v>1550</v>
      </c>
      <c r="C1300" s="56">
        <v>1550</v>
      </c>
      <c r="D1300" s="56" t="s">
        <v>2740</v>
      </c>
      <c r="F1300" s="56" t="s">
        <v>24</v>
      </c>
      <c r="G1300" s="56">
        <v>1</v>
      </c>
      <c r="H1300" s="56">
        <v>3</v>
      </c>
      <c r="I1300" s="56">
        <v>600</v>
      </c>
      <c r="J1300" s="59" t="s">
        <v>1181</v>
      </c>
      <c r="K1300" s="59">
        <v>1</v>
      </c>
      <c r="L1300" s="59">
        <f t="shared" si="20"/>
        <v>1800</v>
      </c>
      <c r="M1300" s="59"/>
    </row>
    <row r="1301" spans="1:13" ht="30">
      <c r="A1301" s="56">
        <v>1551</v>
      </c>
      <c r="B1301" s="56">
        <v>1551</v>
      </c>
      <c r="C1301" s="56">
        <v>1551</v>
      </c>
      <c r="D1301" s="56" t="s">
        <v>2741</v>
      </c>
      <c r="F1301" s="56" t="s">
        <v>24</v>
      </c>
      <c r="G1301" s="56">
        <v>1</v>
      </c>
      <c r="H1301" s="56">
        <v>3</v>
      </c>
      <c r="I1301" s="56">
        <v>600</v>
      </c>
      <c r="J1301" s="59" t="s">
        <v>1181</v>
      </c>
      <c r="K1301" s="59">
        <v>1</v>
      </c>
      <c r="L1301" s="59">
        <f t="shared" si="20"/>
        <v>1800</v>
      </c>
      <c r="M1301" s="59"/>
    </row>
    <row r="1302" spans="1:13" ht="30">
      <c r="A1302" s="56">
        <v>1603</v>
      </c>
      <c r="B1302" s="56">
        <v>1603</v>
      </c>
      <c r="C1302" s="56">
        <v>1603</v>
      </c>
      <c r="D1302" s="56" t="s">
        <v>2786</v>
      </c>
      <c r="F1302" s="56" t="s">
        <v>24</v>
      </c>
      <c r="G1302" s="56">
        <v>1</v>
      </c>
      <c r="H1302" s="56">
        <v>3</v>
      </c>
      <c r="I1302" s="56">
        <v>41</v>
      </c>
      <c r="J1302" s="59" t="s">
        <v>1181</v>
      </c>
      <c r="K1302" s="59">
        <v>1</v>
      </c>
      <c r="L1302" s="59">
        <f t="shared" si="20"/>
        <v>123</v>
      </c>
      <c r="M1302" s="59"/>
    </row>
    <row r="1303" spans="1:13" ht="30">
      <c r="A1303" s="56">
        <v>1608</v>
      </c>
      <c r="B1303" s="56">
        <v>1608</v>
      </c>
      <c r="C1303" s="56">
        <v>1608</v>
      </c>
      <c r="D1303" s="56" t="s">
        <v>2791</v>
      </c>
      <c r="F1303" s="56" t="s">
        <v>24</v>
      </c>
      <c r="G1303" s="56">
        <v>1</v>
      </c>
      <c r="H1303" s="56">
        <v>3</v>
      </c>
      <c r="I1303" s="56">
        <v>450</v>
      </c>
      <c r="J1303" s="59" t="s">
        <v>1181</v>
      </c>
      <c r="K1303" s="59">
        <v>1</v>
      </c>
      <c r="L1303" s="59">
        <f t="shared" si="20"/>
        <v>1350</v>
      </c>
      <c r="M1303" s="59"/>
    </row>
    <row r="1304" spans="1:13" ht="30">
      <c r="A1304" s="56">
        <v>1611</v>
      </c>
      <c r="B1304" s="56">
        <v>1611</v>
      </c>
      <c r="C1304" s="56">
        <v>1611</v>
      </c>
      <c r="D1304" s="56" t="s">
        <v>2793</v>
      </c>
      <c r="F1304" s="56" t="s">
        <v>24</v>
      </c>
      <c r="G1304" s="56">
        <v>1</v>
      </c>
      <c r="H1304" s="56">
        <v>3</v>
      </c>
      <c r="I1304" s="56">
        <v>450</v>
      </c>
      <c r="J1304" s="59" t="s">
        <v>1181</v>
      </c>
      <c r="K1304" s="59">
        <v>1</v>
      </c>
      <c r="L1304" s="59">
        <f t="shared" si="20"/>
        <v>1350</v>
      </c>
      <c r="M1304" s="59"/>
    </row>
    <row r="1305" spans="1:13" ht="30">
      <c r="A1305" s="56">
        <v>1646</v>
      </c>
      <c r="B1305" s="56">
        <v>1646</v>
      </c>
      <c r="C1305" s="56">
        <v>1646</v>
      </c>
      <c r="D1305" s="56" t="s">
        <v>1453</v>
      </c>
      <c r="F1305" s="58" t="s">
        <v>24</v>
      </c>
      <c r="G1305" s="58">
        <v>1</v>
      </c>
      <c r="H1305" s="58">
        <v>3</v>
      </c>
      <c r="I1305" s="56">
        <v>140</v>
      </c>
      <c r="J1305" s="59" t="s">
        <v>1181</v>
      </c>
      <c r="K1305" s="59">
        <v>1</v>
      </c>
      <c r="L1305" s="59">
        <f t="shared" si="20"/>
        <v>420</v>
      </c>
      <c r="M1305" s="59"/>
    </row>
    <row r="1306" spans="1:13" ht="30">
      <c r="A1306" s="56">
        <v>1705</v>
      </c>
      <c r="B1306" s="56">
        <v>1705</v>
      </c>
      <c r="C1306" s="56">
        <v>1705</v>
      </c>
      <c r="D1306" s="56" t="s">
        <v>2859</v>
      </c>
      <c r="F1306" s="56" t="s">
        <v>24</v>
      </c>
      <c r="G1306" s="56">
        <v>1</v>
      </c>
      <c r="H1306" s="56">
        <v>3</v>
      </c>
      <c r="I1306" s="56">
        <v>200</v>
      </c>
      <c r="J1306" s="59" t="s">
        <v>1181</v>
      </c>
      <c r="K1306" s="59">
        <v>1</v>
      </c>
      <c r="L1306" s="59">
        <f t="shared" si="20"/>
        <v>600</v>
      </c>
      <c r="M1306" s="59"/>
    </row>
    <row r="1307" spans="1:13" ht="30">
      <c r="A1307" s="56">
        <v>1724</v>
      </c>
      <c r="B1307" s="56">
        <v>1724</v>
      </c>
      <c r="C1307" s="56">
        <v>1724</v>
      </c>
      <c r="D1307" s="56" t="s">
        <v>2875</v>
      </c>
      <c r="F1307" s="56" t="s">
        <v>24</v>
      </c>
      <c r="G1307" s="56">
        <v>1</v>
      </c>
      <c r="H1307" s="56">
        <v>3</v>
      </c>
      <c r="I1307" s="56">
        <v>1500</v>
      </c>
      <c r="J1307" s="59" t="s">
        <v>1181</v>
      </c>
      <c r="K1307" s="59">
        <v>1</v>
      </c>
      <c r="L1307" s="59">
        <f t="shared" si="20"/>
        <v>4500</v>
      </c>
      <c r="M1307" s="59"/>
    </row>
    <row r="1308" spans="1:13" ht="30">
      <c r="A1308" s="56">
        <v>1735</v>
      </c>
      <c r="B1308" s="56">
        <v>1735</v>
      </c>
      <c r="C1308" s="56">
        <v>1735</v>
      </c>
      <c r="D1308" s="56" t="s">
        <v>2885</v>
      </c>
      <c r="F1308" s="56" t="s">
        <v>24</v>
      </c>
      <c r="G1308" s="56">
        <v>1</v>
      </c>
      <c r="H1308" s="56">
        <v>3</v>
      </c>
      <c r="I1308" s="56">
        <v>1800</v>
      </c>
      <c r="J1308" s="59" t="s">
        <v>1181</v>
      </c>
      <c r="K1308" s="59">
        <v>1</v>
      </c>
      <c r="L1308" s="59">
        <f t="shared" si="20"/>
        <v>5400</v>
      </c>
      <c r="M1308" s="59"/>
    </row>
    <row r="1309" spans="1:13" ht="30">
      <c r="A1309" s="56">
        <v>1740</v>
      </c>
      <c r="B1309" s="56">
        <v>1740</v>
      </c>
      <c r="C1309" s="56">
        <v>1740</v>
      </c>
      <c r="D1309" s="56" t="s">
        <v>2890</v>
      </c>
      <c r="F1309" s="56" t="s">
        <v>24</v>
      </c>
      <c r="G1309" s="56">
        <v>1</v>
      </c>
      <c r="H1309" s="56">
        <v>3</v>
      </c>
      <c r="I1309" s="56">
        <v>300</v>
      </c>
      <c r="J1309" s="59" t="s">
        <v>1181</v>
      </c>
      <c r="K1309" s="59">
        <v>1</v>
      </c>
      <c r="L1309" s="59">
        <f t="shared" si="20"/>
        <v>900</v>
      </c>
      <c r="M1309" s="59"/>
    </row>
    <row r="1310" spans="1:13" ht="30">
      <c r="A1310" s="56">
        <v>1743</v>
      </c>
      <c r="B1310" s="56">
        <v>1743</v>
      </c>
      <c r="C1310" s="56">
        <v>1743</v>
      </c>
      <c r="D1310" s="56" t="s">
        <v>2892</v>
      </c>
      <c r="F1310" s="56" t="s">
        <v>24</v>
      </c>
      <c r="G1310" s="56">
        <v>1</v>
      </c>
      <c r="H1310" s="56">
        <v>3</v>
      </c>
      <c r="I1310" s="56">
        <v>900</v>
      </c>
      <c r="J1310" s="59" t="s">
        <v>1181</v>
      </c>
      <c r="K1310" s="59">
        <v>1</v>
      </c>
      <c r="L1310" s="59">
        <f t="shared" si="20"/>
        <v>2700</v>
      </c>
      <c r="M1310" s="59"/>
    </row>
    <row r="1311" spans="1:13" ht="30">
      <c r="A1311" s="56">
        <v>1753</v>
      </c>
      <c r="B1311" s="56">
        <v>1753</v>
      </c>
      <c r="C1311" s="56">
        <v>1753</v>
      </c>
      <c r="D1311" s="56" t="s">
        <v>2897</v>
      </c>
      <c r="F1311" s="56" t="s">
        <v>24</v>
      </c>
      <c r="G1311" s="56">
        <v>1</v>
      </c>
      <c r="H1311" s="56">
        <v>3</v>
      </c>
      <c r="I1311" s="56">
        <v>600</v>
      </c>
      <c r="J1311" s="59" t="s">
        <v>1181</v>
      </c>
      <c r="K1311" s="59">
        <v>1</v>
      </c>
      <c r="L1311" s="59">
        <f t="shared" si="20"/>
        <v>1800</v>
      </c>
      <c r="M1311" s="59"/>
    </row>
    <row r="1312" spans="1:13" ht="30">
      <c r="A1312" s="56">
        <v>1770</v>
      </c>
      <c r="B1312" s="56">
        <v>1770</v>
      </c>
      <c r="C1312" s="56">
        <v>1770</v>
      </c>
      <c r="D1312" s="56" t="s">
        <v>2914</v>
      </c>
      <c r="F1312" s="56" t="s">
        <v>24</v>
      </c>
      <c r="G1312" s="56">
        <v>1</v>
      </c>
      <c r="H1312" s="56">
        <v>3</v>
      </c>
      <c r="I1312" s="56">
        <v>140</v>
      </c>
      <c r="J1312" s="59" t="s">
        <v>1181</v>
      </c>
      <c r="K1312" s="59">
        <v>1</v>
      </c>
      <c r="L1312" s="59">
        <f t="shared" si="20"/>
        <v>420</v>
      </c>
      <c r="M1312" s="59"/>
    </row>
    <row r="1313" spans="1:13" ht="30">
      <c r="A1313" s="56">
        <v>1781</v>
      </c>
      <c r="B1313" s="56">
        <v>1781</v>
      </c>
      <c r="C1313" s="56">
        <v>1781</v>
      </c>
      <c r="D1313" s="56" t="s">
        <v>2924</v>
      </c>
      <c r="F1313" s="56" t="s">
        <v>24</v>
      </c>
      <c r="G1313" s="56">
        <v>1</v>
      </c>
      <c r="H1313" s="56">
        <v>3</v>
      </c>
      <c r="I1313" s="56">
        <v>170</v>
      </c>
      <c r="J1313" s="59" t="s">
        <v>1181</v>
      </c>
      <c r="K1313" s="59">
        <v>1</v>
      </c>
      <c r="L1313" s="59">
        <f t="shared" si="20"/>
        <v>510</v>
      </c>
      <c r="M1313" s="59"/>
    </row>
    <row r="1314" spans="1:13" ht="30">
      <c r="A1314" s="56">
        <v>1785</v>
      </c>
      <c r="B1314" s="56">
        <v>1785</v>
      </c>
      <c r="C1314" s="56">
        <v>1785</v>
      </c>
      <c r="D1314" s="56" t="s">
        <v>2928</v>
      </c>
      <c r="F1314" s="56" t="s">
        <v>24</v>
      </c>
      <c r="G1314" s="56">
        <v>1</v>
      </c>
      <c r="H1314" s="56">
        <v>3</v>
      </c>
      <c r="I1314" s="56">
        <v>250</v>
      </c>
      <c r="J1314" s="59" t="s">
        <v>1181</v>
      </c>
      <c r="K1314" s="59">
        <v>1</v>
      </c>
      <c r="L1314" s="59">
        <f t="shared" si="20"/>
        <v>750</v>
      </c>
      <c r="M1314" s="59"/>
    </row>
    <row r="1315" spans="1:13" ht="30">
      <c r="A1315" s="56">
        <v>1794</v>
      </c>
      <c r="B1315" s="56">
        <v>1794</v>
      </c>
      <c r="C1315" s="56">
        <v>1794</v>
      </c>
      <c r="D1315" s="56" t="s">
        <v>2937</v>
      </c>
      <c r="F1315" s="56" t="s">
        <v>24</v>
      </c>
      <c r="G1315" s="56">
        <v>1</v>
      </c>
      <c r="H1315" s="56">
        <v>3</v>
      </c>
      <c r="I1315" s="56">
        <v>2000</v>
      </c>
      <c r="J1315" s="59" t="s">
        <v>1181</v>
      </c>
      <c r="K1315" s="59">
        <v>1</v>
      </c>
      <c r="L1315" s="59">
        <f t="shared" si="20"/>
        <v>6000</v>
      </c>
      <c r="M1315" s="59"/>
    </row>
    <row r="1316" spans="1:13" ht="30">
      <c r="A1316" s="56">
        <v>1795</v>
      </c>
      <c r="B1316" s="56">
        <v>1795</v>
      </c>
      <c r="C1316" s="56">
        <v>1795</v>
      </c>
      <c r="D1316" s="56" t="s">
        <v>2938</v>
      </c>
      <c r="F1316" s="56" t="s">
        <v>24</v>
      </c>
      <c r="G1316" s="56">
        <v>1</v>
      </c>
      <c r="H1316" s="56">
        <v>3</v>
      </c>
      <c r="I1316" s="56">
        <v>2000</v>
      </c>
      <c r="J1316" s="59" t="s">
        <v>1181</v>
      </c>
      <c r="K1316" s="59">
        <v>1</v>
      </c>
      <c r="L1316" s="59">
        <f t="shared" si="20"/>
        <v>6000</v>
      </c>
      <c r="M1316" s="59"/>
    </row>
    <row r="1317" spans="1:13" ht="30">
      <c r="A1317" s="56">
        <v>1797</v>
      </c>
      <c r="B1317" s="56">
        <v>1797</v>
      </c>
      <c r="C1317" s="56">
        <v>1797</v>
      </c>
      <c r="D1317" s="56" t="s">
        <v>2940</v>
      </c>
      <c r="F1317" s="56" t="s">
        <v>24</v>
      </c>
      <c r="G1317" s="56">
        <v>1</v>
      </c>
      <c r="H1317" s="56">
        <v>3</v>
      </c>
      <c r="I1317" s="56">
        <v>2500</v>
      </c>
      <c r="J1317" s="59" t="s">
        <v>1181</v>
      </c>
      <c r="K1317" s="59">
        <v>1</v>
      </c>
      <c r="L1317" s="59">
        <f t="shared" si="20"/>
        <v>7500</v>
      </c>
      <c r="M1317" s="59"/>
    </row>
    <row r="1318" spans="1:13" ht="30">
      <c r="A1318" s="56">
        <v>1800</v>
      </c>
      <c r="B1318" s="56">
        <v>1800</v>
      </c>
      <c r="C1318" s="56">
        <v>1800</v>
      </c>
      <c r="D1318" s="56" t="s">
        <v>2943</v>
      </c>
      <c r="F1318" s="56" t="s">
        <v>24</v>
      </c>
      <c r="G1318" s="56">
        <v>1</v>
      </c>
      <c r="H1318" s="56">
        <v>3</v>
      </c>
      <c r="I1318" s="56">
        <v>600</v>
      </c>
      <c r="J1318" s="59" t="s">
        <v>1181</v>
      </c>
      <c r="K1318" s="59">
        <v>1</v>
      </c>
      <c r="L1318" s="59">
        <f t="shared" si="20"/>
        <v>1800</v>
      </c>
      <c r="M1318" s="59"/>
    </row>
    <row r="1319" spans="1:13" ht="30">
      <c r="A1319" s="56">
        <v>1808</v>
      </c>
      <c r="B1319" s="56">
        <v>1808</v>
      </c>
      <c r="C1319" s="56">
        <v>1808</v>
      </c>
      <c r="D1319" s="56" t="s">
        <v>1480</v>
      </c>
      <c r="F1319" s="58" t="s">
        <v>24</v>
      </c>
      <c r="G1319" s="58">
        <v>1</v>
      </c>
      <c r="H1319" s="58">
        <v>3</v>
      </c>
      <c r="I1319" s="56">
        <v>100</v>
      </c>
      <c r="J1319" s="59" t="s">
        <v>1181</v>
      </c>
      <c r="K1319" s="59">
        <v>1</v>
      </c>
      <c r="L1319" s="59">
        <f t="shared" si="20"/>
        <v>300</v>
      </c>
      <c r="M1319" s="59"/>
    </row>
    <row r="1320" spans="1:13" ht="30">
      <c r="A1320" s="56">
        <v>1821</v>
      </c>
      <c r="B1320" s="56">
        <v>1821</v>
      </c>
      <c r="C1320" s="56">
        <v>1821</v>
      </c>
      <c r="D1320" s="56" t="s">
        <v>2955</v>
      </c>
      <c r="F1320" s="56" t="s">
        <v>24</v>
      </c>
      <c r="G1320" s="56">
        <v>1</v>
      </c>
      <c r="H1320" s="56">
        <v>3</v>
      </c>
      <c r="I1320" s="56">
        <v>210</v>
      </c>
      <c r="J1320" s="59" t="s">
        <v>1181</v>
      </c>
      <c r="K1320" s="59">
        <v>1</v>
      </c>
      <c r="L1320" s="59">
        <f t="shared" si="20"/>
        <v>630</v>
      </c>
      <c r="M1320" s="59"/>
    </row>
    <row r="1321" spans="1:13" ht="30">
      <c r="A1321" s="56">
        <v>1826</v>
      </c>
      <c r="B1321" s="56">
        <v>1826</v>
      </c>
      <c r="C1321" s="56">
        <v>1826</v>
      </c>
      <c r="D1321" s="56" t="s">
        <v>2959</v>
      </c>
      <c r="F1321" s="56" t="s">
        <v>24</v>
      </c>
      <c r="G1321" s="56">
        <v>1</v>
      </c>
      <c r="H1321" s="56">
        <v>3</v>
      </c>
      <c r="I1321" s="56">
        <v>214</v>
      </c>
      <c r="J1321" s="59" t="s">
        <v>1181</v>
      </c>
      <c r="K1321" s="59">
        <v>1</v>
      </c>
      <c r="L1321" s="59">
        <f t="shared" si="20"/>
        <v>642</v>
      </c>
      <c r="M1321" s="59"/>
    </row>
    <row r="1322" spans="1:13" ht="30">
      <c r="A1322" s="56">
        <v>1830</v>
      </c>
      <c r="B1322" s="56">
        <v>1830</v>
      </c>
      <c r="C1322" s="56">
        <v>1830</v>
      </c>
      <c r="D1322" s="56" t="s">
        <v>2963</v>
      </c>
      <c r="F1322" s="56" t="s">
        <v>24</v>
      </c>
      <c r="G1322" s="56">
        <v>1</v>
      </c>
      <c r="H1322" s="56">
        <v>3</v>
      </c>
      <c r="I1322" s="56">
        <v>1000</v>
      </c>
      <c r="J1322" s="59" t="s">
        <v>1181</v>
      </c>
      <c r="K1322" s="59">
        <v>1</v>
      </c>
      <c r="L1322" s="59">
        <f t="shared" si="20"/>
        <v>3000</v>
      </c>
      <c r="M1322" s="59"/>
    </row>
    <row r="1323" spans="1:13" ht="30">
      <c r="A1323" s="56">
        <v>1899</v>
      </c>
      <c r="B1323" s="56">
        <v>1899</v>
      </c>
      <c r="C1323" s="56">
        <v>1899</v>
      </c>
      <c r="D1323" s="56" t="s">
        <v>3028</v>
      </c>
      <c r="F1323" s="56" t="s">
        <v>24</v>
      </c>
      <c r="G1323" s="56">
        <v>1</v>
      </c>
      <c r="H1323" s="56">
        <v>3</v>
      </c>
      <c r="I1323" s="56">
        <v>300</v>
      </c>
      <c r="J1323" s="59" t="s">
        <v>1181</v>
      </c>
      <c r="K1323" s="59">
        <v>1</v>
      </c>
      <c r="L1323" s="59">
        <f t="shared" si="20"/>
        <v>900</v>
      </c>
      <c r="M1323" s="59"/>
    </row>
    <row r="1324" spans="1:13" ht="30">
      <c r="A1324" s="56">
        <v>1927</v>
      </c>
      <c r="B1324" s="56">
        <v>1927</v>
      </c>
      <c r="C1324" s="56">
        <v>1927</v>
      </c>
      <c r="D1324" s="56" t="s">
        <v>3054</v>
      </c>
      <c r="F1324" s="56" t="s">
        <v>24</v>
      </c>
      <c r="G1324" s="56">
        <v>1</v>
      </c>
      <c r="H1324" s="56">
        <v>3</v>
      </c>
      <c r="I1324" s="56">
        <v>1200</v>
      </c>
      <c r="J1324" s="59" t="s">
        <v>1181</v>
      </c>
      <c r="K1324" s="59">
        <v>1</v>
      </c>
      <c r="L1324" s="59">
        <f t="shared" si="20"/>
        <v>3600</v>
      </c>
      <c r="M1324" s="59"/>
    </row>
    <row r="1325" spans="1:13" ht="30">
      <c r="A1325" s="56">
        <v>1943</v>
      </c>
      <c r="B1325" s="56">
        <v>1943</v>
      </c>
      <c r="C1325" s="56">
        <v>1943</v>
      </c>
      <c r="D1325" s="56" t="s">
        <v>3070</v>
      </c>
      <c r="F1325" s="56" t="s">
        <v>24</v>
      </c>
      <c r="G1325" s="56">
        <v>1</v>
      </c>
      <c r="H1325" s="56">
        <v>3</v>
      </c>
      <c r="I1325" s="56">
        <v>1600</v>
      </c>
      <c r="J1325" s="59" t="s">
        <v>1181</v>
      </c>
      <c r="K1325" s="59">
        <v>1</v>
      </c>
      <c r="L1325" s="59">
        <f t="shared" si="20"/>
        <v>4800</v>
      </c>
      <c r="M1325" s="59"/>
    </row>
    <row r="1326" spans="1:13" ht="30">
      <c r="A1326" s="56">
        <v>1948</v>
      </c>
      <c r="B1326" s="56">
        <v>1948</v>
      </c>
      <c r="C1326" s="56">
        <v>1948</v>
      </c>
      <c r="D1326" s="56" t="s">
        <v>3075</v>
      </c>
      <c r="F1326" s="56" t="s">
        <v>24</v>
      </c>
      <c r="G1326" s="56">
        <v>1</v>
      </c>
      <c r="H1326" s="56">
        <v>3</v>
      </c>
      <c r="I1326" s="56">
        <v>4000</v>
      </c>
      <c r="J1326" s="59" t="s">
        <v>1181</v>
      </c>
      <c r="K1326" s="59">
        <v>1</v>
      </c>
      <c r="L1326" s="59">
        <f t="shared" si="20"/>
        <v>12000</v>
      </c>
      <c r="M1326" s="59"/>
    </row>
    <row r="1327" spans="1:13" ht="30">
      <c r="A1327" s="56">
        <v>1164</v>
      </c>
      <c r="B1327" s="56">
        <v>1164</v>
      </c>
      <c r="C1327" s="56">
        <v>1164</v>
      </c>
      <c r="D1327" s="56" t="s">
        <v>1179</v>
      </c>
      <c r="F1327" s="58" t="s">
        <v>1180</v>
      </c>
      <c r="G1327" s="58">
        <v>250</v>
      </c>
      <c r="H1327" s="56">
        <v>4</v>
      </c>
      <c r="I1327" s="56">
        <v>2750</v>
      </c>
      <c r="J1327" s="59" t="s">
        <v>1181</v>
      </c>
      <c r="K1327" s="59">
        <v>1</v>
      </c>
      <c r="L1327" s="59">
        <f t="shared" si="20"/>
        <v>11000</v>
      </c>
      <c r="M1327" s="59"/>
    </row>
    <row r="1328" spans="1:13" ht="30">
      <c r="A1328" s="56">
        <v>1052</v>
      </c>
      <c r="B1328" s="56">
        <v>1052</v>
      </c>
      <c r="C1328" s="56">
        <v>1052</v>
      </c>
      <c r="D1328" s="56" t="s">
        <v>1187</v>
      </c>
      <c r="F1328" s="56" t="s">
        <v>1180</v>
      </c>
      <c r="G1328" s="58">
        <v>100</v>
      </c>
      <c r="H1328" s="56">
        <v>4</v>
      </c>
      <c r="I1328" s="56">
        <v>1000</v>
      </c>
      <c r="J1328" s="59" t="s">
        <v>1181</v>
      </c>
      <c r="K1328" s="59">
        <v>1</v>
      </c>
      <c r="L1328" s="59">
        <f t="shared" si="20"/>
        <v>4000</v>
      </c>
      <c r="M1328" s="59"/>
    </row>
    <row r="1329" spans="1:13" ht="30">
      <c r="A1329" s="56">
        <v>1163</v>
      </c>
      <c r="B1329" s="56">
        <v>1163</v>
      </c>
      <c r="C1329" s="56">
        <v>1163</v>
      </c>
      <c r="D1329" s="56" t="s">
        <v>1192</v>
      </c>
      <c r="F1329" s="56" t="s">
        <v>1180</v>
      </c>
      <c r="G1329" s="58">
        <v>100</v>
      </c>
      <c r="H1329" s="56">
        <v>4</v>
      </c>
      <c r="I1329" s="56">
        <v>1500</v>
      </c>
      <c r="J1329" s="59" t="s">
        <v>1181</v>
      </c>
      <c r="K1329" s="59">
        <v>1</v>
      </c>
      <c r="L1329" s="59">
        <f t="shared" si="20"/>
        <v>6000</v>
      </c>
      <c r="M1329" s="59"/>
    </row>
    <row r="1330" spans="1:13" ht="30">
      <c r="A1330" s="56">
        <v>1374</v>
      </c>
      <c r="B1330" s="56">
        <v>1374</v>
      </c>
      <c r="C1330" s="56">
        <v>1374</v>
      </c>
      <c r="D1330" s="56" t="s">
        <v>1206</v>
      </c>
      <c r="F1330" s="56" t="s">
        <v>1180</v>
      </c>
      <c r="G1330" s="58">
        <v>100</v>
      </c>
      <c r="H1330" s="56">
        <v>4</v>
      </c>
      <c r="I1330" s="56">
        <v>1300</v>
      </c>
      <c r="J1330" s="59" t="s">
        <v>1181</v>
      </c>
      <c r="K1330" s="59">
        <v>1</v>
      </c>
      <c r="L1330" s="59">
        <f t="shared" si="20"/>
        <v>5200</v>
      </c>
      <c r="M1330" s="59"/>
    </row>
    <row r="1331" spans="1:13" ht="30">
      <c r="A1331" s="56">
        <v>1426</v>
      </c>
      <c r="B1331" s="56">
        <v>1426</v>
      </c>
      <c r="C1331" s="56">
        <v>1426</v>
      </c>
      <c r="D1331" s="56" t="s">
        <v>1208</v>
      </c>
      <c r="F1331" s="56" t="s">
        <v>1185</v>
      </c>
      <c r="G1331" s="58">
        <v>100</v>
      </c>
      <c r="H1331" s="56">
        <v>4</v>
      </c>
      <c r="I1331" s="56">
        <v>830</v>
      </c>
      <c r="J1331" s="59" t="s">
        <v>1181</v>
      </c>
      <c r="K1331" s="59">
        <v>1</v>
      </c>
      <c r="L1331" s="59">
        <f t="shared" si="20"/>
        <v>3320</v>
      </c>
      <c r="M1331" s="59"/>
    </row>
    <row r="1332" spans="1:13" ht="30">
      <c r="A1332" s="56">
        <v>1580</v>
      </c>
      <c r="B1332" s="56">
        <v>1580</v>
      </c>
      <c r="C1332" s="56">
        <v>1580</v>
      </c>
      <c r="D1332" s="56" t="s">
        <v>1254</v>
      </c>
      <c r="F1332" s="60" t="s">
        <v>1183</v>
      </c>
      <c r="G1332" s="61">
        <v>24</v>
      </c>
      <c r="H1332" s="60">
        <v>4</v>
      </c>
      <c r="I1332" s="56">
        <v>1020</v>
      </c>
      <c r="J1332" s="59" t="s">
        <v>1181</v>
      </c>
      <c r="K1332" s="59">
        <v>1</v>
      </c>
      <c r="L1332" s="59">
        <f t="shared" si="20"/>
        <v>4080</v>
      </c>
      <c r="M1332" s="59"/>
    </row>
    <row r="1333" spans="1:13" ht="30">
      <c r="A1333" s="56">
        <v>812</v>
      </c>
      <c r="B1333" s="56">
        <v>812</v>
      </c>
      <c r="C1333" s="56">
        <v>812</v>
      </c>
      <c r="D1333" s="56" t="s">
        <v>1301</v>
      </c>
      <c r="F1333" s="58" t="s">
        <v>1185</v>
      </c>
      <c r="G1333" s="58">
        <v>12</v>
      </c>
      <c r="H1333" s="56">
        <v>4</v>
      </c>
      <c r="I1333" s="56">
        <v>635</v>
      </c>
      <c r="J1333" s="59" t="s">
        <v>1181</v>
      </c>
      <c r="K1333" s="59">
        <v>1</v>
      </c>
      <c r="L1333" s="59">
        <f t="shared" si="20"/>
        <v>2540</v>
      </c>
      <c r="M1333" s="59"/>
    </row>
    <row r="1334" spans="1:13" ht="30">
      <c r="A1334" s="56">
        <v>817</v>
      </c>
      <c r="B1334" s="56">
        <v>817</v>
      </c>
      <c r="C1334" s="56">
        <v>817</v>
      </c>
      <c r="D1334" s="56" t="s">
        <v>1305</v>
      </c>
      <c r="F1334" s="56" t="s">
        <v>1185</v>
      </c>
      <c r="G1334" s="58">
        <v>12</v>
      </c>
      <c r="H1334" s="56">
        <v>4</v>
      </c>
      <c r="I1334" s="56">
        <v>720</v>
      </c>
      <c r="J1334" s="59" t="s">
        <v>1181</v>
      </c>
      <c r="K1334" s="59">
        <v>1</v>
      </c>
      <c r="L1334" s="59">
        <f t="shared" si="20"/>
        <v>2880</v>
      </c>
      <c r="M1334" s="59"/>
    </row>
    <row r="1335" spans="1:13" ht="30">
      <c r="A1335" s="56">
        <v>819</v>
      </c>
      <c r="B1335" s="56">
        <v>819</v>
      </c>
      <c r="C1335" s="56">
        <v>819</v>
      </c>
      <c r="D1335" s="56" t="s">
        <v>1307</v>
      </c>
      <c r="F1335" s="58" t="s">
        <v>1185</v>
      </c>
      <c r="G1335" s="58">
        <v>12</v>
      </c>
      <c r="H1335" s="56">
        <v>4</v>
      </c>
      <c r="I1335" s="56">
        <v>650</v>
      </c>
      <c r="J1335" s="59" t="s">
        <v>1181</v>
      </c>
      <c r="K1335" s="59">
        <v>1</v>
      </c>
      <c r="L1335" s="59">
        <f t="shared" si="20"/>
        <v>2600</v>
      </c>
      <c r="M1335" s="59"/>
    </row>
    <row r="1336" spans="1:13" ht="30">
      <c r="A1336" s="56">
        <v>839</v>
      </c>
      <c r="B1336" s="56">
        <v>839</v>
      </c>
      <c r="C1336" s="56">
        <v>839</v>
      </c>
      <c r="D1336" s="56" t="s">
        <v>1322</v>
      </c>
      <c r="F1336" s="56" t="s">
        <v>1185</v>
      </c>
      <c r="G1336" s="58">
        <v>12</v>
      </c>
      <c r="H1336" s="56">
        <v>4</v>
      </c>
      <c r="I1336" s="56">
        <v>1800</v>
      </c>
      <c r="J1336" s="59" t="s">
        <v>1181</v>
      </c>
      <c r="K1336" s="59">
        <v>1</v>
      </c>
      <c r="L1336" s="59">
        <f t="shared" si="20"/>
        <v>7200</v>
      </c>
      <c r="M1336" s="59"/>
    </row>
    <row r="1337" spans="1:13" ht="30">
      <c r="A1337" s="56">
        <v>960</v>
      </c>
      <c r="B1337" s="56">
        <v>960</v>
      </c>
      <c r="C1337" s="56">
        <v>960</v>
      </c>
      <c r="D1337" s="56" t="s">
        <v>1381</v>
      </c>
      <c r="F1337" s="58" t="s">
        <v>1185</v>
      </c>
      <c r="G1337" s="58">
        <v>12</v>
      </c>
      <c r="H1337" s="56">
        <v>4</v>
      </c>
      <c r="I1337" s="56">
        <v>6000</v>
      </c>
      <c r="J1337" s="59" t="s">
        <v>1181</v>
      </c>
      <c r="K1337" s="59">
        <v>1</v>
      </c>
      <c r="L1337" s="59">
        <f t="shared" si="20"/>
        <v>24000</v>
      </c>
      <c r="M1337" s="59"/>
    </row>
    <row r="1338" spans="1:13" ht="30">
      <c r="A1338" s="56">
        <v>1180</v>
      </c>
      <c r="B1338" s="56">
        <v>1180</v>
      </c>
      <c r="C1338" s="56">
        <v>1180</v>
      </c>
      <c r="D1338" s="56" t="s">
        <v>1420</v>
      </c>
      <c r="F1338" s="56" t="s">
        <v>1183</v>
      </c>
      <c r="G1338" s="58">
        <v>12</v>
      </c>
      <c r="H1338" s="56">
        <v>4</v>
      </c>
      <c r="I1338" s="56">
        <v>1536</v>
      </c>
      <c r="J1338" s="59" t="s">
        <v>1181</v>
      </c>
      <c r="K1338" s="59">
        <v>1</v>
      </c>
      <c r="L1338" s="59">
        <f t="shared" si="20"/>
        <v>6144</v>
      </c>
      <c r="M1338" s="59"/>
    </row>
    <row r="1339" spans="1:13" ht="30">
      <c r="A1339" s="56">
        <v>1229</v>
      </c>
      <c r="B1339" s="56">
        <v>1229</v>
      </c>
      <c r="C1339" s="56">
        <v>1229</v>
      </c>
      <c r="D1339" s="56" t="s">
        <v>1426</v>
      </c>
      <c r="F1339" s="58" t="s">
        <v>1183</v>
      </c>
      <c r="G1339" s="58">
        <v>12</v>
      </c>
      <c r="H1339" s="56">
        <v>4</v>
      </c>
      <c r="I1339" s="56">
        <v>1260</v>
      </c>
      <c r="J1339" s="59" t="s">
        <v>1181</v>
      </c>
      <c r="K1339" s="59">
        <v>1</v>
      </c>
      <c r="L1339" s="59">
        <f t="shared" si="20"/>
        <v>5040</v>
      </c>
      <c r="M1339" s="59"/>
    </row>
    <row r="1340" spans="1:13" ht="30">
      <c r="A1340" s="56">
        <v>1635</v>
      </c>
      <c r="B1340" s="56">
        <v>1635</v>
      </c>
      <c r="C1340" s="56">
        <v>1635</v>
      </c>
      <c r="D1340" s="56" t="s">
        <v>1448</v>
      </c>
      <c r="F1340" s="58" t="s">
        <v>1183</v>
      </c>
      <c r="G1340" s="58">
        <v>12</v>
      </c>
      <c r="H1340" s="56">
        <v>4</v>
      </c>
      <c r="I1340" s="56">
        <v>1080</v>
      </c>
      <c r="J1340" s="59" t="s">
        <v>1181</v>
      </c>
      <c r="K1340" s="59">
        <v>1</v>
      </c>
      <c r="L1340" s="59">
        <f t="shared" si="20"/>
        <v>4320</v>
      </c>
      <c r="M1340" s="59"/>
    </row>
    <row r="1341" spans="1:13" ht="30">
      <c r="A1341" s="56">
        <v>1656</v>
      </c>
      <c r="B1341" s="56">
        <v>1656</v>
      </c>
      <c r="C1341" s="56">
        <v>1656</v>
      </c>
      <c r="D1341" s="56" t="s">
        <v>1457</v>
      </c>
      <c r="F1341" s="58" t="s">
        <v>1183</v>
      </c>
      <c r="G1341" s="58">
        <v>12</v>
      </c>
      <c r="H1341" s="56">
        <v>4</v>
      </c>
      <c r="I1341" s="56">
        <v>4440</v>
      </c>
      <c r="J1341" s="59" t="s">
        <v>1181</v>
      </c>
      <c r="K1341" s="59">
        <v>1</v>
      </c>
      <c r="L1341" s="59">
        <f t="shared" si="20"/>
        <v>17760</v>
      </c>
      <c r="M1341" s="59"/>
    </row>
    <row r="1342" spans="1:13" ht="30">
      <c r="A1342" s="56">
        <v>782</v>
      </c>
      <c r="B1342" s="56">
        <v>782</v>
      </c>
      <c r="C1342" s="56">
        <v>782</v>
      </c>
      <c r="D1342" s="56" t="s">
        <v>1491</v>
      </c>
      <c r="F1342" s="56" t="s">
        <v>1272</v>
      </c>
      <c r="G1342" s="58">
        <v>10</v>
      </c>
      <c r="H1342" s="56">
        <v>4</v>
      </c>
      <c r="I1342" s="56">
        <v>600</v>
      </c>
      <c r="J1342" s="59" t="s">
        <v>1181</v>
      </c>
      <c r="K1342" s="59">
        <v>1</v>
      </c>
      <c r="L1342" s="59">
        <f t="shared" si="20"/>
        <v>2400</v>
      </c>
      <c r="M1342" s="59"/>
    </row>
    <row r="1343" spans="1:13" ht="30">
      <c r="A1343" s="56">
        <v>4</v>
      </c>
      <c r="B1343" s="56">
        <v>4</v>
      </c>
      <c r="C1343" s="56">
        <v>4</v>
      </c>
      <c r="D1343" s="56" t="s">
        <v>1527</v>
      </c>
      <c r="F1343" s="56" t="s">
        <v>24</v>
      </c>
      <c r="G1343" s="56">
        <v>1</v>
      </c>
      <c r="H1343" s="56">
        <v>4</v>
      </c>
      <c r="I1343" s="56">
        <v>200</v>
      </c>
      <c r="J1343" s="59" t="s">
        <v>1181</v>
      </c>
      <c r="K1343" s="59">
        <v>1</v>
      </c>
      <c r="L1343" s="59">
        <f t="shared" si="20"/>
        <v>800</v>
      </c>
      <c r="M1343" s="59"/>
    </row>
    <row r="1344" spans="1:13" ht="30">
      <c r="A1344" s="59">
        <v>5</v>
      </c>
      <c r="B1344" s="59">
        <v>5</v>
      </c>
      <c r="C1344" s="59">
        <v>5</v>
      </c>
      <c r="D1344" s="59" t="s">
        <v>1528</v>
      </c>
      <c r="E1344" s="59"/>
      <c r="F1344" s="56" t="s">
        <v>24</v>
      </c>
      <c r="G1344" s="56">
        <v>1</v>
      </c>
      <c r="H1344" s="56">
        <v>4</v>
      </c>
      <c r="I1344" s="62">
        <v>750</v>
      </c>
      <c r="J1344" s="59" t="s">
        <v>1181</v>
      </c>
      <c r="K1344" s="59">
        <v>1</v>
      </c>
      <c r="L1344" s="59">
        <f t="shared" si="20"/>
        <v>3000</v>
      </c>
      <c r="M1344" s="59"/>
    </row>
    <row r="1345" spans="1:13" ht="30">
      <c r="A1345" s="56">
        <v>13</v>
      </c>
      <c r="B1345" s="56">
        <v>13</v>
      </c>
      <c r="C1345" s="56">
        <v>13</v>
      </c>
      <c r="D1345" s="56" t="s">
        <v>1536</v>
      </c>
      <c r="F1345" s="56" t="s">
        <v>24</v>
      </c>
      <c r="G1345" s="56">
        <v>1</v>
      </c>
      <c r="H1345" s="56">
        <v>4</v>
      </c>
      <c r="I1345" s="56">
        <v>625</v>
      </c>
      <c r="J1345" s="59" t="s">
        <v>1181</v>
      </c>
      <c r="K1345" s="59">
        <v>1</v>
      </c>
      <c r="L1345" s="59">
        <f t="shared" si="20"/>
        <v>2500</v>
      </c>
      <c r="M1345" s="59"/>
    </row>
    <row r="1346" spans="1:13" ht="30">
      <c r="A1346" s="56">
        <v>51</v>
      </c>
      <c r="B1346" s="56">
        <v>51</v>
      </c>
      <c r="C1346" s="56">
        <v>51</v>
      </c>
      <c r="D1346" s="56" t="s">
        <v>1573</v>
      </c>
      <c r="F1346" s="56" t="s">
        <v>24</v>
      </c>
      <c r="G1346" s="56">
        <v>1</v>
      </c>
      <c r="H1346" s="56">
        <v>4</v>
      </c>
      <c r="I1346" s="56">
        <v>1200</v>
      </c>
      <c r="J1346" s="59" t="s">
        <v>1181</v>
      </c>
      <c r="K1346" s="59">
        <v>1</v>
      </c>
      <c r="L1346" s="59">
        <f t="shared" ref="L1346:L1409" si="21">H1346*I1346</f>
        <v>4800</v>
      </c>
      <c r="M1346" s="59"/>
    </row>
    <row r="1347" spans="1:13" ht="30">
      <c r="A1347" s="56">
        <v>97</v>
      </c>
      <c r="B1347" s="56">
        <v>97</v>
      </c>
      <c r="C1347" s="56">
        <v>97</v>
      </c>
      <c r="D1347" s="56" t="s">
        <v>1617</v>
      </c>
      <c r="F1347" s="56" t="s">
        <v>24</v>
      </c>
      <c r="G1347" s="56">
        <v>1</v>
      </c>
      <c r="H1347" s="56">
        <v>4</v>
      </c>
      <c r="I1347" s="56">
        <v>1500</v>
      </c>
      <c r="J1347" s="59" t="s">
        <v>1181</v>
      </c>
      <c r="K1347" s="59">
        <v>1</v>
      </c>
      <c r="L1347" s="59">
        <f t="shared" si="21"/>
        <v>6000</v>
      </c>
      <c r="M1347" s="59"/>
    </row>
    <row r="1348" spans="1:13" ht="30">
      <c r="A1348" s="56">
        <v>122</v>
      </c>
      <c r="B1348" s="56">
        <v>122</v>
      </c>
      <c r="C1348" s="56">
        <v>122</v>
      </c>
      <c r="D1348" s="56" t="s">
        <v>1636</v>
      </c>
      <c r="F1348" s="56" t="s">
        <v>24</v>
      </c>
      <c r="G1348" s="56">
        <v>1</v>
      </c>
      <c r="H1348" s="56">
        <v>4</v>
      </c>
      <c r="I1348" s="56">
        <v>1500</v>
      </c>
      <c r="J1348" s="59" t="s">
        <v>1181</v>
      </c>
      <c r="K1348" s="59">
        <v>1</v>
      </c>
      <c r="L1348" s="59">
        <f t="shared" si="21"/>
        <v>6000</v>
      </c>
      <c r="M1348" s="59"/>
    </row>
    <row r="1349" spans="1:13" ht="30">
      <c r="A1349" s="56">
        <v>151</v>
      </c>
      <c r="B1349" s="56">
        <v>151</v>
      </c>
      <c r="C1349" s="56">
        <v>151</v>
      </c>
      <c r="D1349" s="56" t="s">
        <v>1662</v>
      </c>
      <c r="F1349" s="56" t="s">
        <v>24</v>
      </c>
      <c r="G1349" s="56">
        <v>1</v>
      </c>
      <c r="H1349" s="56">
        <v>4</v>
      </c>
      <c r="I1349" s="56">
        <v>2000</v>
      </c>
      <c r="J1349" s="59" t="s">
        <v>1181</v>
      </c>
      <c r="K1349" s="59">
        <v>1</v>
      </c>
      <c r="L1349" s="59">
        <f t="shared" si="21"/>
        <v>8000</v>
      </c>
      <c r="M1349" s="59"/>
    </row>
    <row r="1350" spans="1:13" ht="30">
      <c r="A1350" s="56">
        <v>164</v>
      </c>
      <c r="B1350" s="56">
        <v>164</v>
      </c>
      <c r="C1350" s="56">
        <v>164</v>
      </c>
      <c r="D1350" s="56" t="s">
        <v>1669</v>
      </c>
      <c r="F1350" s="56" t="s">
        <v>24</v>
      </c>
      <c r="G1350" s="56">
        <v>1</v>
      </c>
      <c r="H1350" s="56">
        <v>4</v>
      </c>
      <c r="I1350" s="56">
        <v>800</v>
      </c>
      <c r="J1350" s="59" t="s">
        <v>1181</v>
      </c>
      <c r="K1350" s="59">
        <v>1</v>
      </c>
      <c r="L1350" s="59">
        <f t="shared" si="21"/>
        <v>3200</v>
      </c>
      <c r="M1350" s="59"/>
    </row>
    <row r="1351" spans="1:13" ht="30">
      <c r="A1351" s="56">
        <v>167</v>
      </c>
      <c r="B1351" s="56">
        <v>167</v>
      </c>
      <c r="C1351" s="56">
        <v>167</v>
      </c>
      <c r="D1351" s="56" t="s">
        <v>1671</v>
      </c>
      <c r="F1351" s="56" t="s">
        <v>24</v>
      </c>
      <c r="G1351" s="56">
        <v>1</v>
      </c>
      <c r="H1351" s="56">
        <v>4</v>
      </c>
      <c r="I1351" s="56">
        <v>1500</v>
      </c>
      <c r="J1351" s="59" t="s">
        <v>1181</v>
      </c>
      <c r="K1351" s="59">
        <v>1</v>
      </c>
      <c r="L1351" s="59">
        <f t="shared" si="21"/>
        <v>6000</v>
      </c>
      <c r="M1351" s="59"/>
    </row>
    <row r="1352" spans="1:13" ht="30">
      <c r="A1352" s="56">
        <v>197</v>
      </c>
      <c r="B1352" s="56">
        <v>197</v>
      </c>
      <c r="C1352" s="56">
        <v>197</v>
      </c>
      <c r="D1352" s="56" t="s">
        <v>1696</v>
      </c>
      <c r="F1352" s="56" t="s">
        <v>24</v>
      </c>
      <c r="G1352" s="56">
        <v>1</v>
      </c>
      <c r="H1352" s="56">
        <v>4</v>
      </c>
      <c r="I1352" s="56">
        <v>1200</v>
      </c>
      <c r="J1352" s="59" t="s">
        <v>1181</v>
      </c>
      <c r="K1352" s="59">
        <v>1</v>
      </c>
      <c r="L1352" s="59">
        <f t="shared" si="21"/>
        <v>4800</v>
      </c>
      <c r="M1352" s="59"/>
    </row>
    <row r="1353" spans="1:13" ht="30">
      <c r="A1353" s="56">
        <v>254</v>
      </c>
      <c r="B1353" s="56">
        <v>254</v>
      </c>
      <c r="C1353" s="56">
        <v>254</v>
      </c>
      <c r="D1353" s="56" t="s">
        <v>1744</v>
      </c>
      <c r="F1353" s="56" t="s">
        <v>24</v>
      </c>
      <c r="G1353" s="56">
        <v>1</v>
      </c>
      <c r="H1353" s="56">
        <v>4</v>
      </c>
      <c r="I1353" s="56">
        <v>1000</v>
      </c>
      <c r="J1353" s="59" t="s">
        <v>1181</v>
      </c>
      <c r="K1353" s="59">
        <v>1</v>
      </c>
      <c r="L1353" s="59">
        <f t="shared" si="21"/>
        <v>4000</v>
      </c>
      <c r="M1353" s="59"/>
    </row>
    <row r="1354" spans="1:13" ht="30">
      <c r="A1354" s="56">
        <v>322</v>
      </c>
      <c r="B1354" s="56">
        <v>322</v>
      </c>
      <c r="C1354" s="56">
        <v>322</v>
      </c>
      <c r="D1354" s="56" t="s">
        <v>1796</v>
      </c>
      <c r="F1354" s="56" t="s">
        <v>24</v>
      </c>
      <c r="G1354" s="56">
        <v>1</v>
      </c>
      <c r="H1354" s="56">
        <v>4</v>
      </c>
      <c r="I1354" s="56">
        <v>1450</v>
      </c>
      <c r="J1354" s="59" t="s">
        <v>1181</v>
      </c>
      <c r="K1354" s="59">
        <v>1</v>
      </c>
      <c r="L1354" s="59">
        <f t="shared" si="21"/>
        <v>5800</v>
      </c>
      <c r="M1354" s="59"/>
    </row>
    <row r="1355" spans="1:13" ht="30">
      <c r="A1355" s="56">
        <v>338</v>
      </c>
      <c r="B1355" s="56">
        <v>338</v>
      </c>
      <c r="C1355" s="56">
        <v>338</v>
      </c>
      <c r="D1355" s="56" t="s">
        <v>1811</v>
      </c>
      <c r="F1355" s="56" t="s">
        <v>24</v>
      </c>
      <c r="G1355" s="56">
        <v>1</v>
      </c>
      <c r="H1355" s="56">
        <v>4</v>
      </c>
      <c r="I1355" s="56">
        <v>1300</v>
      </c>
      <c r="J1355" s="59" t="s">
        <v>1181</v>
      </c>
      <c r="K1355" s="59">
        <v>1</v>
      </c>
      <c r="L1355" s="59">
        <f t="shared" si="21"/>
        <v>5200</v>
      </c>
      <c r="M1355" s="59"/>
    </row>
    <row r="1356" spans="1:13" ht="30">
      <c r="A1356" s="56">
        <v>350</v>
      </c>
      <c r="B1356" s="56">
        <v>350</v>
      </c>
      <c r="C1356" s="56">
        <v>350</v>
      </c>
      <c r="D1356" s="56" t="s">
        <v>1823</v>
      </c>
      <c r="F1356" s="56" t="s">
        <v>24</v>
      </c>
      <c r="G1356" s="56">
        <v>1</v>
      </c>
      <c r="H1356" s="56">
        <v>4</v>
      </c>
      <c r="I1356" s="56">
        <v>1200</v>
      </c>
      <c r="J1356" s="59" t="s">
        <v>1181</v>
      </c>
      <c r="K1356" s="59">
        <v>1</v>
      </c>
      <c r="L1356" s="59">
        <f t="shared" si="21"/>
        <v>4800</v>
      </c>
      <c r="M1356" s="59"/>
    </row>
    <row r="1357" spans="1:13" ht="30">
      <c r="A1357" s="56">
        <v>353</v>
      </c>
      <c r="B1357" s="56">
        <v>353</v>
      </c>
      <c r="C1357" s="56">
        <v>353</v>
      </c>
      <c r="D1357" s="56" t="s">
        <v>1826</v>
      </c>
      <c r="F1357" s="56" t="s">
        <v>24</v>
      </c>
      <c r="G1357" s="56">
        <v>1</v>
      </c>
      <c r="H1357" s="56">
        <v>4</v>
      </c>
      <c r="I1357" s="56">
        <v>260</v>
      </c>
      <c r="J1357" s="59" t="s">
        <v>1181</v>
      </c>
      <c r="K1357" s="59">
        <v>1</v>
      </c>
      <c r="L1357" s="59">
        <f t="shared" si="21"/>
        <v>1040</v>
      </c>
      <c r="M1357" s="59"/>
    </row>
    <row r="1358" spans="1:13" ht="30">
      <c r="A1358" s="56">
        <v>358</v>
      </c>
      <c r="B1358" s="56">
        <v>358</v>
      </c>
      <c r="C1358" s="56">
        <v>358</v>
      </c>
      <c r="D1358" s="56" t="s">
        <v>1831</v>
      </c>
      <c r="F1358" s="56" t="s">
        <v>24</v>
      </c>
      <c r="G1358" s="56">
        <v>1</v>
      </c>
      <c r="H1358" s="56">
        <v>4</v>
      </c>
      <c r="I1358" s="56">
        <v>1800</v>
      </c>
      <c r="J1358" s="59" t="s">
        <v>1181</v>
      </c>
      <c r="K1358" s="59">
        <v>1</v>
      </c>
      <c r="L1358" s="59">
        <f t="shared" si="21"/>
        <v>7200</v>
      </c>
      <c r="M1358" s="59"/>
    </row>
    <row r="1359" spans="1:13" ht="30">
      <c r="A1359" s="56">
        <v>371</v>
      </c>
      <c r="B1359" s="56">
        <v>371</v>
      </c>
      <c r="C1359" s="56">
        <v>371</v>
      </c>
      <c r="D1359" s="56" t="s">
        <v>1844</v>
      </c>
      <c r="F1359" s="56" t="s">
        <v>24</v>
      </c>
      <c r="G1359" s="56">
        <v>1</v>
      </c>
      <c r="H1359" s="56">
        <v>4</v>
      </c>
      <c r="I1359" s="56">
        <v>600</v>
      </c>
      <c r="J1359" s="59" t="s">
        <v>1181</v>
      </c>
      <c r="K1359" s="59">
        <v>1</v>
      </c>
      <c r="L1359" s="59">
        <f t="shared" si="21"/>
        <v>2400</v>
      </c>
      <c r="M1359" s="59"/>
    </row>
    <row r="1360" spans="1:13" ht="30">
      <c r="A1360" s="56">
        <v>414</v>
      </c>
      <c r="B1360" s="56">
        <v>414</v>
      </c>
      <c r="C1360" s="56">
        <v>414</v>
      </c>
      <c r="D1360" s="56" t="s">
        <v>1884</v>
      </c>
      <c r="F1360" s="56" t="s">
        <v>24</v>
      </c>
      <c r="G1360" s="56">
        <v>1</v>
      </c>
      <c r="H1360" s="56">
        <v>4</v>
      </c>
      <c r="I1360" s="56">
        <v>450</v>
      </c>
      <c r="J1360" s="59" t="s">
        <v>1181</v>
      </c>
      <c r="K1360" s="59">
        <v>1</v>
      </c>
      <c r="L1360" s="59">
        <f t="shared" si="21"/>
        <v>1800</v>
      </c>
      <c r="M1360" s="59"/>
    </row>
    <row r="1361" spans="1:13" ht="30">
      <c r="A1361" s="56">
        <v>455</v>
      </c>
      <c r="B1361" s="56">
        <v>455</v>
      </c>
      <c r="C1361" s="56">
        <v>455</v>
      </c>
      <c r="D1361" s="56" t="s">
        <v>1923</v>
      </c>
      <c r="F1361" s="56" t="s">
        <v>24</v>
      </c>
      <c r="G1361" s="56">
        <v>1</v>
      </c>
      <c r="H1361" s="56">
        <v>4</v>
      </c>
      <c r="I1361" s="56">
        <v>1850</v>
      </c>
      <c r="J1361" s="59" t="s">
        <v>1181</v>
      </c>
      <c r="K1361" s="59">
        <v>1</v>
      </c>
      <c r="L1361" s="59">
        <f t="shared" si="21"/>
        <v>7400</v>
      </c>
      <c r="M1361" s="59"/>
    </row>
    <row r="1362" spans="1:13" ht="30">
      <c r="A1362" s="56">
        <v>515</v>
      </c>
      <c r="B1362" s="56">
        <v>515</v>
      </c>
      <c r="C1362" s="56">
        <v>515</v>
      </c>
      <c r="D1362" s="56" t="s">
        <v>1977</v>
      </c>
      <c r="F1362" s="56" t="s">
        <v>24</v>
      </c>
      <c r="G1362" s="56">
        <v>1</v>
      </c>
      <c r="H1362" s="56">
        <v>4</v>
      </c>
      <c r="I1362" s="56">
        <v>550</v>
      </c>
      <c r="J1362" s="59" t="s">
        <v>1181</v>
      </c>
      <c r="K1362" s="59">
        <v>1</v>
      </c>
      <c r="L1362" s="59">
        <f t="shared" si="21"/>
        <v>2200</v>
      </c>
      <c r="M1362" s="59"/>
    </row>
    <row r="1363" spans="1:13" ht="30">
      <c r="A1363" s="56">
        <v>535</v>
      </c>
      <c r="B1363" s="56">
        <v>535</v>
      </c>
      <c r="C1363" s="56">
        <v>535</v>
      </c>
      <c r="D1363" s="56" t="s">
        <v>1997</v>
      </c>
      <c r="F1363" s="56" t="s">
        <v>24</v>
      </c>
      <c r="G1363" s="56">
        <v>1</v>
      </c>
      <c r="H1363" s="56">
        <v>4</v>
      </c>
      <c r="I1363" s="56">
        <v>680</v>
      </c>
      <c r="J1363" s="59" t="s">
        <v>1181</v>
      </c>
      <c r="K1363" s="59">
        <v>1</v>
      </c>
      <c r="L1363" s="59">
        <f t="shared" si="21"/>
        <v>2720</v>
      </c>
      <c r="M1363" s="59"/>
    </row>
    <row r="1364" spans="1:13" ht="30">
      <c r="A1364" s="56">
        <v>553</v>
      </c>
      <c r="B1364" s="56">
        <v>553</v>
      </c>
      <c r="C1364" s="56">
        <v>553</v>
      </c>
      <c r="D1364" s="56" t="s">
        <v>2015</v>
      </c>
      <c r="F1364" s="56" t="s">
        <v>1198</v>
      </c>
      <c r="G1364" s="56">
        <v>1</v>
      </c>
      <c r="H1364" s="56">
        <v>4</v>
      </c>
      <c r="I1364" s="56">
        <v>520</v>
      </c>
      <c r="J1364" s="59" t="s">
        <v>1181</v>
      </c>
      <c r="K1364" s="59">
        <v>1</v>
      </c>
      <c r="L1364" s="59">
        <f t="shared" si="21"/>
        <v>2080</v>
      </c>
      <c r="M1364" s="59"/>
    </row>
    <row r="1365" spans="1:13" ht="30">
      <c r="A1365" s="56">
        <v>564</v>
      </c>
      <c r="B1365" s="56">
        <v>564</v>
      </c>
      <c r="C1365" s="56">
        <v>564</v>
      </c>
      <c r="D1365" s="56" t="s">
        <v>64</v>
      </c>
      <c r="F1365" s="56" t="s">
        <v>24</v>
      </c>
      <c r="G1365" s="56">
        <v>1</v>
      </c>
      <c r="H1365" s="56">
        <v>4</v>
      </c>
      <c r="I1365" s="56">
        <v>2500</v>
      </c>
      <c r="J1365" s="59" t="s">
        <v>1181</v>
      </c>
      <c r="K1365" s="59">
        <v>1</v>
      </c>
      <c r="L1365" s="59">
        <f t="shared" si="21"/>
        <v>10000</v>
      </c>
      <c r="M1365" s="59"/>
    </row>
    <row r="1366" spans="1:13" ht="30">
      <c r="A1366" s="56">
        <v>566</v>
      </c>
      <c r="B1366" s="56">
        <v>566</v>
      </c>
      <c r="C1366" s="56">
        <v>566</v>
      </c>
      <c r="D1366" s="56" t="s">
        <v>2025</v>
      </c>
      <c r="F1366" s="56" t="s">
        <v>24</v>
      </c>
      <c r="G1366" s="56">
        <v>1</v>
      </c>
      <c r="H1366" s="56">
        <v>4</v>
      </c>
      <c r="I1366" s="56">
        <v>1000</v>
      </c>
      <c r="J1366" s="59" t="s">
        <v>1181</v>
      </c>
      <c r="K1366" s="59">
        <v>1</v>
      </c>
      <c r="L1366" s="59">
        <f t="shared" si="21"/>
        <v>4000</v>
      </c>
      <c r="M1366" s="59"/>
    </row>
    <row r="1367" spans="1:13" ht="30">
      <c r="A1367" s="56">
        <v>648</v>
      </c>
      <c r="B1367" s="56">
        <v>648</v>
      </c>
      <c r="C1367" s="56">
        <v>648</v>
      </c>
      <c r="D1367" s="56" t="s">
        <v>2092</v>
      </c>
      <c r="F1367" s="56" t="s">
        <v>24</v>
      </c>
      <c r="G1367" s="56">
        <v>1</v>
      </c>
      <c r="H1367" s="56">
        <v>4</v>
      </c>
      <c r="I1367" s="56">
        <v>250</v>
      </c>
      <c r="J1367" s="59" t="s">
        <v>1181</v>
      </c>
      <c r="K1367" s="59">
        <v>1</v>
      </c>
      <c r="L1367" s="59">
        <f t="shared" si="21"/>
        <v>1000</v>
      </c>
      <c r="M1367" s="59"/>
    </row>
    <row r="1368" spans="1:13" ht="30">
      <c r="A1368" s="56">
        <v>652</v>
      </c>
      <c r="B1368" s="56">
        <v>652</v>
      </c>
      <c r="C1368" s="56">
        <v>652</v>
      </c>
      <c r="D1368" s="56" t="s">
        <v>2096</v>
      </c>
      <c r="F1368" s="56" t="s">
        <v>24</v>
      </c>
      <c r="G1368" s="56">
        <v>1</v>
      </c>
      <c r="H1368" s="56">
        <v>4</v>
      </c>
      <c r="I1368" s="56">
        <v>117</v>
      </c>
      <c r="J1368" s="59" t="s">
        <v>1181</v>
      </c>
      <c r="K1368" s="59">
        <v>1</v>
      </c>
      <c r="L1368" s="59">
        <f t="shared" si="21"/>
        <v>468</v>
      </c>
      <c r="M1368" s="59"/>
    </row>
    <row r="1369" spans="1:13" ht="30">
      <c r="A1369" s="56">
        <v>657</v>
      </c>
      <c r="B1369" s="56">
        <v>657</v>
      </c>
      <c r="C1369" s="56">
        <v>657</v>
      </c>
      <c r="D1369" s="56" t="s">
        <v>2101</v>
      </c>
      <c r="F1369" s="56" t="s">
        <v>24</v>
      </c>
      <c r="G1369" s="56">
        <v>1</v>
      </c>
      <c r="H1369" s="56">
        <v>4</v>
      </c>
      <c r="I1369" s="56">
        <v>400</v>
      </c>
      <c r="J1369" s="59" t="s">
        <v>1181</v>
      </c>
      <c r="K1369" s="59">
        <v>1</v>
      </c>
      <c r="L1369" s="59">
        <f t="shared" si="21"/>
        <v>1600</v>
      </c>
      <c r="M1369" s="59"/>
    </row>
    <row r="1370" spans="1:13" ht="30">
      <c r="A1370" s="56">
        <v>666</v>
      </c>
      <c r="B1370" s="56">
        <v>666</v>
      </c>
      <c r="C1370" s="56">
        <v>666</v>
      </c>
      <c r="D1370" s="56" t="s">
        <v>2110</v>
      </c>
      <c r="F1370" s="56" t="s">
        <v>24</v>
      </c>
      <c r="G1370" s="56">
        <v>1</v>
      </c>
      <c r="H1370" s="56">
        <v>4</v>
      </c>
      <c r="I1370" s="56">
        <v>650</v>
      </c>
      <c r="J1370" s="59" t="s">
        <v>1181</v>
      </c>
      <c r="K1370" s="59">
        <v>1</v>
      </c>
      <c r="L1370" s="59">
        <f t="shared" si="21"/>
        <v>2600</v>
      </c>
      <c r="M1370" s="59"/>
    </row>
    <row r="1371" spans="1:13" ht="30">
      <c r="A1371" s="56">
        <v>673</v>
      </c>
      <c r="B1371" s="56">
        <v>673</v>
      </c>
      <c r="C1371" s="56">
        <v>673</v>
      </c>
      <c r="D1371" s="56" t="s">
        <v>2117</v>
      </c>
      <c r="F1371" s="56" t="s">
        <v>24</v>
      </c>
      <c r="G1371" s="56">
        <v>1</v>
      </c>
      <c r="H1371" s="56">
        <v>4</v>
      </c>
      <c r="I1371" s="56">
        <v>2480</v>
      </c>
      <c r="J1371" s="59" t="s">
        <v>1181</v>
      </c>
      <c r="K1371" s="59">
        <v>1</v>
      </c>
      <c r="L1371" s="59">
        <f t="shared" si="21"/>
        <v>9920</v>
      </c>
      <c r="M1371" s="59"/>
    </row>
    <row r="1372" spans="1:13" ht="30">
      <c r="A1372" s="56">
        <v>713</v>
      </c>
      <c r="B1372" s="56">
        <v>713</v>
      </c>
      <c r="C1372" s="56">
        <v>713</v>
      </c>
      <c r="D1372" s="56" t="s">
        <v>2156</v>
      </c>
      <c r="F1372" s="56" t="s">
        <v>24</v>
      </c>
      <c r="G1372" s="56">
        <v>1</v>
      </c>
      <c r="H1372" s="56">
        <v>4</v>
      </c>
      <c r="I1372" s="56">
        <v>3500</v>
      </c>
      <c r="J1372" s="59" t="s">
        <v>1181</v>
      </c>
      <c r="K1372" s="59">
        <v>1</v>
      </c>
      <c r="L1372" s="59">
        <f t="shared" si="21"/>
        <v>14000</v>
      </c>
      <c r="M1372" s="59"/>
    </row>
    <row r="1373" spans="1:13" ht="30">
      <c r="A1373" s="56">
        <v>717</v>
      </c>
      <c r="B1373" s="56">
        <v>717</v>
      </c>
      <c r="C1373" s="56">
        <v>717</v>
      </c>
      <c r="D1373" s="56" t="s">
        <v>2160</v>
      </c>
      <c r="F1373" s="56" t="s">
        <v>24</v>
      </c>
      <c r="G1373" s="56">
        <v>1</v>
      </c>
      <c r="H1373" s="56">
        <v>4</v>
      </c>
      <c r="I1373" s="56">
        <v>2250</v>
      </c>
      <c r="J1373" s="59" t="s">
        <v>1181</v>
      </c>
      <c r="K1373" s="59">
        <v>1</v>
      </c>
      <c r="L1373" s="59">
        <f t="shared" si="21"/>
        <v>9000</v>
      </c>
      <c r="M1373" s="59"/>
    </row>
    <row r="1374" spans="1:13" ht="30">
      <c r="A1374" s="56">
        <v>743</v>
      </c>
      <c r="B1374" s="56">
        <v>743</v>
      </c>
      <c r="C1374" s="56">
        <v>743</v>
      </c>
      <c r="D1374" s="56" t="s">
        <v>2186</v>
      </c>
      <c r="F1374" s="56" t="s">
        <v>24</v>
      </c>
      <c r="G1374" s="56">
        <v>1</v>
      </c>
      <c r="H1374" s="56">
        <v>4</v>
      </c>
      <c r="I1374" s="56">
        <v>1500</v>
      </c>
      <c r="J1374" s="59" t="s">
        <v>1181</v>
      </c>
      <c r="K1374" s="59">
        <v>1</v>
      </c>
      <c r="L1374" s="59">
        <f t="shared" si="21"/>
        <v>6000</v>
      </c>
      <c r="M1374" s="59"/>
    </row>
    <row r="1375" spans="1:13" ht="30">
      <c r="A1375" s="56">
        <v>770</v>
      </c>
      <c r="B1375" s="56">
        <v>770</v>
      </c>
      <c r="C1375" s="56">
        <v>770</v>
      </c>
      <c r="D1375" s="56" t="s">
        <v>2212</v>
      </c>
      <c r="F1375" s="56" t="s">
        <v>24</v>
      </c>
      <c r="G1375" s="56">
        <v>1</v>
      </c>
      <c r="H1375" s="56">
        <v>4</v>
      </c>
      <c r="I1375" s="56">
        <v>900</v>
      </c>
      <c r="J1375" s="59" t="s">
        <v>1181</v>
      </c>
      <c r="K1375" s="59">
        <v>1</v>
      </c>
      <c r="L1375" s="59">
        <f t="shared" si="21"/>
        <v>3600</v>
      </c>
      <c r="M1375" s="59"/>
    </row>
    <row r="1376" spans="1:13" ht="30">
      <c r="A1376" s="56">
        <v>771</v>
      </c>
      <c r="B1376" s="56">
        <v>771</v>
      </c>
      <c r="C1376" s="56">
        <v>771</v>
      </c>
      <c r="D1376" s="56" t="s">
        <v>2213</v>
      </c>
      <c r="F1376" s="56" t="s">
        <v>24</v>
      </c>
      <c r="G1376" s="56">
        <v>1</v>
      </c>
      <c r="H1376" s="56">
        <v>4</v>
      </c>
      <c r="I1376" s="56">
        <v>950</v>
      </c>
      <c r="J1376" s="59" t="s">
        <v>1181</v>
      </c>
      <c r="K1376" s="59">
        <v>1</v>
      </c>
      <c r="L1376" s="59">
        <f t="shared" si="21"/>
        <v>3800</v>
      </c>
      <c r="M1376" s="59"/>
    </row>
    <row r="1377" spans="1:14" ht="30">
      <c r="A1377" s="56">
        <v>777</v>
      </c>
      <c r="B1377" s="56">
        <v>777</v>
      </c>
      <c r="C1377" s="56">
        <v>777</v>
      </c>
      <c r="D1377" s="56" t="s">
        <v>2218</v>
      </c>
      <c r="F1377" s="56" t="s">
        <v>24</v>
      </c>
      <c r="G1377" s="56">
        <v>1</v>
      </c>
      <c r="H1377" s="56">
        <v>4</v>
      </c>
      <c r="I1377" s="56">
        <v>600</v>
      </c>
      <c r="J1377" s="59" t="s">
        <v>1181</v>
      </c>
      <c r="K1377" s="59">
        <v>1</v>
      </c>
      <c r="L1377" s="59">
        <f t="shared" si="21"/>
        <v>2400</v>
      </c>
      <c r="M1377" s="59"/>
    </row>
    <row r="1378" spans="1:14" ht="30">
      <c r="A1378" s="56">
        <v>800</v>
      </c>
      <c r="B1378" s="56">
        <v>800</v>
      </c>
      <c r="C1378" s="56">
        <v>800</v>
      </c>
      <c r="D1378" s="56" t="s">
        <v>2219</v>
      </c>
      <c r="F1378" s="56" t="s">
        <v>24</v>
      </c>
      <c r="G1378" s="56">
        <v>1</v>
      </c>
      <c r="H1378" s="56">
        <v>4</v>
      </c>
      <c r="I1378" s="56">
        <v>60.3</v>
      </c>
      <c r="J1378" s="59" t="s">
        <v>1181</v>
      </c>
      <c r="K1378" s="59">
        <v>1</v>
      </c>
      <c r="L1378" s="59">
        <f t="shared" si="21"/>
        <v>241.2</v>
      </c>
      <c r="M1378" s="59"/>
    </row>
    <row r="1379" spans="1:14" ht="30">
      <c r="A1379" s="56">
        <v>834</v>
      </c>
      <c r="B1379" s="56">
        <v>834</v>
      </c>
      <c r="C1379" s="56">
        <v>834</v>
      </c>
      <c r="D1379" s="56" t="s">
        <v>1500</v>
      </c>
      <c r="F1379" s="58" t="s">
        <v>24</v>
      </c>
      <c r="G1379" s="58">
        <v>1</v>
      </c>
      <c r="H1379" s="58">
        <v>4</v>
      </c>
      <c r="I1379" s="56">
        <v>280</v>
      </c>
      <c r="J1379" s="59" t="s">
        <v>1181</v>
      </c>
      <c r="K1379" s="59">
        <v>1</v>
      </c>
      <c r="L1379" s="59">
        <f t="shared" si="21"/>
        <v>1120</v>
      </c>
      <c r="M1379" s="59"/>
      <c r="N1379" s="58"/>
    </row>
    <row r="1380" spans="1:14" ht="30">
      <c r="A1380" s="56">
        <v>895</v>
      </c>
      <c r="B1380" s="56">
        <v>895</v>
      </c>
      <c r="C1380" s="56">
        <v>895</v>
      </c>
      <c r="D1380" s="56" t="s">
        <v>2238</v>
      </c>
      <c r="F1380" s="56" t="s">
        <v>24</v>
      </c>
      <c r="G1380" s="56">
        <v>1</v>
      </c>
      <c r="H1380" s="56">
        <v>4</v>
      </c>
      <c r="I1380" s="56">
        <v>180</v>
      </c>
      <c r="J1380" s="59" t="s">
        <v>1181</v>
      </c>
      <c r="K1380" s="59">
        <v>1</v>
      </c>
      <c r="L1380" s="59">
        <f t="shared" si="21"/>
        <v>720</v>
      </c>
      <c r="M1380" s="59"/>
    </row>
    <row r="1381" spans="1:14" ht="30">
      <c r="A1381" s="56">
        <v>952</v>
      </c>
      <c r="B1381" s="56">
        <v>952</v>
      </c>
      <c r="C1381" s="56">
        <v>952</v>
      </c>
      <c r="D1381" s="56" t="s">
        <v>2266</v>
      </c>
      <c r="F1381" s="56" t="s">
        <v>24</v>
      </c>
      <c r="G1381" s="56">
        <v>1</v>
      </c>
      <c r="H1381" s="56">
        <v>4</v>
      </c>
      <c r="I1381" s="56">
        <v>200</v>
      </c>
      <c r="J1381" s="59" t="s">
        <v>1181</v>
      </c>
      <c r="K1381" s="59">
        <v>1</v>
      </c>
      <c r="L1381" s="59">
        <f t="shared" si="21"/>
        <v>800</v>
      </c>
      <c r="M1381" s="59"/>
    </row>
    <row r="1382" spans="1:14" ht="30">
      <c r="A1382" s="56">
        <v>955</v>
      </c>
      <c r="B1382" s="56">
        <v>955</v>
      </c>
      <c r="C1382" s="56">
        <v>955</v>
      </c>
      <c r="D1382" s="56" t="s">
        <v>2269</v>
      </c>
      <c r="F1382" s="56" t="s">
        <v>24</v>
      </c>
      <c r="G1382" s="56">
        <v>1</v>
      </c>
      <c r="H1382" s="56">
        <v>4</v>
      </c>
      <c r="I1382" s="56">
        <v>90</v>
      </c>
      <c r="J1382" s="59" t="s">
        <v>1181</v>
      </c>
      <c r="K1382" s="59">
        <v>1</v>
      </c>
      <c r="L1382" s="59">
        <f t="shared" si="21"/>
        <v>360</v>
      </c>
      <c r="M1382" s="59"/>
    </row>
    <row r="1383" spans="1:14" ht="30">
      <c r="A1383" s="56">
        <v>984</v>
      </c>
      <c r="B1383" s="56">
        <v>984</v>
      </c>
      <c r="C1383" s="56">
        <v>984</v>
      </c>
      <c r="D1383" s="56" t="s">
        <v>1394</v>
      </c>
      <c r="F1383" s="58" t="s">
        <v>24</v>
      </c>
      <c r="G1383" s="58">
        <v>1</v>
      </c>
      <c r="H1383" s="58">
        <v>4</v>
      </c>
      <c r="I1383" s="56">
        <v>187</v>
      </c>
      <c r="J1383" s="59" t="s">
        <v>1181</v>
      </c>
      <c r="K1383" s="59">
        <v>1</v>
      </c>
      <c r="L1383" s="59">
        <f t="shared" si="21"/>
        <v>748</v>
      </c>
      <c r="M1383" s="59"/>
      <c r="N1383" s="58"/>
    </row>
    <row r="1384" spans="1:14" ht="30">
      <c r="A1384" s="56">
        <v>985</v>
      </c>
      <c r="B1384" s="56">
        <v>985</v>
      </c>
      <c r="C1384" s="56">
        <v>985</v>
      </c>
      <c r="D1384" s="56" t="s">
        <v>2283</v>
      </c>
      <c r="F1384" s="56" t="s">
        <v>24</v>
      </c>
      <c r="G1384" s="56">
        <v>1</v>
      </c>
      <c r="H1384" s="56">
        <v>4</v>
      </c>
      <c r="I1384" s="56">
        <v>86</v>
      </c>
      <c r="J1384" s="59" t="s">
        <v>1181</v>
      </c>
      <c r="K1384" s="59">
        <v>1</v>
      </c>
      <c r="L1384" s="59">
        <f t="shared" si="21"/>
        <v>344</v>
      </c>
      <c r="M1384" s="59"/>
    </row>
    <row r="1385" spans="1:14" ht="30">
      <c r="A1385" s="56">
        <v>1012</v>
      </c>
      <c r="B1385" s="56">
        <v>1012</v>
      </c>
      <c r="C1385" s="56">
        <v>1012</v>
      </c>
      <c r="D1385" s="56" t="s">
        <v>2304</v>
      </c>
      <c r="F1385" s="56" t="s">
        <v>24</v>
      </c>
      <c r="G1385" s="56">
        <v>1</v>
      </c>
      <c r="H1385" s="56">
        <v>4</v>
      </c>
      <c r="I1385" s="56">
        <v>550</v>
      </c>
      <c r="J1385" s="59" t="s">
        <v>1181</v>
      </c>
      <c r="K1385" s="59">
        <v>1</v>
      </c>
      <c r="L1385" s="59">
        <f t="shared" si="21"/>
        <v>2200</v>
      </c>
      <c r="M1385" s="59"/>
    </row>
    <row r="1386" spans="1:14" ht="30">
      <c r="A1386" s="56">
        <v>1015</v>
      </c>
      <c r="B1386" s="56">
        <v>1015</v>
      </c>
      <c r="C1386" s="56">
        <v>1015</v>
      </c>
      <c r="D1386" s="56" t="s">
        <v>2307</v>
      </c>
      <c r="F1386" s="56" t="s">
        <v>24</v>
      </c>
      <c r="G1386" s="56">
        <v>1</v>
      </c>
      <c r="H1386" s="56">
        <v>4</v>
      </c>
      <c r="I1386" s="56">
        <v>230</v>
      </c>
      <c r="J1386" s="59" t="s">
        <v>1181</v>
      </c>
      <c r="K1386" s="59">
        <v>1</v>
      </c>
      <c r="L1386" s="59">
        <f t="shared" si="21"/>
        <v>920</v>
      </c>
      <c r="M1386" s="59"/>
    </row>
    <row r="1387" spans="1:14" ht="30">
      <c r="A1387" s="56">
        <v>1045</v>
      </c>
      <c r="B1387" s="56">
        <v>1045</v>
      </c>
      <c r="C1387" s="56">
        <v>1045</v>
      </c>
      <c r="D1387" s="56" t="s">
        <v>2334</v>
      </c>
      <c r="F1387" s="56" t="s">
        <v>24</v>
      </c>
      <c r="G1387" s="56">
        <v>1</v>
      </c>
      <c r="H1387" s="56">
        <v>4</v>
      </c>
      <c r="I1387" s="56">
        <v>800</v>
      </c>
      <c r="J1387" s="59" t="s">
        <v>1181</v>
      </c>
      <c r="K1387" s="59">
        <v>1</v>
      </c>
      <c r="L1387" s="59">
        <f t="shared" si="21"/>
        <v>3200</v>
      </c>
      <c r="M1387" s="59"/>
    </row>
    <row r="1388" spans="1:14" ht="30">
      <c r="A1388" s="56">
        <v>1047</v>
      </c>
      <c r="B1388" s="56">
        <v>1047</v>
      </c>
      <c r="C1388" s="56">
        <v>1047</v>
      </c>
      <c r="D1388" s="56" t="s">
        <v>2335</v>
      </c>
      <c r="F1388" s="56" t="s">
        <v>24</v>
      </c>
      <c r="G1388" s="56">
        <v>1</v>
      </c>
      <c r="H1388" s="56">
        <v>4</v>
      </c>
      <c r="I1388" s="56">
        <v>600</v>
      </c>
      <c r="J1388" s="59" t="s">
        <v>1181</v>
      </c>
      <c r="K1388" s="59">
        <v>1</v>
      </c>
      <c r="L1388" s="59">
        <f t="shared" si="21"/>
        <v>2400</v>
      </c>
      <c r="M1388" s="59"/>
    </row>
    <row r="1389" spans="1:14" ht="30">
      <c r="A1389" s="56">
        <v>1084</v>
      </c>
      <c r="B1389" s="56">
        <v>1084</v>
      </c>
      <c r="C1389" s="56">
        <v>1084</v>
      </c>
      <c r="D1389" s="56" t="s">
        <v>2359</v>
      </c>
      <c r="F1389" s="56" t="s">
        <v>24</v>
      </c>
      <c r="G1389" s="56">
        <v>1</v>
      </c>
      <c r="H1389" s="56">
        <v>4</v>
      </c>
      <c r="I1389" s="56">
        <v>85</v>
      </c>
      <c r="J1389" s="59" t="s">
        <v>1181</v>
      </c>
      <c r="K1389" s="59">
        <v>1</v>
      </c>
      <c r="L1389" s="59">
        <f t="shared" si="21"/>
        <v>340</v>
      </c>
      <c r="M1389" s="59"/>
    </row>
    <row r="1390" spans="1:14" ht="30">
      <c r="A1390" s="56">
        <v>1095</v>
      </c>
      <c r="B1390" s="56">
        <v>1095</v>
      </c>
      <c r="C1390" s="56">
        <v>1095</v>
      </c>
      <c r="D1390" s="56" t="s">
        <v>1411</v>
      </c>
      <c r="F1390" s="58" t="s">
        <v>24</v>
      </c>
      <c r="G1390" s="58">
        <v>1</v>
      </c>
      <c r="H1390" s="58">
        <v>4</v>
      </c>
      <c r="I1390" s="56">
        <v>150</v>
      </c>
      <c r="J1390" s="59" t="s">
        <v>1181</v>
      </c>
      <c r="K1390" s="59">
        <v>1</v>
      </c>
      <c r="L1390" s="59">
        <f t="shared" si="21"/>
        <v>600</v>
      </c>
      <c r="M1390" s="59"/>
      <c r="N1390" s="58"/>
    </row>
    <row r="1391" spans="1:14" ht="30">
      <c r="A1391" s="56">
        <v>1122</v>
      </c>
      <c r="B1391" s="56">
        <v>1122</v>
      </c>
      <c r="C1391" s="56">
        <v>1122</v>
      </c>
      <c r="D1391" s="56" t="s">
        <v>2389</v>
      </c>
      <c r="F1391" s="56" t="s">
        <v>24</v>
      </c>
      <c r="G1391" s="56">
        <v>1</v>
      </c>
      <c r="H1391" s="56">
        <v>4</v>
      </c>
      <c r="I1391" s="56">
        <v>900</v>
      </c>
      <c r="J1391" s="59" t="s">
        <v>1181</v>
      </c>
      <c r="K1391" s="59">
        <v>1</v>
      </c>
      <c r="L1391" s="59">
        <f t="shared" si="21"/>
        <v>3600</v>
      </c>
      <c r="M1391" s="59"/>
    </row>
    <row r="1392" spans="1:14" ht="30">
      <c r="A1392" s="56">
        <v>1125</v>
      </c>
      <c r="B1392" s="56">
        <v>1125</v>
      </c>
      <c r="C1392" s="56">
        <v>1125</v>
      </c>
      <c r="D1392" s="56" t="s">
        <v>2392</v>
      </c>
      <c r="F1392" s="56" t="s">
        <v>24</v>
      </c>
      <c r="G1392" s="56">
        <v>1</v>
      </c>
      <c r="H1392" s="56">
        <v>4</v>
      </c>
      <c r="I1392" s="56">
        <v>1450</v>
      </c>
      <c r="J1392" s="59" t="s">
        <v>1181</v>
      </c>
      <c r="K1392" s="59">
        <v>1</v>
      </c>
      <c r="L1392" s="59">
        <f t="shared" si="21"/>
        <v>5800</v>
      </c>
      <c r="M1392" s="59"/>
    </row>
    <row r="1393" spans="1:14" ht="30">
      <c r="A1393" s="56">
        <v>1131</v>
      </c>
      <c r="B1393" s="56">
        <v>1131</v>
      </c>
      <c r="C1393" s="56">
        <v>1131</v>
      </c>
      <c r="D1393" s="56" t="s">
        <v>2398</v>
      </c>
      <c r="F1393" s="56" t="s">
        <v>24</v>
      </c>
      <c r="G1393" s="56">
        <v>1</v>
      </c>
      <c r="H1393" s="56">
        <v>4</v>
      </c>
      <c r="I1393" s="56">
        <v>800</v>
      </c>
      <c r="J1393" s="59" t="s">
        <v>1181</v>
      </c>
      <c r="K1393" s="59">
        <v>1</v>
      </c>
      <c r="L1393" s="59">
        <f t="shared" si="21"/>
        <v>3200</v>
      </c>
      <c r="M1393" s="59"/>
    </row>
    <row r="1394" spans="1:14" ht="30">
      <c r="A1394" s="56">
        <v>1137</v>
      </c>
      <c r="B1394" s="56">
        <v>1137</v>
      </c>
      <c r="C1394" s="56">
        <v>1137</v>
      </c>
      <c r="D1394" s="56" t="s">
        <v>2402</v>
      </c>
      <c r="F1394" s="56" t="s">
        <v>24</v>
      </c>
      <c r="G1394" s="56">
        <v>1</v>
      </c>
      <c r="H1394" s="56">
        <v>4</v>
      </c>
      <c r="I1394" s="56">
        <v>270</v>
      </c>
      <c r="J1394" s="59" t="s">
        <v>1181</v>
      </c>
      <c r="K1394" s="59">
        <v>1</v>
      </c>
      <c r="L1394" s="59">
        <f t="shared" si="21"/>
        <v>1080</v>
      </c>
      <c r="M1394" s="59"/>
    </row>
    <row r="1395" spans="1:14" ht="30">
      <c r="A1395" s="56">
        <v>1178</v>
      </c>
      <c r="B1395" s="56">
        <v>1178</v>
      </c>
      <c r="C1395" s="56">
        <v>1178</v>
      </c>
      <c r="D1395" s="56" t="s">
        <v>2431</v>
      </c>
      <c r="F1395" s="56" t="s">
        <v>24</v>
      </c>
      <c r="G1395" s="56">
        <v>1</v>
      </c>
      <c r="H1395" s="56">
        <v>4</v>
      </c>
      <c r="I1395" s="56">
        <v>178</v>
      </c>
      <c r="J1395" s="59" t="s">
        <v>1181</v>
      </c>
      <c r="K1395" s="59">
        <v>1</v>
      </c>
      <c r="L1395" s="59">
        <f t="shared" si="21"/>
        <v>712</v>
      </c>
      <c r="M1395" s="59"/>
    </row>
    <row r="1396" spans="1:14" ht="30">
      <c r="A1396" s="56">
        <v>1207</v>
      </c>
      <c r="B1396" s="56">
        <v>1207</v>
      </c>
      <c r="C1396" s="56">
        <v>1207</v>
      </c>
      <c r="D1396" s="56" t="s">
        <v>2455</v>
      </c>
      <c r="F1396" s="56" t="s">
        <v>24</v>
      </c>
      <c r="G1396" s="56">
        <v>1</v>
      </c>
      <c r="H1396" s="56">
        <v>4</v>
      </c>
      <c r="I1396" s="56">
        <v>57.1</v>
      </c>
      <c r="J1396" s="59" t="s">
        <v>1181</v>
      </c>
      <c r="K1396" s="59">
        <v>1</v>
      </c>
      <c r="L1396" s="59">
        <f t="shared" si="21"/>
        <v>228.4</v>
      </c>
      <c r="M1396" s="59"/>
    </row>
    <row r="1397" spans="1:14" ht="30">
      <c r="A1397" s="56">
        <v>1221</v>
      </c>
      <c r="B1397" s="56">
        <v>1221</v>
      </c>
      <c r="C1397" s="56">
        <v>1221</v>
      </c>
      <c r="D1397" s="56" t="s">
        <v>2468</v>
      </c>
      <c r="F1397" s="56" t="s">
        <v>24</v>
      </c>
      <c r="G1397" s="56">
        <v>1</v>
      </c>
      <c r="H1397" s="56">
        <v>4</v>
      </c>
      <c r="I1397" s="56">
        <v>400</v>
      </c>
      <c r="J1397" s="59" t="s">
        <v>1181</v>
      </c>
      <c r="K1397" s="59">
        <v>1</v>
      </c>
      <c r="L1397" s="59">
        <f t="shared" si="21"/>
        <v>1600</v>
      </c>
      <c r="M1397" s="59"/>
    </row>
    <row r="1398" spans="1:14" ht="30">
      <c r="A1398" s="56">
        <v>1227</v>
      </c>
      <c r="B1398" s="56">
        <v>1227</v>
      </c>
      <c r="C1398" s="56">
        <v>1227</v>
      </c>
      <c r="D1398" s="56" t="s">
        <v>1424</v>
      </c>
      <c r="F1398" s="58" t="s">
        <v>24</v>
      </c>
      <c r="G1398" s="58">
        <v>1</v>
      </c>
      <c r="H1398" s="58">
        <v>4</v>
      </c>
      <c r="I1398" s="56">
        <v>191.7</v>
      </c>
      <c r="J1398" s="59" t="s">
        <v>1181</v>
      </c>
      <c r="K1398" s="59">
        <v>1</v>
      </c>
      <c r="L1398" s="59">
        <f t="shared" si="21"/>
        <v>766.8</v>
      </c>
      <c r="M1398" s="59"/>
      <c r="N1398" s="58"/>
    </row>
    <row r="1399" spans="1:14" ht="30">
      <c r="A1399" s="56">
        <v>1266</v>
      </c>
      <c r="B1399" s="56">
        <v>1266</v>
      </c>
      <c r="C1399" s="56">
        <v>1266</v>
      </c>
      <c r="D1399" s="56" t="s">
        <v>2491</v>
      </c>
      <c r="F1399" s="56" t="s">
        <v>24</v>
      </c>
      <c r="G1399" s="56">
        <v>1</v>
      </c>
      <c r="H1399" s="56">
        <v>4</v>
      </c>
      <c r="I1399" s="56">
        <v>780</v>
      </c>
      <c r="J1399" s="59" t="s">
        <v>1181</v>
      </c>
      <c r="K1399" s="59">
        <v>1</v>
      </c>
      <c r="L1399" s="59">
        <f t="shared" si="21"/>
        <v>3120</v>
      </c>
      <c r="M1399" s="59"/>
    </row>
    <row r="1400" spans="1:14" ht="30">
      <c r="A1400" s="56">
        <v>1279</v>
      </c>
      <c r="B1400" s="56">
        <v>1279</v>
      </c>
      <c r="C1400" s="56">
        <v>1279</v>
      </c>
      <c r="D1400" s="56" t="s">
        <v>2504</v>
      </c>
      <c r="F1400" s="56" t="s">
        <v>24</v>
      </c>
      <c r="G1400" s="56">
        <v>1</v>
      </c>
      <c r="H1400" s="56">
        <v>4</v>
      </c>
      <c r="I1400" s="56">
        <v>500</v>
      </c>
      <c r="J1400" s="59" t="s">
        <v>1181</v>
      </c>
      <c r="K1400" s="59">
        <v>1</v>
      </c>
      <c r="L1400" s="59">
        <f t="shared" si="21"/>
        <v>2000</v>
      </c>
      <c r="M1400" s="59"/>
    </row>
    <row r="1401" spans="1:14" ht="30">
      <c r="A1401" s="56">
        <v>1288</v>
      </c>
      <c r="B1401" s="56">
        <v>1288</v>
      </c>
      <c r="C1401" s="56">
        <v>1288</v>
      </c>
      <c r="D1401" s="56" t="s">
        <v>2513</v>
      </c>
      <c r="F1401" s="56" t="s">
        <v>24</v>
      </c>
      <c r="G1401" s="56">
        <v>1</v>
      </c>
      <c r="H1401" s="56">
        <v>4</v>
      </c>
      <c r="I1401" s="56">
        <v>450</v>
      </c>
      <c r="J1401" s="59" t="s">
        <v>1181</v>
      </c>
      <c r="K1401" s="59">
        <v>1</v>
      </c>
      <c r="L1401" s="59">
        <f t="shared" si="21"/>
        <v>1800</v>
      </c>
      <c r="M1401" s="59"/>
    </row>
    <row r="1402" spans="1:14" ht="30">
      <c r="A1402" s="56">
        <v>1289</v>
      </c>
      <c r="B1402" s="56">
        <v>1289</v>
      </c>
      <c r="C1402" s="56">
        <v>1289</v>
      </c>
      <c r="D1402" s="56" t="s">
        <v>2514</v>
      </c>
      <c r="F1402" s="56" t="s">
        <v>24</v>
      </c>
      <c r="G1402" s="56">
        <v>1</v>
      </c>
      <c r="H1402" s="56">
        <v>4</v>
      </c>
      <c r="I1402" s="56">
        <v>450</v>
      </c>
      <c r="J1402" s="59" t="s">
        <v>1181</v>
      </c>
      <c r="K1402" s="59">
        <v>1</v>
      </c>
      <c r="L1402" s="59">
        <f t="shared" si="21"/>
        <v>1800</v>
      </c>
      <c r="M1402" s="59"/>
    </row>
    <row r="1403" spans="1:14" ht="30">
      <c r="A1403" s="56">
        <v>1308</v>
      </c>
      <c r="B1403" s="56">
        <v>1308</v>
      </c>
      <c r="C1403" s="56">
        <v>1308</v>
      </c>
      <c r="D1403" s="56" t="s">
        <v>2532</v>
      </c>
      <c r="F1403" s="56" t="s">
        <v>24</v>
      </c>
      <c r="G1403" s="56">
        <v>1</v>
      </c>
      <c r="H1403" s="56">
        <v>4</v>
      </c>
      <c r="I1403" s="56">
        <v>200</v>
      </c>
      <c r="J1403" s="59" t="s">
        <v>1181</v>
      </c>
      <c r="K1403" s="59">
        <v>1</v>
      </c>
      <c r="L1403" s="59">
        <f t="shared" si="21"/>
        <v>800</v>
      </c>
      <c r="M1403" s="59"/>
    </row>
    <row r="1404" spans="1:14" ht="30">
      <c r="A1404" s="56">
        <v>1323</v>
      </c>
      <c r="B1404" s="56">
        <v>1323</v>
      </c>
      <c r="C1404" s="56">
        <v>1323</v>
      </c>
      <c r="D1404" s="56" t="s">
        <v>2546</v>
      </c>
      <c r="F1404" s="56" t="s">
        <v>24</v>
      </c>
      <c r="G1404" s="56">
        <v>1</v>
      </c>
      <c r="H1404" s="56">
        <v>4</v>
      </c>
      <c r="I1404" s="56">
        <v>300</v>
      </c>
      <c r="J1404" s="59" t="s">
        <v>1181</v>
      </c>
      <c r="K1404" s="59">
        <v>1</v>
      </c>
      <c r="L1404" s="59">
        <f t="shared" si="21"/>
        <v>1200</v>
      </c>
      <c r="M1404" s="59"/>
    </row>
    <row r="1405" spans="1:14" ht="30">
      <c r="A1405" s="56">
        <v>1325</v>
      </c>
      <c r="B1405" s="56">
        <v>1325</v>
      </c>
      <c r="C1405" s="56">
        <v>1325</v>
      </c>
      <c r="D1405" s="56" t="s">
        <v>2548</v>
      </c>
      <c r="F1405" s="56" t="s">
        <v>24</v>
      </c>
      <c r="G1405" s="56">
        <v>1</v>
      </c>
      <c r="H1405" s="56">
        <v>4</v>
      </c>
      <c r="I1405" s="56">
        <v>200</v>
      </c>
      <c r="J1405" s="59" t="s">
        <v>1181</v>
      </c>
      <c r="K1405" s="59">
        <v>1</v>
      </c>
      <c r="L1405" s="59">
        <f t="shared" si="21"/>
        <v>800</v>
      </c>
      <c r="M1405" s="59"/>
    </row>
    <row r="1406" spans="1:14" ht="30">
      <c r="A1406" s="56">
        <v>1333</v>
      </c>
      <c r="B1406" s="56">
        <v>1333</v>
      </c>
      <c r="C1406" s="56">
        <v>1333</v>
      </c>
      <c r="D1406" s="56" t="s">
        <v>2556</v>
      </c>
      <c r="F1406" s="56" t="s">
        <v>24</v>
      </c>
      <c r="G1406" s="56">
        <v>1</v>
      </c>
      <c r="H1406" s="56">
        <v>4</v>
      </c>
      <c r="I1406" s="56">
        <v>150</v>
      </c>
      <c r="J1406" s="59" t="s">
        <v>1181</v>
      </c>
      <c r="K1406" s="59">
        <v>1</v>
      </c>
      <c r="L1406" s="59">
        <f t="shared" si="21"/>
        <v>600</v>
      </c>
      <c r="M1406" s="59"/>
    </row>
    <row r="1407" spans="1:14" ht="30">
      <c r="A1407" s="56">
        <v>1358</v>
      </c>
      <c r="B1407" s="56">
        <v>1358</v>
      </c>
      <c r="C1407" s="56">
        <v>1358</v>
      </c>
      <c r="D1407" s="56" t="s">
        <v>2580</v>
      </c>
      <c r="F1407" s="56" t="s">
        <v>24</v>
      </c>
      <c r="G1407" s="56">
        <v>1</v>
      </c>
      <c r="H1407" s="56">
        <v>4</v>
      </c>
      <c r="I1407" s="56">
        <v>550</v>
      </c>
      <c r="J1407" s="59" t="s">
        <v>1181</v>
      </c>
      <c r="K1407" s="59">
        <v>1</v>
      </c>
      <c r="L1407" s="59">
        <f t="shared" si="21"/>
        <v>2200</v>
      </c>
      <c r="M1407" s="59"/>
    </row>
    <row r="1408" spans="1:14" ht="30">
      <c r="A1408" s="56">
        <v>1366</v>
      </c>
      <c r="B1408" s="56">
        <v>1366</v>
      </c>
      <c r="C1408" s="56">
        <v>1366</v>
      </c>
      <c r="D1408" s="56" t="s">
        <v>2587</v>
      </c>
      <c r="F1408" s="56" t="s">
        <v>24</v>
      </c>
      <c r="G1408" s="56">
        <v>1</v>
      </c>
      <c r="H1408" s="56">
        <v>4</v>
      </c>
      <c r="I1408" s="56">
        <v>200</v>
      </c>
      <c r="J1408" s="59" t="s">
        <v>1181</v>
      </c>
      <c r="K1408" s="59">
        <v>1</v>
      </c>
      <c r="L1408" s="59">
        <f t="shared" si="21"/>
        <v>800</v>
      </c>
      <c r="M1408" s="59"/>
    </row>
    <row r="1409" spans="1:13" ht="30">
      <c r="A1409" s="56">
        <v>1375</v>
      </c>
      <c r="B1409" s="56">
        <v>1375</v>
      </c>
      <c r="C1409" s="56">
        <v>1375</v>
      </c>
      <c r="D1409" s="56" t="s">
        <v>2589</v>
      </c>
      <c r="F1409" s="56" t="s">
        <v>24</v>
      </c>
      <c r="G1409" s="56">
        <v>1</v>
      </c>
      <c r="H1409" s="56">
        <v>4</v>
      </c>
      <c r="I1409" s="56">
        <v>540</v>
      </c>
      <c r="J1409" s="59" t="s">
        <v>1181</v>
      </c>
      <c r="K1409" s="59">
        <v>1</v>
      </c>
      <c r="L1409" s="59">
        <f t="shared" si="21"/>
        <v>2160</v>
      </c>
      <c r="M1409" s="59"/>
    </row>
    <row r="1410" spans="1:13" ht="30">
      <c r="A1410" s="56">
        <v>1390</v>
      </c>
      <c r="B1410" s="56">
        <v>1390</v>
      </c>
      <c r="C1410" s="56">
        <v>1390</v>
      </c>
      <c r="D1410" s="56" t="s">
        <v>2604</v>
      </c>
      <c r="F1410" s="56" t="s">
        <v>24</v>
      </c>
      <c r="G1410" s="56">
        <v>1</v>
      </c>
      <c r="H1410" s="56">
        <v>4</v>
      </c>
      <c r="I1410" s="56">
        <v>120</v>
      </c>
      <c r="J1410" s="59" t="s">
        <v>1181</v>
      </c>
      <c r="K1410" s="59">
        <v>1</v>
      </c>
      <c r="L1410" s="59">
        <f t="shared" ref="L1410:L1473" si="22">H1410*I1410</f>
        <v>480</v>
      </c>
      <c r="M1410" s="59"/>
    </row>
    <row r="1411" spans="1:13" ht="30">
      <c r="A1411" s="56">
        <v>1412</v>
      </c>
      <c r="B1411" s="56">
        <v>1412</v>
      </c>
      <c r="C1411" s="56">
        <v>1412</v>
      </c>
      <c r="D1411" s="56" t="s">
        <v>2623</v>
      </c>
      <c r="F1411" s="56" t="s">
        <v>24</v>
      </c>
      <c r="G1411" s="56">
        <v>1</v>
      </c>
      <c r="H1411" s="56">
        <v>4</v>
      </c>
      <c r="I1411" s="56">
        <v>500</v>
      </c>
      <c r="J1411" s="59" t="s">
        <v>1181</v>
      </c>
      <c r="K1411" s="59">
        <v>1</v>
      </c>
      <c r="L1411" s="59">
        <f t="shared" si="22"/>
        <v>2000</v>
      </c>
      <c r="M1411" s="59"/>
    </row>
    <row r="1412" spans="1:13" ht="30">
      <c r="A1412" s="56">
        <v>1445</v>
      </c>
      <c r="B1412" s="56">
        <v>1445</v>
      </c>
      <c r="C1412" s="56">
        <v>1445</v>
      </c>
      <c r="D1412" s="56" t="s">
        <v>2641</v>
      </c>
      <c r="F1412" s="56" t="s">
        <v>24</v>
      </c>
      <c r="G1412" s="56">
        <v>1</v>
      </c>
      <c r="H1412" s="56">
        <v>4</v>
      </c>
      <c r="I1412" s="56">
        <v>170</v>
      </c>
      <c r="J1412" s="59" t="s">
        <v>1181</v>
      </c>
      <c r="K1412" s="59">
        <v>1</v>
      </c>
      <c r="L1412" s="59">
        <f t="shared" si="22"/>
        <v>680</v>
      </c>
      <c r="M1412" s="59"/>
    </row>
    <row r="1413" spans="1:13" ht="30">
      <c r="A1413" s="56">
        <v>1461</v>
      </c>
      <c r="B1413" s="56">
        <v>1461</v>
      </c>
      <c r="C1413" s="56">
        <v>1461</v>
      </c>
      <c r="D1413" s="56" t="s">
        <v>2657</v>
      </c>
      <c r="F1413" s="56" t="s">
        <v>24</v>
      </c>
      <c r="G1413" s="56">
        <v>1</v>
      </c>
      <c r="H1413" s="56">
        <v>4</v>
      </c>
      <c r="I1413" s="56">
        <v>650</v>
      </c>
      <c r="J1413" s="59" t="s">
        <v>1181</v>
      </c>
      <c r="K1413" s="59">
        <v>1</v>
      </c>
      <c r="L1413" s="59">
        <f t="shared" si="22"/>
        <v>2600</v>
      </c>
      <c r="M1413" s="59"/>
    </row>
    <row r="1414" spans="1:13" ht="30">
      <c r="A1414" s="56">
        <v>1501</v>
      </c>
      <c r="B1414" s="56">
        <v>1501</v>
      </c>
      <c r="C1414" s="56">
        <v>1501</v>
      </c>
      <c r="D1414" s="56" t="s">
        <v>2692</v>
      </c>
      <c r="F1414" s="56" t="s">
        <v>24</v>
      </c>
      <c r="G1414" s="56">
        <v>1</v>
      </c>
      <c r="H1414" s="56">
        <v>4</v>
      </c>
      <c r="I1414" s="56">
        <v>550</v>
      </c>
      <c r="J1414" s="59" t="s">
        <v>1181</v>
      </c>
      <c r="K1414" s="59">
        <v>1</v>
      </c>
      <c r="L1414" s="59">
        <f t="shared" si="22"/>
        <v>2200</v>
      </c>
      <c r="M1414" s="59"/>
    </row>
    <row r="1415" spans="1:13" ht="30">
      <c r="A1415" s="56">
        <v>1507</v>
      </c>
      <c r="B1415" s="56">
        <v>1507</v>
      </c>
      <c r="C1415" s="56">
        <v>1507</v>
      </c>
      <c r="D1415" s="56" t="s">
        <v>2697</v>
      </c>
      <c r="F1415" s="56" t="s">
        <v>24</v>
      </c>
      <c r="G1415" s="56">
        <v>1</v>
      </c>
      <c r="H1415" s="56">
        <v>4</v>
      </c>
      <c r="I1415" s="56">
        <v>600</v>
      </c>
      <c r="J1415" s="59" t="s">
        <v>1181</v>
      </c>
      <c r="K1415" s="59">
        <v>1</v>
      </c>
      <c r="L1415" s="59">
        <f t="shared" si="22"/>
        <v>2400</v>
      </c>
      <c r="M1415" s="59"/>
    </row>
    <row r="1416" spans="1:13" ht="30">
      <c r="A1416" s="56">
        <v>1508</v>
      </c>
      <c r="B1416" s="56">
        <v>1508</v>
      </c>
      <c r="C1416" s="56">
        <v>1508</v>
      </c>
      <c r="D1416" s="56" t="s">
        <v>2698</v>
      </c>
      <c r="F1416" s="56" t="s">
        <v>24</v>
      </c>
      <c r="G1416" s="56">
        <v>1</v>
      </c>
      <c r="H1416" s="56">
        <v>4</v>
      </c>
      <c r="I1416" s="56">
        <v>600</v>
      </c>
      <c r="J1416" s="59" t="s">
        <v>1181</v>
      </c>
      <c r="K1416" s="59">
        <v>1</v>
      </c>
      <c r="L1416" s="59">
        <f t="shared" si="22"/>
        <v>2400</v>
      </c>
      <c r="M1416" s="59"/>
    </row>
    <row r="1417" spans="1:13" ht="30">
      <c r="A1417" s="56">
        <v>1520</v>
      </c>
      <c r="B1417" s="56">
        <v>1520</v>
      </c>
      <c r="C1417" s="56">
        <v>1520</v>
      </c>
      <c r="D1417" s="56" t="s">
        <v>2710</v>
      </c>
      <c r="F1417" s="56" t="s">
        <v>24</v>
      </c>
      <c r="G1417" s="56">
        <v>1</v>
      </c>
      <c r="H1417" s="56">
        <v>4</v>
      </c>
      <c r="I1417" s="56">
        <v>650</v>
      </c>
      <c r="J1417" s="59" t="s">
        <v>1181</v>
      </c>
      <c r="K1417" s="59">
        <v>1</v>
      </c>
      <c r="L1417" s="59">
        <f t="shared" si="22"/>
        <v>2600</v>
      </c>
      <c r="M1417" s="59"/>
    </row>
    <row r="1418" spans="1:13" ht="30">
      <c r="A1418" s="56">
        <v>1528</v>
      </c>
      <c r="B1418" s="56">
        <v>1528</v>
      </c>
      <c r="C1418" s="56">
        <v>1528</v>
      </c>
      <c r="D1418" s="56" t="s">
        <v>2718</v>
      </c>
      <c r="F1418" s="56" t="s">
        <v>24</v>
      </c>
      <c r="G1418" s="56">
        <v>1</v>
      </c>
      <c r="H1418" s="56">
        <v>4</v>
      </c>
      <c r="I1418" s="56">
        <v>600</v>
      </c>
      <c r="J1418" s="59" t="s">
        <v>1181</v>
      </c>
      <c r="K1418" s="59">
        <v>1</v>
      </c>
      <c r="L1418" s="59">
        <f t="shared" si="22"/>
        <v>2400</v>
      </c>
      <c r="M1418" s="59"/>
    </row>
    <row r="1419" spans="1:13" ht="30">
      <c r="A1419" s="56">
        <v>1544</v>
      </c>
      <c r="B1419" s="56">
        <v>1544</v>
      </c>
      <c r="C1419" s="56">
        <v>1544</v>
      </c>
      <c r="D1419" s="56" t="s">
        <v>2734</v>
      </c>
      <c r="F1419" s="56" t="s">
        <v>24</v>
      </c>
      <c r="G1419" s="56">
        <v>1</v>
      </c>
      <c r="H1419" s="56">
        <v>4</v>
      </c>
      <c r="I1419" s="56">
        <v>1100</v>
      </c>
      <c r="J1419" s="59" t="s">
        <v>1181</v>
      </c>
      <c r="K1419" s="59">
        <v>1</v>
      </c>
      <c r="L1419" s="59">
        <f t="shared" si="22"/>
        <v>4400</v>
      </c>
      <c r="M1419" s="59"/>
    </row>
    <row r="1420" spans="1:13" ht="30">
      <c r="A1420" s="56">
        <v>1553</v>
      </c>
      <c r="B1420" s="56">
        <v>1553</v>
      </c>
      <c r="C1420" s="56">
        <v>1553</v>
      </c>
      <c r="D1420" s="56" t="s">
        <v>2743</v>
      </c>
      <c r="F1420" s="56" t="s">
        <v>24</v>
      </c>
      <c r="G1420" s="56">
        <v>1</v>
      </c>
      <c r="H1420" s="56">
        <v>4</v>
      </c>
      <c r="I1420" s="56">
        <v>700</v>
      </c>
      <c r="J1420" s="59" t="s">
        <v>1181</v>
      </c>
      <c r="K1420" s="59">
        <v>1</v>
      </c>
      <c r="L1420" s="59">
        <f t="shared" si="22"/>
        <v>2800</v>
      </c>
      <c r="M1420" s="59"/>
    </row>
    <row r="1421" spans="1:13" ht="30">
      <c r="A1421" s="56">
        <v>1555</v>
      </c>
      <c r="B1421" s="56">
        <v>1555</v>
      </c>
      <c r="C1421" s="56">
        <v>1555</v>
      </c>
      <c r="D1421" s="56" t="s">
        <v>2745</v>
      </c>
      <c r="F1421" s="56" t="s">
        <v>24</v>
      </c>
      <c r="G1421" s="56">
        <v>1</v>
      </c>
      <c r="H1421" s="56">
        <v>4</v>
      </c>
      <c r="I1421" s="56">
        <v>1300</v>
      </c>
      <c r="J1421" s="59" t="s">
        <v>1181</v>
      </c>
      <c r="K1421" s="59">
        <v>1</v>
      </c>
      <c r="L1421" s="59">
        <f t="shared" si="22"/>
        <v>5200</v>
      </c>
      <c r="M1421" s="59"/>
    </row>
    <row r="1422" spans="1:13" ht="30">
      <c r="A1422" s="56">
        <v>1556</v>
      </c>
      <c r="B1422" s="56">
        <v>1556</v>
      </c>
      <c r="C1422" s="56">
        <v>1556</v>
      </c>
      <c r="D1422" s="56" t="s">
        <v>2746</v>
      </c>
      <c r="F1422" s="56" t="s">
        <v>24</v>
      </c>
      <c r="G1422" s="56">
        <v>1</v>
      </c>
      <c r="H1422" s="56">
        <v>4</v>
      </c>
      <c r="I1422" s="56">
        <v>600</v>
      </c>
      <c r="J1422" s="59" t="s">
        <v>1181</v>
      </c>
      <c r="K1422" s="59">
        <v>1</v>
      </c>
      <c r="L1422" s="59">
        <f t="shared" si="22"/>
        <v>2400</v>
      </c>
      <c r="M1422" s="59"/>
    </row>
    <row r="1423" spans="1:13" ht="30">
      <c r="A1423" s="56">
        <v>1591</v>
      </c>
      <c r="B1423" s="56">
        <v>1591</v>
      </c>
      <c r="C1423" s="56">
        <v>1591</v>
      </c>
      <c r="D1423" s="56" t="s">
        <v>2777</v>
      </c>
      <c r="F1423" s="56" t="s">
        <v>24</v>
      </c>
      <c r="G1423" s="56">
        <v>1</v>
      </c>
      <c r="H1423" s="56">
        <v>4</v>
      </c>
      <c r="I1423" s="56">
        <v>35</v>
      </c>
      <c r="J1423" s="59" t="s">
        <v>1181</v>
      </c>
      <c r="K1423" s="59">
        <v>1</v>
      </c>
      <c r="L1423" s="59">
        <f t="shared" si="22"/>
        <v>140</v>
      </c>
      <c r="M1423" s="59"/>
    </row>
    <row r="1424" spans="1:13" ht="30">
      <c r="A1424" s="56">
        <v>1637</v>
      </c>
      <c r="B1424" s="56">
        <v>1637</v>
      </c>
      <c r="C1424" s="56">
        <v>1637</v>
      </c>
      <c r="D1424" s="56" t="s">
        <v>2815</v>
      </c>
      <c r="F1424" s="56" t="s">
        <v>24</v>
      </c>
      <c r="G1424" s="56">
        <v>1</v>
      </c>
      <c r="H1424" s="56">
        <v>4</v>
      </c>
      <c r="I1424" s="56">
        <v>200</v>
      </c>
      <c r="J1424" s="59" t="s">
        <v>1181</v>
      </c>
      <c r="K1424" s="59">
        <v>1</v>
      </c>
      <c r="L1424" s="59">
        <f t="shared" si="22"/>
        <v>800</v>
      </c>
      <c r="M1424" s="59"/>
    </row>
    <row r="1425" spans="1:13" ht="30">
      <c r="A1425" s="56">
        <v>1647</v>
      </c>
      <c r="B1425" s="56">
        <v>1647</v>
      </c>
      <c r="C1425" s="56">
        <v>1647</v>
      </c>
      <c r="D1425" s="56" t="s">
        <v>2820</v>
      </c>
      <c r="F1425" s="56" t="s">
        <v>24</v>
      </c>
      <c r="G1425" s="56">
        <v>1</v>
      </c>
      <c r="H1425" s="56">
        <v>4</v>
      </c>
      <c r="I1425" s="56">
        <v>340</v>
      </c>
      <c r="J1425" s="59" t="s">
        <v>1181</v>
      </c>
      <c r="K1425" s="59">
        <v>1</v>
      </c>
      <c r="L1425" s="59">
        <f t="shared" si="22"/>
        <v>1360</v>
      </c>
      <c r="M1425" s="59"/>
    </row>
    <row r="1426" spans="1:13" ht="30">
      <c r="A1426" s="56">
        <v>1653</v>
      </c>
      <c r="B1426" s="56">
        <v>1653</v>
      </c>
      <c r="C1426" s="56">
        <v>1653</v>
      </c>
      <c r="D1426" s="56" t="s">
        <v>1456</v>
      </c>
      <c r="F1426" s="56" t="s">
        <v>24</v>
      </c>
      <c r="G1426" s="56">
        <v>1</v>
      </c>
      <c r="H1426" s="56">
        <v>4</v>
      </c>
      <c r="I1426" s="56">
        <v>200</v>
      </c>
      <c r="J1426" s="59" t="s">
        <v>1181</v>
      </c>
      <c r="K1426" s="59">
        <v>1</v>
      </c>
      <c r="L1426" s="59">
        <f t="shared" si="22"/>
        <v>800</v>
      </c>
      <c r="M1426" s="59"/>
    </row>
    <row r="1427" spans="1:13" ht="30">
      <c r="A1427" s="56">
        <v>1707</v>
      </c>
      <c r="B1427" s="56">
        <v>1707</v>
      </c>
      <c r="C1427" s="56">
        <v>1707</v>
      </c>
      <c r="D1427" s="56" t="s">
        <v>2861</v>
      </c>
      <c r="F1427" s="56" t="s">
        <v>24</v>
      </c>
      <c r="G1427" s="56">
        <v>1</v>
      </c>
      <c r="H1427" s="56">
        <v>4</v>
      </c>
      <c r="I1427" s="56">
        <v>150</v>
      </c>
      <c r="J1427" s="59" t="s">
        <v>1181</v>
      </c>
      <c r="K1427" s="59">
        <v>1</v>
      </c>
      <c r="L1427" s="59">
        <f t="shared" si="22"/>
        <v>600</v>
      </c>
      <c r="M1427" s="59"/>
    </row>
    <row r="1428" spans="1:13" ht="30">
      <c r="A1428" s="56">
        <v>1708</v>
      </c>
      <c r="B1428" s="56">
        <v>1708</v>
      </c>
      <c r="C1428" s="56">
        <v>1708</v>
      </c>
      <c r="D1428" s="56" t="s">
        <v>2862</v>
      </c>
      <c r="F1428" s="56" t="s">
        <v>24</v>
      </c>
      <c r="G1428" s="56">
        <v>1</v>
      </c>
      <c r="H1428" s="56">
        <v>4</v>
      </c>
      <c r="I1428" s="56">
        <v>260</v>
      </c>
      <c r="J1428" s="59" t="s">
        <v>1181</v>
      </c>
      <c r="K1428" s="59">
        <v>1</v>
      </c>
      <c r="L1428" s="59">
        <f t="shared" si="22"/>
        <v>1040</v>
      </c>
      <c r="M1428" s="59"/>
    </row>
    <row r="1429" spans="1:13" ht="30">
      <c r="A1429" s="56">
        <v>1731</v>
      </c>
      <c r="B1429" s="56">
        <v>1731</v>
      </c>
      <c r="C1429" s="56">
        <v>1731</v>
      </c>
      <c r="D1429" s="56" t="s">
        <v>2882</v>
      </c>
      <c r="F1429" s="56" t="s">
        <v>24</v>
      </c>
      <c r="G1429" s="56">
        <v>1</v>
      </c>
      <c r="H1429" s="56">
        <v>4</v>
      </c>
      <c r="I1429" s="56">
        <v>650</v>
      </c>
      <c r="J1429" s="59" t="s">
        <v>1181</v>
      </c>
      <c r="K1429" s="59">
        <v>1</v>
      </c>
      <c r="L1429" s="59">
        <f t="shared" si="22"/>
        <v>2600</v>
      </c>
      <c r="M1429" s="59"/>
    </row>
    <row r="1430" spans="1:13" ht="30">
      <c r="A1430" s="56">
        <v>1744</v>
      </c>
      <c r="B1430" s="56">
        <v>1744</v>
      </c>
      <c r="C1430" s="56">
        <v>1744</v>
      </c>
      <c r="D1430" s="56" t="s">
        <v>2893</v>
      </c>
      <c r="F1430" s="56" t="s">
        <v>24</v>
      </c>
      <c r="G1430" s="56">
        <v>1</v>
      </c>
      <c r="H1430" s="56">
        <v>4</v>
      </c>
      <c r="I1430" s="56">
        <v>450</v>
      </c>
      <c r="J1430" s="59" t="s">
        <v>1181</v>
      </c>
      <c r="K1430" s="59">
        <v>1</v>
      </c>
      <c r="L1430" s="59">
        <f t="shared" si="22"/>
        <v>1800</v>
      </c>
      <c r="M1430" s="59"/>
    </row>
    <row r="1431" spans="1:13" ht="30">
      <c r="A1431" s="56">
        <v>1758</v>
      </c>
      <c r="B1431" s="56">
        <v>1758</v>
      </c>
      <c r="C1431" s="56">
        <v>1758</v>
      </c>
      <c r="D1431" s="56" t="s">
        <v>2902</v>
      </c>
      <c r="F1431" s="56" t="s">
        <v>24</v>
      </c>
      <c r="G1431" s="56">
        <v>1</v>
      </c>
      <c r="H1431" s="56">
        <v>4</v>
      </c>
      <c r="I1431" s="56">
        <v>900</v>
      </c>
      <c r="J1431" s="59" t="s">
        <v>1181</v>
      </c>
      <c r="K1431" s="59">
        <v>1</v>
      </c>
      <c r="L1431" s="59">
        <f t="shared" si="22"/>
        <v>3600</v>
      </c>
      <c r="M1431" s="59"/>
    </row>
    <row r="1432" spans="1:13" ht="30">
      <c r="A1432" s="56">
        <v>1767</v>
      </c>
      <c r="B1432" s="56">
        <v>1767</v>
      </c>
      <c r="C1432" s="56">
        <v>1767</v>
      </c>
      <c r="D1432" s="56" t="s">
        <v>2911</v>
      </c>
      <c r="F1432" s="56" t="s">
        <v>24</v>
      </c>
      <c r="G1432" s="56">
        <v>1</v>
      </c>
      <c r="H1432" s="56">
        <v>4</v>
      </c>
      <c r="I1432" s="56">
        <v>350</v>
      </c>
      <c r="J1432" s="59" t="s">
        <v>1181</v>
      </c>
      <c r="K1432" s="59">
        <v>1</v>
      </c>
      <c r="L1432" s="59">
        <f t="shared" si="22"/>
        <v>1400</v>
      </c>
      <c r="M1432" s="59"/>
    </row>
    <row r="1433" spans="1:13" ht="30">
      <c r="A1433" s="56">
        <v>1774</v>
      </c>
      <c r="B1433" s="56">
        <v>1774</v>
      </c>
      <c r="C1433" s="56">
        <v>1774</v>
      </c>
      <c r="D1433" s="56" t="s">
        <v>69</v>
      </c>
      <c r="F1433" s="56" t="s">
        <v>24</v>
      </c>
      <c r="G1433" s="56">
        <v>1</v>
      </c>
      <c r="H1433" s="56">
        <v>4</v>
      </c>
      <c r="I1433" s="56">
        <v>450</v>
      </c>
      <c r="J1433" s="59" t="s">
        <v>1181</v>
      </c>
      <c r="K1433" s="59">
        <v>1</v>
      </c>
      <c r="L1433" s="59">
        <f t="shared" si="22"/>
        <v>1800</v>
      </c>
      <c r="M1433" s="59"/>
    </row>
    <row r="1434" spans="1:13" ht="30">
      <c r="A1434" s="56">
        <v>1793</v>
      </c>
      <c r="B1434" s="56">
        <v>1793</v>
      </c>
      <c r="C1434" s="56">
        <v>1793</v>
      </c>
      <c r="D1434" s="56" t="s">
        <v>2936</v>
      </c>
      <c r="F1434" s="56" t="s">
        <v>24</v>
      </c>
      <c r="G1434" s="56">
        <v>1</v>
      </c>
      <c r="H1434" s="56">
        <v>4</v>
      </c>
      <c r="I1434" s="56">
        <v>1500</v>
      </c>
      <c r="J1434" s="59" t="s">
        <v>1181</v>
      </c>
      <c r="K1434" s="59">
        <v>1</v>
      </c>
      <c r="L1434" s="59">
        <f t="shared" si="22"/>
        <v>6000</v>
      </c>
      <c r="M1434" s="59"/>
    </row>
    <row r="1435" spans="1:13" ht="30">
      <c r="A1435" s="56">
        <v>1813</v>
      </c>
      <c r="B1435" s="56">
        <v>1813</v>
      </c>
      <c r="C1435" s="56">
        <v>1813</v>
      </c>
      <c r="D1435" s="56" t="s">
        <v>2950</v>
      </c>
      <c r="F1435" s="56" t="s">
        <v>24</v>
      </c>
      <c r="G1435" s="56">
        <v>1</v>
      </c>
      <c r="H1435" s="56">
        <v>4</v>
      </c>
      <c r="I1435" s="56">
        <v>2000</v>
      </c>
      <c r="J1435" s="59" t="s">
        <v>1181</v>
      </c>
      <c r="K1435" s="59">
        <v>1</v>
      </c>
      <c r="L1435" s="59">
        <f t="shared" si="22"/>
        <v>8000</v>
      </c>
      <c r="M1435" s="59"/>
    </row>
    <row r="1436" spans="1:13" ht="30">
      <c r="A1436" s="56">
        <v>1819</v>
      </c>
      <c r="B1436" s="56">
        <v>1819</v>
      </c>
      <c r="C1436" s="56">
        <v>1819</v>
      </c>
      <c r="D1436" s="56" t="s">
        <v>2954</v>
      </c>
      <c r="F1436" s="56" t="s">
        <v>24</v>
      </c>
      <c r="G1436" s="56">
        <v>1</v>
      </c>
      <c r="H1436" s="56">
        <v>4</v>
      </c>
      <c r="I1436" s="56">
        <v>141</v>
      </c>
      <c r="J1436" s="59" t="s">
        <v>1181</v>
      </c>
      <c r="K1436" s="59">
        <v>1</v>
      </c>
      <c r="L1436" s="59">
        <f t="shared" si="22"/>
        <v>564</v>
      </c>
      <c r="M1436" s="59"/>
    </row>
    <row r="1437" spans="1:13" ht="30">
      <c r="A1437" s="56">
        <v>1823</v>
      </c>
      <c r="B1437" s="56">
        <v>1823</v>
      </c>
      <c r="C1437" s="56">
        <v>1823</v>
      </c>
      <c r="D1437" s="56" t="s">
        <v>2957</v>
      </c>
      <c r="F1437" s="56" t="s">
        <v>24</v>
      </c>
      <c r="G1437" s="56">
        <v>1</v>
      </c>
      <c r="H1437" s="56">
        <v>4</v>
      </c>
      <c r="I1437" s="56">
        <v>212</v>
      </c>
      <c r="J1437" s="59" t="s">
        <v>1181</v>
      </c>
      <c r="K1437" s="59">
        <v>1</v>
      </c>
      <c r="L1437" s="59">
        <f t="shared" si="22"/>
        <v>848</v>
      </c>
      <c r="M1437" s="59"/>
    </row>
    <row r="1438" spans="1:13" ht="30">
      <c r="A1438" s="56">
        <v>1846</v>
      </c>
      <c r="B1438" s="56">
        <v>1846</v>
      </c>
      <c r="C1438" s="56">
        <v>1846</v>
      </c>
      <c r="D1438" s="56" t="s">
        <v>2975</v>
      </c>
      <c r="F1438" s="56" t="s">
        <v>24</v>
      </c>
      <c r="G1438" s="56">
        <v>1</v>
      </c>
      <c r="H1438" s="56">
        <v>4</v>
      </c>
      <c r="I1438" s="56">
        <v>79</v>
      </c>
      <c r="J1438" s="59" t="s">
        <v>1181</v>
      </c>
      <c r="K1438" s="59">
        <v>1</v>
      </c>
      <c r="L1438" s="59">
        <f t="shared" si="22"/>
        <v>316</v>
      </c>
      <c r="M1438" s="59"/>
    </row>
    <row r="1439" spans="1:13" ht="30">
      <c r="A1439" s="56">
        <v>1850</v>
      </c>
      <c r="B1439" s="56">
        <v>1850</v>
      </c>
      <c r="C1439" s="56">
        <v>1850</v>
      </c>
      <c r="D1439" s="56" t="s">
        <v>2979</v>
      </c>
      <c r="F1439" s="56" t="s">
        <v>24</v>
      </c>
      <c r="G1439" s="56">
        <v>1</v>
      </c>
      <c r="H1439" s="56">
        <v>4</v>
      </c>
      <c r="I1439" s="56">
        <v>400</v>
      </c>
      <c r="J1439" s="59" t="s">
        <v>1181</v>
      </c>
      <c r="K1439" s="59">
        <v>1</v>
      </c>
      <c r="L1439" s="59">
        <f t="shared" si="22"/>
        <v>1600</v>
      </c>
      <c r="M1439" s="59"/>
    </row>
    <row r="1440" spans="1:13" ht="30">
      <c r="A1440" s="56">
        <v>1868</v>
      </c>
      <c r="B1440" s="56">
        <v>1868</v>
      </c>
      <c r="C1440" s="56">
        <v>1868</v>
      </c>
      <c r="D1440" s="56" t="s">
        <v>2997</v>
      </c>
      <c r="F1440" s="56" t="s">
        <v>24</v>
      </c>
      <c r="G1440" s="56">
        <v>1</v>
      </c>
      <c r="H1440" s="56">
        <v>4</v>
      </c>
      <c r="I1440" s="56">
        <v>2200</v>
      </c>
      <c r="J1440" s="59" t="s">
        <v>1181</v>
      </c>
      <c r="K1440" s="59">
        <v>1</v>
      </c>
      <c r="L1440" s="59">
        <f t="shared" si="22"/>
        <v>8800</v>
      </c>
      <c r="M1440" s="59"/>
    </row>
    <row r="1441" spans="1:14" ht="30">
      <c r="A1441" s="56">
        <v>1941</v>
      </c>
      <c r="B1441" s="56">
        <v>1941</v>
      </c>
      <c r="C1441" s="56">
        <v>1941</v>
      </c>
      <c r="D1441" s="56" t="s">
        <v>3068</v>
      </c>
      <c r="F1441" s="56" t="s">
        <v>24</v>
      </c>
      <c r="G1441" s="56">
        <v>1</v>
      </c>
      <c r="H1441" s="56">
        <v>4</v>
      </c>
      <c r="I1441" s="56">
        <v>1500</v>
      </c>
      <c r="J1441" s="59" t="s">
        <v>1181</v>
      </c>
      <c r="K1441" s="59">
        <v>1</v>
      </c>
      <c r="L1441" s="59">
        <f t="shared" si="22"/>
        <v>6000</v>
      </c>
      <c r="M1441" s="59"/>
    </row>
    <row r="1442" spans="1:14" ht="30">
      <c r="A1442" s="56">
        <v>1038</v>
      </c>
      <c r="B1442" s="56">
        <v>1038</v>
      </c>
      <c r="C1442" s="56">
        <v>1038</v>
      </c>
      <c r="D1442" s="56" t="s">
        <v>1226</v>
      </c>
      <c r="F1442" s="58" t="s">
        <v>1183</v>
      </c>
      <c r="G1442" s="58">
        <v>50</v>
      </c>
      <c r="H1442" s="56">
        <v>5</v>
      </c>
      <c r="I1442" s="56">
        <v>1920</v>
      </c>
      <c r="J1442" s="59" t="s">
        <v>1181</v>
      </c>
      <c r="K1442" s="59">
        <v>1</v>
      </c>
      <c r="L1442" s="59">
        <f t="shared" si="22"/>
        <v>9600</v>
      </c>
      <c r="M1442" s="59"/>
    </row>
    <row r="1443" spans="1:14" ht="30">
      <c r="A1443" s="56">
        <v>808</v>
      </c>
      <c r="B1443" s="56">
        <v>808</v>
      </c>
      <c r="C1443" s="56">
        <v>808</v>
      </c>
      <c r="D1443" s="56" t="s">
        <v>1297</v>
      </c>
      <c r="F1443" s="58" t="s">
        <v>1183</v>
      </c>
      <c r="G1443" s="58">
        <v>12</v>
      </c>
      <c r="H1443" s="56">
        <v>5</v>
      </c>
      <c r="I1443" s="56">
        <v>750</v>
      </c>
      <c r="J1443" s="59" t="s">
        <v>1181</v>
      </c>
      <c r="K1443" s="59">
        <v>1</v>
      </c>
      <c r="L1443" s="59">
        <f t="shared" si="22"/>
        <v>3750</v>
      </c>
      <c r="M1443" s="59"/>
    </row>
    <row r="1444" spans="1:14" ht="30">
      <c r="A1444" s="56">
        <v>811</v>
      </c>
      <c r="B1444" s="56">
        <v>811</v>
      </c>
      <c r="C1444" s="56">
        <v>811</v>
      </c>
      <c r="D1444" s="56" t="s">
        <v>1300</v>
      </c>
      <c r="F1444" s="58" t="s">
        <v>1183</v>
      </c>
      <c r="G1444" s="58">
        <v>12</v>
      </c>
      <c r="H1444" s="56">
        <v>5</v>
      </c>
      <c r="I1444" s="56">
        <v>800</v>
      </c>
      <c r="J1444" s="59" t="s">
        <v>1181</v>
      </c>
      <c r="K1444" s="59">
        <v>1</v>
      </c>
      <c r="L1444" s="59">
        <f t="shared" si="22"/>
        <v>4000</v>
      </c>
      <c r="M1444" s="59"/>
    </row>
    <row r="1445" spans="1:14" ht="30">
      <c r="A1445" s="56">
        <v>824</v>
      </c>
      <c r="B1445" s="56">
        <v>824</v>
      </c>
      <c r="C1445" s="56">
        <v>824</v>
      </c>
      <c r="D1445" s="56" t="s">
        <v>1312</v>
      </c>
      <c r="F1445" s="58" t="s">
        <v>1183</v>
      </c>
      <c r="G1445" s="58">
        <v>12</v>
      </c>
      <c r="H1445" s="56">
        <v>5</v>
      </c>
      <c r="I1445" s="56">
        <v>982</v>
      </c>
      <c r="J1445" s="59" t="s">
        <v>1181</v>
      </c>
      <c r="K1445" s="59">
        <v>1</v>
      </c>
      <c r="L1445" s="59">
        <f t="shared" si="22"/>
        <v>4910</v>
      </c>
      <c r="M1445" s="59"/>
    </row>
    <row r="1446" spans="1:14" ht="30">
      <c r="A1446" s="56">
        <v>860</v>
      </c>
      <c r="B1446" s="56">
        <v>860</v>
      </c>
      <c r="C1446" s="56">
        <v>860</v>
      </c>
      <c r="D1446" s="56" t="s">
        <v>1340</v>
      </c>
      <c r="F1446" s="58" t="s">
        <v>1183</v>
      </c>
      <c r="G1446" s="58">
        <v>12</v>
      </c>
      <c r="H1446" s="56">
        <v>5</v>
      </c>
      <c r="I1446" s="56">
        <v>2196</v>
      </c>
      <c r="J1446" s="59" t="s">
        <v>1181</v>
      </c>
      <c r="K1446" s="59">
        <v>1</v>
      </c>
      <c r="L1446" s="59">
        <f t="shared" si="22"/>
        <v>10980</v>
      </c>
      <c r="M1446" s="59"/>
    </row>
    <row r="1447" spans="1:14" ht="30">
      <c r="A1447" s="56">
        <v>878</v>
      </c>
      <c r="B1447" s="56">
        <v>878</v>
      </c>
      <c r="C1447" s="56">
        <v>878</v>
      </c>
      <c r="D1447" s="56" t="s">
        <v>1357</v>
      </c>
      <c r="F1447" s="58" t="s">
        <v>1183</v>
      </c>
      <c r="G1447" s="58">
        <v>12</v>
      </c>
      <c r="H1447" s="56">
        <v>5</v>
      </c>
      <c r="I1447" s="56">
        <v>3120</v>
      </c>
      <c r="J1447" s="59" t="s">
        <v>1181</v>
      </c>
      <c r="K1447" s="59">
        <v>1</v>
      </c>
      <c r="L1447" s="59">
        <f t="shared" si="22"/>
        <v>15600</v>
      </c>
      <c r="M1447" s="59"/>
    </row>
    <row r="1448" spans="1:14" ht="30">
      <c r="A1448" s="56">
        <v>914</v>
      </c>
      <c r="B1448" s="56">
        <v>914</v>
      </c>
      <c r="C1448" s="56">
        <v>914</v>
      </c>
      <c r="D1448" s="56" t="s">
        <v>1361</v>
      </c>
      <c r="F1448" s="58" t="s">
        <v>1183</v>
      </c>
      <c r="G1448" s="58">
        <v>12</v>
      </c>
      <c r="H1448" s="56">
        <v>5</v>
      </c>
      <c r="I1448" s="56">
        <v>400</v>
      </c>
      <c r="J1448" s="59" t="s">
        <v>1181</v>
      </c>
      <c r="K1448" s="59">
        <v>1</v>
      </c>
      <c r="L1448" s="59">
        <f t="shared" si="22"/>
        <v>2000</v>
      </c>
      <c r="M1448" s="59"/>
    </row>
    <row r="1449" spans="1:14" ht="30">
      <c r="A1449" s="56">
        <v>933</v>
      </c>
      <c r="B1449" s="56">
        <v>933</v>
      </c>
      <c r="C1449" s="56">
        <v>933</v>
      </c>
      <c r="D1449" s="56" t="s">
        <v>1374</v>
      </c>
      <c r="F1449" s="58" t="s">
        <v>1183</v>
      </c>
      <c r="G1449" s="58">
        <v>12</v>
      </c>
      <c r="H1449" s="56">
        <v>5</v>
      </c>
      <c r="I1449" s="56">
        <v>700</v>
      </c>
      <c r="J1449" s="59" t="s">
        <v>1181</v>
      </c>
      <c r="K1449" s="59">
        <v>1</v>
      </c>
      <c r="L1449" s="59">
        <f t="shared" si="22"/>
        <v>3500</v>
      </c>
      <c r="M1449" s="59"/>
    </row>
    <row r="1450" spans="1:14" ht="30">
      <c r="A1450" s="56">
        <v>1075</v>
      </c>
      <c r="B1450" s="56">
        <v>1075</v>
      </c>
      <c r="C1450" s="56">
        <v>1075</v>
      </c>
      <c r="D1450" s="56" t="s">
        <v>1406</v>
      </c>
      <c r="F1450" s="56" t="s">
        <v>1198</v>
      </c>
      <c r="G1450" s="56">
        <v>12</v>
      </c>
      <c r="H1450" s="56">
        <v>5</v>
      </c>
      <c r="I1450" s="56">
        <v>460</v>
      </c>
      <c r="J1450" s="59" t="s">
        <v>1181</v>
      </c>
      <c r="K1450" s="59">
        <v>1</v>
      </c>
      <c r="L1450" s="59">
        <f t="shared" si="22"/>
        <v>2300</v>
      </c>
      <c r="M1450" s="59"/>
      <c r="N1450" s="56" t="s">
        <v>1258</v>
      </c>
    </row>
    <row r="1451" spans="1:14" ht="30">
      <c r="A1451" s="56">
        <v>1076</v>
      </c>
      <c r="B1451" s="56">
        <v>1076</v>
      </c>
      <c r="C1451" s="56">
        <v>1076</v>
      </c>
      <c r="D1451" s="56" t="s">
        <v>1407</v>
      </c>
      <c r="F1451" s="56" t="s">
        <v>1198</v>
      </c>
      <c r="G1451" s="56">
        <v>12</v>
      </c>
      <c r="H1451" s="56">
        <v>5</v>
      </c>
      <c r="I1451" s="56">
        <v>510</v>
      </c>
      <c r="J1451" s="59" t="s">
        <v>1181</v>
      </c>
      <c r="K1451" s="59">
        <v>1</v>
      </c>
      <c r="L1451" s="59">
        <f t="shared" si="22"/>
        <v>2550</v>
      </c>
      <c r="M1451" s="59"/>
      <c r="N1451" s="56" t="s">
        <v>1258</v>
      </c>
    </row>
    <row r="1452" spans="1:14" ht="30">
      <c r="A1452" s="56">
        <v>1227</v>
      </c>
      <c r="B1452" s="56">
        <v>1227</v>
      </c>
      <c r="C1452" s="56">
        <v>1227</v>
      </c>
      <c r="D1452" s="56" t="s">
        <v>1424</v>
      </c>
      <c r="F1452" s="58" t="s">
        <v>1183</v>
      </c>
      <c r="G1452" s="58">
        <v>12</v>
      </c>
      <c r="H1452" s="56">
        <v>5</v>
      </c>
      <c r="I1452" s="56">
        <v>2300</v>
      </c>
      <c r="J1452" s="59" t="s">
        <v>1181</v>
      </c>
      <c r="K1452" s="59">
        <v>1</v>
      </c>
      <c r="L1452" s="59">
        <f t="shared" si="22"/>
        <v>11500</v>
      </c>
      <c r="M1452" s="59"/>
    </row>
    <row r="1453" spans="1:14" ht="30">
      <c r="A1453" s="56">
        <v>1431</v>
      </c>
      <c r="B1453" s="56">
        <v>1431</v>
      </c>
      <c r="C1453" s="56">
        <v>1431</v>
      </c>
      <c r="D1453" s="56" t="s">
        <v>1439</v>
      </c>
      <c r="F1453" s="58" t="s">
        <v>1183</v>
      </c>
      <c r="G1453" s="58">
        <v>12</v>
      </c>
      <c r="H1453" s="56">
        <v>5</v>
      </c>
      <c r="I1453" s="56">
        <v>600</v>
      </c>
      <c r="J1453" s="59" t="s">
        <v>1181</v>
      </c>
      <c r="K1453" s="59">
        <v>1</v>
      </c>
      <c r="L1453" s="59">
        <f t="shared" si="22"/>
        <v>3000</v>
      </c>
      <c r="M1453" s="59"/>
    </row>
    <row r="1454" spans="1:14" ht="30">
      <c r="A1454" s="56">
        <v>1805</v>
      </c>
      <c r="B1454" s="56">
        <v>1805</v>
      </c>
      <c r="C1454" s="56">
        <v>1805</v>
      </c>
      <c r="D1454" s="56" t="s">
        <v>1477</v>
      </c>
      <c r="F1454" s="58" t="s">
        <v>1183</v>
      </c>
      <c r="G1454" s="58">
        <v>12</v>
      </c>
      <c r="H1454" s="56">
        <v>5</v>
      </c>
      <c r="I1454" s="56">
        <v>800</v>
      </c>
      <c r="J1454" s="59" t="s">
        <v>1181</v>
      </c>
      <c r="K1454" s="59">
        <v>1</v>
      </c>
      <c r="L1454" s="59">
        <f t="shared" si="22"/>
        <v>4000</v>
      </c>
      <c r="M1454" s="59"/>
    </row>
    <row r="1455" spans="1:14" ht="30">
      <c r="A1455" s="56">
        <v>1843</v>
      </c>
      <c r="B1455" s="56">
        <v>1843</v>
      </c>
      <c r="C1455" s="56">
        <v>1843</v>
      </c>
      <c r="D1455" s="56" t="s">
        <v>1486</v>
      </c>
      <c r="F1455" s="58" t="s">
        <v>1183</v>
      </c>
      <c r="G1455" s="58">
        <v>12</v>
      </c>
      <c r="H1455" s="56">
        <v>5</v>
      </c>
      <c r="I1455" s="56">
        <v>720</v>
      </c>
      <c r="J1455" s="59" t="s">
        <v>1181</v>
      </c>
      <c r="K1455" s="59">
        <v>1</v>
      </c>
      <c r="L1455" s="59">
        <f t="shared" si="22"/>
        <v>3600</v>
      </c>
      <c r="M1455" s="59"/>
    </row>
    <row r="1456" spans="1:14" ht="30">
      <c r="A1456" s="56">
        <v>781</v>
      </c>
      <c r="B1456" s="56">
        <v>781</v>
      </c>
      <c r="C1456" s="56">
        <v>781</v>
      </c>
      <c r="D1456" s="56" t="s">
        <v>1490</v>
      </c>
      <c r="F1456" s="58" t="s">
        <v>1272</v>
      </c>
      <c r="G1456" s="58">
        <v>10</v>
      </c>
      <c r="H1456" s="56">
        <v>5</v>
      </c>
      <c r="I1456" s="56">
        <v>600</v>
      </c>
      <c r="J1456" s="59" t="s">
        <v>1181</v>
      </c>
      <c r="K1456" s="59">
        <v>1</v>
      </c>
      <c r="L1456" s="59">
        <f t="shared" si="22"/>
        <v>3000</v>
      </c>
      <c r="M1456" s="59"/>
    </row>
    <row r="1457" spans="1:13" ht="30">
      <c r="A1457" s="56">
        <v>783</v>
      </c>
      <c r="B1457" s="56">
        <v>783</v>
      </c>
      <c r="C1457" s="56">
        <v>783</v>
      </c>
      <c r="D1457" s="56" t="s">
        <v>1492</v>
      </c>
      <c r="F1457" s="58" t="s">
        <v>1272</v>
      </c>
      <c r="G1457" s="58">
        <v>10</v>
      </c>
      <c r="H1457" s="56">
        <v>5</v>
      </c>
      <c r="I1457" s="56">
        <v>677</v>
      </c>
      <c r="J1457" s="59" t="s">
        <v>1181</v>
      </c>
      <c r="K1457" s="59">
        <v>1</v>
      </c>
      <c r="L1457" s="59">
        <f t="shared" si="22"/>
        <v>3385</v>
      </c>
      <c r="M1457" s="59"/>
    </row>
    <row r="1458" spans="1:13" ht="30">
      <c r="A1458" s="56">
        <v>1392</v>
      </c>
      <c r="B1458" s="56">
        <v>1392</v>
      </c>
      <c r="C1458" s="56">
        <v>1392</v>
      </c>
      <c r="D1458" s="56" t="s">
        <v>1512</v>
      </c>
      <c r="F1458" s="58" t="s">
        <v>1183</v>
      </c>
      <c r="G1458" s="58">
        <v>10</v>
      </c>
      <c r="H1458" s="56">
        <v>5</v>
      </c>
      <c r="I1458" s="56">
        <v>1000</v>
      </c>
      <c r="J1458" s="59" t="s">
        <v>1181</v>
      </c>
      <c r="K1458" s="59">
        <v>1</v>
      </c>
      <c r="L1458" s="59">
        <f t="shared" si="22"/>
        <v>5000</v>
      </c>
      <c r="M1458" s="59"/>
    </row>
    <row r="1459" spans="1:13" ht="30">
      <c r="A1459" s="56">
        <v>785</v>
      </c>
      <c r="B1459" s="56">
        <v>785</v>
      </c>
      <c r="C1459" s="56">
        <v>785</v>
      </c>
      <c r="D1459" s="56" t="s">
        <v>1516</v>
      </c>
      <c r="F1459" s="58" t="s">
        <v>1272</v>
      </c>
      <c r="G1459" s="58">
        <v>6</v>
      </c>
      <c r="H1459" s="56">
        <v>5</v>
      </c>
      <c r="I1459" s="56">
        <v>300</v>
      </c>
      <c r="J1459" s="59" t="s">
        <v>1181</v>
      </c>
      <c r="K1459" s="59">
        <v>1</v>
      </c>
      <c r="L1459" s="59">
        <f t="shared" si="22"/>
        <v>1500</v>
      </c>
      <c r="M1459" s="59"/>
    </row>
    <row r="1460" spans="1:13" ht="30">
      <c r="A1460" s="56">
        <v>788</v>
      </c>
      <c r="B1460" s="56">
        <v>788</v>
      </c>
      <c r="C1460" s="56">
        <v>788</v>
      </c>
      <c r="D1460" s="56" t="s">
        <v>1517</v>
      </c>
      <c r="F1460" s="58" t="s">
        <v>1272</v>
      </c>
      <c r="G1460" s="58">
        <v>6</v>
      </c>
      <c r="H1460" s="56">
        <v>5</v>
      </c>
      <c r="I1460" s="56">
        <v>300</v>
      </c>
      <c r="J1460" s="59" t="s">
        <v>1181</v>
      </c>
      <c r="K1460" s="59">
        <v>1</v>
      </c>
      <c r="L1460" s="59">
        <f t="shared" si="22"/>
        <v>1500</v>
      </c>
      <c r="M1460" s="59"/>
    </row>
    <row r="1461" spans="1:13" ht="30">
      <c r="A1461" s="56">
        <v>10</v>
      </c>
      <c r="B1461" s="56">
        <v>10</v>
      </c>
      <c r="C1461" s="56">
        <v>10</v>
      </c>
      <c r="D1461" s="56" t="s">
        <v>1533</v>
      </c>
      <c r="F1461" s="56" t="s">
        <v>24</v>
      </c>
      <c r="G1461" s="56">
        <v>1</v>
      </c>
      <c r="H1461" s="56">
        <v>5</v>
      </c>
      <c r="I1461" s="56">
        <v>1200</v>
      </c>
      <c r="J1461" s="59" t="s">
        <v>1181</v>
      </c>
      <c r="K1461" s="59">
        <v>1</v>
      </c>
      <c r="L1461" s="59">
        <f t="shared" si="22"/>
        <v>6000</v>
      </c>
      <c r="M1461" s="59"/>
    </row>
    <row r="1462" spans="1:13" ht="30">
      <c r="A1462" s="56">
        <v>22</v>
      </c>
      <c r="B1462" s="56">
        <v>22</v>
      </c>
      <c r="C1462" s="56">
        <v>22</v>
      </c>
      <c r="D1462" s="56" t="s">
        <v>1545</v>
      </c>
      <c r="F1462" s="56" t="s">
        <v>24</v>
      </c>
      <c r="G1462" s="56">
        <v>1</v>
      </c>
      <c r="H1462" s="56">
        <v>5</v>
      </c>
      <c r="I1462" s="56">
        <v>1300</v>
      </c>
      <c r="J1462" s="59" t="s">
        <v>1181</v>
      </c>
      <c r="K1462" s="59">
        <v>1</v>
      </c>
      <c r="L1462" s="59">
        <f t="shared" si="22"/>
        <v>6500</v>
      </c>
      <c r="M1462" s="59"/>
    </row>
    <row r="1463" spans="1:13" ht="30">
      <c r="A1463" s="56">
        <v>32</v>
      </c>
      <c r="B1463" s="56">
        <v>32</v>
      </c>
      <c r="C1463" s="56">
        <v>32</v>
      </c>
      <c r="D1463" s="56" t="s">
        <v>1555</v>
      </c>
      <c r="F1463" s="56" t="s">
        <v>24</v>
      </c>
      <c r="G1463" s="56">
        <v>1</v>
      </c>
      <c r="H1463" s="56">
        <v>5</v>
      </c>
      <c r="I1463" s="56">
        <v>1700</v>
      </c>
      <c r="J1463" s="59" t="s">
        <v>1181</v>
      </c>
      <c r="K1463" s="59">
        <v>1</v>
      </c>
      <c r="L1463" s="59">
        <f t="shared" si="22"/>
        <v>8500</v>
      </c>
      <c r="M1463" s="59"/>
    </row>
    <row r="1464" spans="1:13" ht="30">
      <c r="A1464" s="56">
        <v>35</v>
      </c>
      <c r="B1464" s="56">
        <v>35</v>
      </c>
      <c r="C1464" s="56">
        <v>35</v>
      </c>
      <c r="D1464" s="56" t="s">
        <v>1558</v>
      </c>
      <c r="F1464" s="56" t="s">
        <v>24</v>
      </c>
      <c r="G1464" s="56">
        <v>1</v>
      </c>
      <c r="H1464" s="56">
        <v>5</v>
      </c>
      <c r="I1464" s="56">
        <v>2000</v>
      </c>
      <c r="J1464" s="59" t="s">
        <v>1181</v>
      </c>
      <c r="K1464" s="59">
        <v>1</v>
      </c>
      <c r="L1464" s="59">
        <f t="shared" si="22"/>
        <v>10000</v>
      </c>
      <c r="M1464" s="59"/>
    </row>
    <row r="1465" spans="1:13" ht="30">
      <c r="A1465" s="56">
        <v>101</v>
      </c>
      <c r="B1465" s="56">
        <v>101</v>
      </c>
      <c r="C1465" s="56">
        <v>101</v>
      </c>
      <c r="D1465" s="56" t="s">
        <v>30</v>
      </c>
      <c r="F1465" s="56" t="s">
        <v>24</v>
      </c>
      <c r="G1465" s="56">
        <v>1</v>
      </c>
      <c r="H1465" s="56">
        <v>5</v>
      </c>
      <c r="I1465" s="56">
        <v>800</v>
      </c>
      <c r="J1465" s="59" t="s">
        <v>1181</v>
      </c>
      <c r="K1465" s="59">
        <v>1</v>
      </c>
      <c r="L1465" s="59">
        <f t="shared" si="22"/>
        <v>4000</v>
      </c>
      <c r="M1465" s="59"/>
    </row>
    <row r="1466" spans="1:13" ht="30">
      <c r="A1466" s="56">
        <v>144</v>
      </c>
      <c r="B1466" s="56">
        <v>144</v>
      </c>
      <c r="C1466" s="56">
        <v>144</v>
      </c>
      <c r="D1466" s="56" t="s">
        <v>1655</v>
      </c>
      <c r="F1466" s="56" t="s">
        <v>24</v>
      </c>
      <c r="G1466" s="56">
        <v>1</v>
      </c>
      <c r="H1466" s="56">
        <v>5</v>
      </c>
      <c r="I1466" s="56">
        <v>900</v>
      </c>
      <c r="J1466" s="59" t="s">
        <v>1181</v>
      </c>
      <c r="K1466" s="59">
        <v>1</v>
      </c>
      <c r="L1466" s="59">
        <f t="shared" si="22"/>
        <v>4500</v>
      </c>
      <c r="M1466" s="59"/>
    </row>
    <row r="1467" spans="1:13" ht="30">
      <c r="A1467" s="56">
        <v>249</v>
      </c>
      <c r="B1467" s="56">
        <v>249</v>
      </c>
      <c r="C1467" s="56">
        <v>249</v>
      </c>
      <c r="D1467" s="56" t="s">
        <v>1739</v>
      </c>
      <c r="F1467" s="56" t="s">
        <v>24</v>
      </c>
      <c r="G1467" s="56">
        <v>1</v>
      </c>
      <c r="H1467" s="56">
        <v>5</v>
      </c>
      <c r="I1467" s="56">
        <v>550</v>
      </c>
      <c r="J1467" s="59" t="s">
        <v>1181</v>
      </c>
      <c r="K1467" s="59">
        <v>1</v>
      </c>
      <c r="L1467" s="59">
        <f t="shared" si="22"/>
        <v>2750</v>
      </c>
      <c r="M1467" s="59"/>
    </row>
    <row r="1468" spans="1:13" ht="30">
      <c r="A1468" s="56">
        <v>267</v>
      </c>
      <c r="B1468" s="56">
        <v>267</v>
      </c>
      <c r="C1468" s="56">
        <v>267</v>
      </c>
      <c r="D1468" s="56" t="s">
        <v>1752</v>
      </c>
      <c r="F1468" s="56" t="s">
        <v>24</v>
      </c>
      <c r="G1468" s="56">
        <v>1</v>
      </c>
      <c r="H1468" s="56">
        <v>5</v>
      </c>
      <c r="I1468" s="56">
        <v>400</v>
      </c>
      <c r="J1468" s="59" t="s">
        <v>1181</v>
      </c>
      <c r="K1468" s="59">
        <v>1</v>
      </c>
      <c r="L1468" s="59">
        <f t="shared" si="22"/>
        <v>2000</v>
      </c>
      <c r="M1468" s="59"/>
    </row>
    <row r="1469" spans="1:13" ht="30">
      <c r="A1469" s="56">
        <v>301</v>
      </c>
      <c r="B1469" s="56">
        <v>301</v>
      </c>
      <c r="C1469" s="56">
        <v>301</v>
      </c>
      <c r="D1469" s="56" t="s">
        <v>1778</v>
      </c>
      <c r="F1469" s="56" t="s">
        <v>24</v>
      </c>
      <c r="G1469" s="56">
        <v>1</v>
      </c>
      <c r="H1469" s="56">
        <v>5</v>
      </c>
      <c r="I1469" s="56">
        <v>1700</v>
      </c>
      <c r="J1469" s="59" t="s">
        <v>1181</v>
      </c>
      <c r="K1469" s="59">
        <v>1</v>
      </c>
      <c r="L1469" s="59">
        <f t="shared" si="22"/>
        <v>8500</v>
      </c>
      <c r="M1469" s="59"/>
    </row>
    <row r="1470" spans="1:13" ht="30">
      <c r="A1470" s="56">
        <v>308</v>
      </c>
      <c r="B1470" s="56">
        <v>308</v>
      </c>
      <c r="C1470" s="56">
        <v>308</v>
      </c>
      <c r="D1470" s="56" t="s">
        <v>1784</v>
      </c>
      <c r="F1470" s="56" t="s">
        <v>24</v>
      </c>
      <c r="G1470" s="56">
        <v>1</v>
      </c>
      <c r="H1470" s="56">
        <v>5</v>
      </c>
      <c r="I1470" s="56">
        <v>250</v>
      </c>
      <c r="J1470" s="59" t="s">
        <v>1181</v>
      </c>
      <c r="K1470" s="59">
        <v>1</v>
      </c>
      <c r="L1470" s="59">
        <f t="shared" si="22"/>
        <v>1250</v>
      </c>
      <c r="M1470" s="59"/>
    </row>
    <row r="1471" spans="1:13" ht="30">
      <c r="A1471" s="56">
        <v>342</v>
      </c>
      <c r="B1471" s="56">
        <v>342</v>
      </c>
      <c r="C1471" s="56">
        <v>342</v>
      </c>
      <c r="D1471" s="56" t="s">
        <v>1815</v>
      </c>
      <c r="F1471" s="56" t="s">
        <v>24</v>
      </c>
      <c r="G1471" s="56">
        <v>1</v>
      </c>
      <c r="H1471" s="56">
        <v>5</v>
      </c>
      <c r="I1471" s="56">
        <v>1500</v>
      </c>
      <c r="J1471" s="59" t="s">
        <v>1181</v>
      </c>
      <c r="K1471" s="59">
        <v>1</v>
      </c>
      <c r="L1471" s="59">
        <f t="shared" si="22"/>
        <v>7500</v>
      </c>
      <c r="M1471" s="59"/>
    </row>
    <row r="1472" spans="1:13" ht="30">
      <c r="A1472" s="56">
        <v>357</v>
      </c>
      <c r="B1472" s="56">
        <v>357</v>
      </c>
      <c r="C1472" s="56">
        <v>357</v>
      </c>
      <c r="D1472" s="56" t="s">
        <v>1830</v>
      </c>
      <c r="F1472" s="56" t="s">
        <v>24</v>
      </c>
      <c r="G1472" s="56">
        <v>1</v>
      </c>
      <c r="H1472" s="56">
        <v>5</v>
      </c>
      <c r="I1472" s="56">
        <v>470</v>
      </c>
      <c r="J1472" s="59" t="s">
        <v>1181</v>
      </c>
      <c r="K1472" s="59">
        <v>1</v>
      </c>
      <c r="L1472" s="59">
        <f t="shared" si="22"/>
        <v>2350</v>
      </c>
      <c r="M1472" s="59"/>
    </row>
    <row r="1473" spans="1:13" ht="30">
      <c r="A1473" s="56">
        <v>383</v>
      </c>
      <c r="B1473" s="56">
        <v>383</v>
      </c>
      <c r="C1473" s="56">
        <v>383</v>
      </c>
      <c r="D1473" s="56" t="s">
        <v>1856</v>
      </c>
      <c r="F1473" s="56" t="s">
        <v>24</v>
      </c>
      <c r="G1473" s="56">
        <v>1</v>
      </c>
      <c r="H1473" s="56">
        <v>5</v>
      </c>
      <c r="I1473" s="56">
        <v>2400</v>
      </c>
      <c r="J1473" s="59" t="s">
        <v>1181</v>
      </c>
      <c r="K1473" s="59">
        <v>1</v>
      </c>
      <c r="L1473" s="59">
        <f t="shared" si="22"/>
        <v>12000</v>
      </c>
      <c r="M1473" s="59"/>
    </row>
    <row r="1474" spans="1:13" ht="30">
      <c r="A1474" s="56">
        <v>384</v>
      </c>
      <c r="B1474" s="56">
        <v>384</v>
      </c>
      <c r="C1474" s="56">
        <v>384</v>
      </c>
      <c r="D1474" s="56" t="s">
        <v>1857</v>
      </c>
      <c r="F1474" s="56" t="s">
        <v>24</v>
      </c>
      <c r="G1474" s="56">
        <v>1</v>
      </c>
      <c r="H1474" s="56">
        <v>5</v>
      </c>
      <c r="I1474" s="56">
        <v>2520</v>
      </c>
      <c r="J1474" s="59" t="s">
        <v>1181</v>
      </c>
      <c r="K1474" s="59">
        <v>1</v>
      </c>
      <c r="L1474" s="59">
        <f t="shared" ref="L1474:L1537" si="23">H1474*I1474</f>
        <v>12600</v>
      </c>
      <c r="M1474" s="59"/>
    </row>
    <row r="1475" spans="1:13" ht="30">
      <c r="A1475" s="56">
        <v>390</v>
      </c>
      <c r="B1475" s="56">
        <v>390</v>
      </c>
      <c r="C1475" s="56">
        <v>390</v>
      </c>
      <c r="D1475" s="56" t="s">
        <v>1863</v>
      </c>
      <c r="F1475" s="56" t="s">
        <v>24</v>
      </c>
      <c r="G1475" s="56">
        <v>1</v>
      </c>
      <c r="H1475" s="56">
        <v>5</v>
      </c>
      <c r="I1475" s="56">
        <v>800</v>
      </c>
      <c r="J1475" s="59" t="s">
        <v>1181</v>
      </c>
      <c r="K1475" s="59">
        <v>1</v>
      </c>
      <c r="L1475" s="59">
        <f t="shared" si="23"/>
        <v>4000</v>
      </c>
      <c r="M1475" s="59"/>
    </row>
    <row r="1476" spans="1:13" ht="30">
      <c r="A1476" s="56">
        <v>397</v>
      </c>
      <c r="B1476" s="56">
        <v>397</v>
      </c>
      <c r="C1476" s="56">
        <v>397</v>
      </c>
      <c r="D1476" s="56" t="s">
        <v>1870</v>
      </c>
      <c r="F1476" s="56" t="s">
        <v>24</v>
      </c>
      <c r="G1476" s="56">
        <v>1</v>
      </c>
      <c r="H1476" s="56">
        <v>5</v>
      </c>
      <c r="I1476" s="56">
        <v>500</v>
      </c>
      <c r="J1476" s="59" t="s">
        <v>1181</v>
      </c>
      <c r="K1476" s="59">
        <v>1</v>
      </c>
      <c r="L1476" s="59">
        <f t="shared" si="23"/>
        <v>2500</v>
      </c>
      <c r="M1476" s="59"/>
    </row>
    <row r="1477" spans="1:13" ht="30">
      <c r="A1477" s="56">
        <v>420</v>
      </c>
      <c r="B1477" s="56">
        <v>420</v>
      </c>
      <c r="C1477" s="56">
        <v>420</v>
      </c>
      <c r="D1477" s="56" t="s">
        <v>1890</v>
      </c>
      <c r="F1477" s="56" t="s">
        <v>24</v>
      </c>
      <c r="G1477" s="56">
        <v>1</v>
      </c>
      <c r="H1477" s="56">
        <v>5</v>
      </c>
      <c r="I1477" s="56">
        <v>600</v>
      </c>
      <c r="J1477" s="59" t="s">
        <v>1181</v>
      </c>
      <c r="K1477" s="59">
        <v>1</v>
      </c>
      <c r="L1477" s="59">
        <f t="shared" si="23"/>
        <v>3000</v>
      </c>
      <c r="M1477" s="59"/>
    </row>
    <row r="1478" spans="1:13" ht="30">
      <c r="A1478" s="56">
        <v>431</v>
      </c>
      <c r="B1478" s="56">
        <v>431</v>
      </c>
      <c r="C1478" s="56">
        <v>431</v>
      </c>
      <c r="D1478" s="56" t="s">
        <v>1900</v>
      </c>
      <c r="F1478" s="56" t="s">
        <v>24</v>
      </c>
      <c r="G1478" s="56">
        <v>1</v>
      </c>
      <c r="H1478" s="56">
        <v>5</v>
      </c>
      <c r="I1478" s="56">
        <v>240</v>
      </c>
      <c r="J1478" s="59" t="s">
        <v>1181</v>
      </c>
      <c r="K1478" s="59">
        <v>1</v>
      </c>
      <c r="L1478" s="59">
        <f t="shared" si="23"/>
        <v>1200</v>
      </c>
      <c r="M1478" s="59"/>
    </row>
    <row r="1479" spans="1:13" ht="30">
      <c r="A1479" s="56">
        <v>450</v>
      </c>
      <c r="B1479" s="56">
        <v>450</v>
      </c>
      <c r="C1479" s="56">
        <v>450</v>
      </c>
      <c r="D1479" s="56" t="s">
        <v>1918</v>
      </c>
      <c r="F1479" s="56" t="s">
        <v>24</v>
      </c>
      <c r="G1479" s="56">
        <v>1</v>
      </c>
      <c r="H1479" s="56">
        <v>5</v>
      </c>
      <c r="I1479" s="56">
        <v>250</v>
      </c>
      <c r="J1479" s="59" t="s">
        <v>1181</v>
      </c>
      <c r="K1479" s="59">
        <v>1</v>
      </c>
      <c r="L1479" s="59">
        <f t="shared" si="23"/>
        <v>1250</v>
      </c>
      <c r="M1479" s="59"/>
    </row>
    <row r="1480" spans="1:13" ht="30">
      <c r="A1480" s="56">
        <v>456</v>
      </c>
      <c r="B1480" s="56">
        <v>456</v>
      </c>
      <c r="C1480" s="56">
        <v>456</v>
      </c>
      <c r="D1480" s="56" t="s">
        <v>1924</v>
      </c>
      <c r="F1480" s="56" t="s">
        <v>24</v>
      </c>
      <c r="G1480" s="56">
        <v>1</v>
      </c>
      <c r="H1480" s="56">
        <v>5</v>
      </c>
      <c r="I1480" s="56">
        <v>900</v>
      </c>
      <c r="J1480" s="59" t="s">
        <v>1181</v>
      </c>
      <c r="K1480" s="59">
        <v>1</v>
      </c>
      <c r="L1480" s="59">
        <f t="shared" si="23"/>
        <v>4500</v>
      </c>
      <c r="M1480" s="59"/>
    </row>
    <row r="1481" spans="1:13" ht="30">
      <c r="A1481" s="56">
        <v>459</v>
      </c>
      <c r="B1481" s="56">
        <v>459</v>
      </c>
      <c r="C1481" s="56">
        <v>459</v>
      </c>
      <c r="D1481" s="56" t="s">
        <v>1927</v>
      </c>
      <c r="F1481" s="56" t="s">
        <v>24</v>
      </c>
      <c r="G1481" s="56">
        <v>1</v>
      </c>
      <c r="H1481" s="56">
        <v>5</v>
      </c>
      <c r="I1481" s="56">
        <v>1100</v>
      </c>
      <c r="J1481" s="59" t="s">
        <v>1181</v>
      </c>
      <c r="K1481" s="59">
        <v>1</v>
      </c>
      <c r="L1481" s="59">
        <f t="shared" si="23"/>
        <v>5500</v>
      </c>
      <c r="M1481" s="59"/>
    </row>
    <row r="1482" spans="1:13" ht="30">
      <c r="A1482" s="56">
        <v>474</v>
      </c>
      <c r="B1482" s="56">
        <v>474</v>
      </c>
      <c r="C1482" s="56">
        <v>474</v>
      </c>
      <c r="D1482" s="56" t="s">
        <v>1940</v>
      </c>
      <c r="F1482" s="56" t="s">
        <v>24</v>
      </c>
      <c r="G1482" s="56">
        <v>1</v>
      </c>
      <c r="H1482" s="56">
        <v>5</v>
      </c>
      <c r="I1482" s="56">
        <v>1200</v>
      </c>
      <c r="J1482" s="59" t="s">
        <v>1181</v>
      </c>
      <c r="K1482" s="59">
        <v>1</v>
      </c>
      <c r="L1482" s="59">
        <f t="shared" si="23"/>
        <v>6000</v>
      </c>
      <c r="M1482" s="59"/>
    </row>
    <row r="1483" spans="1:13" ht="30">
      <c r="A1483" s="56">
        <v>476</v>
      </c>
      <c r="B1483" s="56">
        <v>476</v>
      </c>
      <c r="C1483" s="56">
        <v>476</v>
      </c>
      <c r="D1483" s="56" t="s">
        <v>1942</v>
      </c>
      <c r="F1483" s="56" t="s">
        <v>24</v>
      </c>
      <c r="G1483" s="56">
        <v>1</v>
      </c>
      <c r="H1483" s="56">
        <v>5</v>
      </c>
      <c r="I1483" s="56">
        <v>700</v>
      </c>
      <c r="J1483" s="59" t="s">
        <v>1181</v>
      </c>
      <c r="K1483" s="59">
        <v>1</v>
      </c>
      <c r="L1483" s="59">
        <f t="shared" si="23"/>
        <v>3500</v>
      </c>
      <c r="M1483" s="59"/>
    </row>
    <row r="1484" spans="1:13" ht="30">
      <c r="A1484" s="56">
        <v>509</v>
      </c>
      <c r="B1484" s="56">
        <v>509</v>
      </c>
      <c r="C1484" s="56">
        <v>509</v>
      </c>
      <c r="D1484" s="56" t="s">
        <v>62</v>
      </c>
      <c r="F1484" s="56" t="s">
        <v>24</v>
      </c>
      <c r="G1484" s="56">
        <v>1</v>
      </c>
      <c r="H1484" s="56">
        <v>5</v>
      </c>
      <c r="I1484" s="56">
        <v>300</v>
      </c>
      <c r="J1484" s="59" t="s">
        <v>1181</v>
      </c>
      <c r="K1484" s="59">
        <v>1</v>
      </c>
      <c r="L1484" s="59">
        <f t="shared" si="23"/>
        <v>1500</v>
      </c>
      <c r="M1484" s="59"/>
    </row>
    <row r="1485" spans="1:13" ht="30">
      <c r="A1485" s="56">
        <v>524</v>
      </c>
      <c r="B1485" s="56">
        <v>524</v>
      </c>
      <c r="C1485" s="56">
        <v>524</v>
      </c>
      <c r="D1485" s="56" t="s">
        <v>1986</v>
      </c>
      <c r="F1485" s="56" t="s">
        <v>24</v>
      </c>
      <c r="G1485" s="56">
        <v>1</v>
      </c>
      <c r="H1485" s="56">
        <v>5</v>
      </c>
      <c r="I1485" s="56">
        <v>600</v>
      </c>
      <c r="J1485" s="59" t="s">
        <v>1181</v>
      </c>
      <c r="K1485" s="59">
        <v>1</v>
      </c>
      <c r="L1485" s="59">
        <f t="shared" si="23"/>
        <v>3000</v>
      </c>
      <c r="M1485" s="59"/>
    </row>
    <row r="1486" spans="1:13" ht="30">
      <c r="A1486" s="56">
        <v>537</v>
      </c>
      <c r="B1486" s="56">
        <v>537</v>
      </c>
      <c r="C1486" s="56">
        <v>537</v>
      </c>
      <c r="D1486" s="56" t="s">
        <v>1999</v>
      </c>
      <c r="F1486" s="56" t="s">
        <v>24</v>
      </c>
      <c r="G1486" s="56">
        <v>1</v>
      </c>
      <c r="H1486" s="56">
        <v>5</v>
      </c>
      <c r="I1486" s="56">
        <v>450</v>
      </c>
      <c r="J1486" s="59" t="s">
        <v>1181</v>
      </c>
      <c r="K1486" s="59">
        <v>1</v>
      </c>
      <c r="L1486" s="59">
        <f t="shared" si="23"/>
        <v>2250</v>
      </c>
      <c r="M1486" s="59"/>
    </row>
    <row r="1487" spans="1:13" ht="30">
      <c r="A1487" s="56">
        <v>569</v>
      </c>
      <c r="B1487" s="56">
        <v>569</v>
      </c>
      <c r="C1487" s="56">
        <v>569</v>
      </c>
      <c r="D1487" s="56" t="s">
        <v>2028</v>
      </c>
      <c r="F1487" s="56" t="s">
        <v>24</v>
      </c>
      <c r="G1487" s="56">
        <v>1</v>
      </c>
      <c r="H1487" s="56">
        <v>5</v>
      </c>
      <c r="I1487" s="56">
        <v>200</v>
      </c>
      <c r="J1487" s="59" t="s">
        <v>1181</v>
      </c>
      <c r="K1487" s="59">
        <v>1</v>
      </c>
      <c r="L1487" s="59">
        <f t="shared" si="23"/>
        <v>1000</v>
      </c>
      <c r="M1487" s="59"/>
    </row>
    <row r="1488" spans="1:13" ht="30">
      <c r="A1488" s="56">
        <v>571</v>
      </c>
      <c r="B1488" s="56">
        <v>571</v>
      </c>
      <c r="C1488" s="56">
        <v>571</v>
      </c>
      <c r="D1488" s="56" t="s">
        <v>2030</v>
      </c>
      <c r="F1488" s="56" t="s">
        <v>24</v>
      </c>
      <c r="G1488" s="56">
        <v>1</v>
      </c>
      <c r="H1488" s="56">
        <v>5</v>
      </c>
      <c r="I1488" s="56">
        <v>100</v>
      </c>
      <c r="J1488" s="59" t="s">
        <v>1181</v>
      </c>
      <c r="K1488" s="59">
        <v>1</v>
      </c>
      <c r="L1488" s="59">
        <f t="shared" si="23"/>
        <v>500</v>
      </c>
      <c r="M1488" s="59"/>
    </row>
    <row r="1489" spans="1:14" ht="30">
      <c r="A1489" s="56">
        <v>580</v>
      </c>
      <c r="B1489" s="56">
        <v>580</v>
      </c>
      <c r="C1489" s="56">
        <v>580</v>
      </c>
      <c r="D1489" s="56" t="s">
        <v>2038</v>
      </c>
      <c r="F1489" s="56" t="s">
        <v>24</v>
      </c>
      <c r="G1489" s="56">
        <v>1</v>
      </c>
      <c r="H1489" s="56">
        <v>5</v>
      </c>
      <c r="I1489" s="56">
        <v>240</v>
      </c>
      <c r="J1489" s="59" t="s">
        <v>1181</v>
      </c>
      <c r="K1489" s="59">
        <v>1</v>
      </c>
      <c r="L1489" s="59">
        <f t="shared" si="23"/>
        <v>1200</v>
      </c>
      <c r="M1489" s="59"/>
    </row>
    <row r="1490" spans="1:14" ht="30">
      <c r="A1490" s="56">
        <v>606</v>
      </c>
      <c r="B1490" s="56">
        <v>606</v>
      </c>
      <c r="C1490" s="56">
        <v>606</v>
      </c>
      <c r="D1490" s="56" t="s">
        <v>2054</v>
      </c>
      <c r="F1490" s="56" t="s">
        <v>24</v>
      </c>
      <c r="G1490" s="56">
        <v>1</v>
      </c>
      <c r="H1490" s="56">
        <v>5</v>
      </c>
      <c r="I1490" s="56">
        <v>60</v>
      </c>
      <c r="J1490" s="59" t="s">
        <v>1181</v>
      </c>
      <c r="K1490" s="59">
        <v>1</v>
      </c>
      <c r="L1490" s="59">
        <f t="shared" si="23"/>
        <v>300</v>
      </c>
      <c r="M1490" s="59"/>
    </row>
    <row r="1491" spans="1:14" ht="30">
      <c r="A1491" s="56">
        <v>618</v>
      </c>
      <c r="B1491" s="56">
        <v>618</v>
      </c>
      <c r="C1491" s="56">
        <v>618</v>
      </c>
      <c r="D1491" s="56" t="s">
        <v>2065</v>
      </c>
      <c r="F1491" s="56" t="s">
        <v>24</v>
      </c>
      <c r="G1491" s="56">
        <v>1</v>
      </c>
      <c r="H1491" s="56">
        <v>5</v>
      </c>
      <c r="I1491" s="56">
        <v>900</v>
      </c>
      <c r="J1491" s="59" t="s">
        <v>1181</v>
      </c>
      <c r="K1491" s="59">
        <v>1</v>
      </c>
      <c r="L1491" s="59">
        <f t="shared" si="23"/>
        <v>4500</v>
      </c>
      <c r="M1491" s="59"/>
    </row>
    <row r="1492" spans="1:14" ht="30">
      <c r="A1492" s="56">
        <v>628</v>
      </c>
      <c r="B1492" s="56">
        <v>628</v>
      </c>
      <c r="C1492" s="56">
        <v>628</v>
      </c>
      <c r="D1492" s="56" t="s">
        <v>2072</v>
      </c>
      <c r="F1492" s="56" t="s">
        <v>24</v>
      </c>
      <c r="G1492" s="56">
        <v>1</v>
      </c>
      <c r="H1492" s="56">
        <v>5</v>
      </c>
      <c r="I1492" s="56">
        <v>150</v>
      </c>
      <c r="J1492" s="59" t="s">
        <v>1181</v>
      </c>
      <c r="K1492" s="59">
        <v>1</v>
      </c>
      <c r="L1492" s="59">
        <f t="shared" si="23"/>
        <v>750</v>
      </c>
      <c r="M1492" s="59"/>
    </row>
    <row r="1493" spans="1:14" ht="30">
      <c r="A1493" s="56">
        <v>638</v>
      </c>
      <c r="B1493" s="56">
        <v>638</v>
      </c>
      <c r="C1493" s="56">
        <v>638</v>
      </c>
      <c r="D1493" s="56" t="s">
        <v>2082</v>
      </c>
      <c r="F1493" s="56" t="s">
        <v>24</v>
      </c>
      <c r="G1493" s="56">
        <v>1</v>
      </c>
      <c r="H1493" s="56">
        <v>5</v>
      </c>
      <c r="I1493" s="56">
        <v>480</v>
      </c>
      <c r="J1493" s="59" t="s">
        <v>1181</v>
      </c>
      <c r="K1493" s="59">
        <v>1</v>
      </c>
      <c r="L1493" s="59">
        <f t="shared" si="23"/>
        <v>2400</v>
      </c>
      <c r="M1493" s="59"/>
    </row>
    <row r="1494" spans="1:14" ht="30">
      <c r="A1494" s="56">
        <v>711</v>
      </c>
      <c r="B1494" s="56">
        <v>711</v>
      </c>
      <c r="C1494" s="56">
        <v>711</v>
      </c>
      <c r="D1494" s="56" t="s">
        <v>2154</v>
      </c>
      <c r="F1494" s="56" t="s">
        <v>24</v>
      </c>
      <c r="G1494" s="56">
        <v>1</v>
      </c>
      <c r="H1494" s="56">
        <v>5</v>
      </c>
      <c r="I1494" s="56">
        <v>2500</v>
      </c>
      <c r="J1494" s="59" t="s">
        <v>1181</v>
      </c>
      <c r="K1494" s="59">
        <v>1</v>
      </c>
      <c r="L1494" s="59">
        <f t="shared" si="23"/>
        <v>12500</v>
      </c>
      <c r="M1494" s="59"/>
    </row>
    <row r="1495" spans="1:14" ht="30">
      <c r="A1495" s="56">
        <v>718</v>
      </c>
      <c r="B1495" s="56">
        <v>718</v>
      </c>
      <c r="C1495" s="56">
        <v>718</v>
      </c>
      <c r="D1495" s="56" t="s">
        <v>2161</v>
      </c>
      <c r="F1495" s="56" t="s">
        <v>24</v>
      </c>
      <c r="G1495" s="56">
        <v>1</v>
      </c>
      <c r="H1495" s="56">
        <v>5</v>
      </c>
      <c r="I1495" s="56">
        <v>2500</v>
      </c>
      <c r="J1495" s="59" t="s">
        <v>1181</v>
      </c>
      <c r="K1495" s="59">
        <v>1</v>
      </c>
      <c r="L1495" s="59">
        <f t="shared" si="23"/>
        <v>12500</v>
      </c>
      <c r="M1495" s="59"/>
    </row>
    <row r="1496" spans="1:14" ht="30">
      <c r="A1496" s="56">
        <v>723</v>
      </c>
      <c r="B1496" s="56">
        <v>723</v>
      </c>
      <c r="C1496" s="56">
        <v>723</v>
      </c>
      <c r="D1496" s="56" t="s">
        <v>2166</v>
      </c>
      <c r="F1496" s="56" t="s">
        <v>24</v>
      </c>
      <c r="G1496" s="56">
        <v>1</v>
      </c>
      <c r="H1496" s="56">
        <v>5</v>
      </c>
      <c r="I1496" s="56">
        <v>1500</v>
      </c>
      <c r="J1496" s="59" t="s">
        <v>1181</v>
      </c>
      <c r="K1496" s="59">
        <v>1</v>
      </c>
      <c r="L1496" s="59">
        <f t="shared" si="23"/>
        <v>7500</v>
      </c>
      <c r="M1496" s="59"/>
    </row>
    <row r="1497" spans="1:14" ht="30">
      <c r="A1497" s="56">
        <v>728</v>
      </c>
      <c r="B1497" s="56">
        <v>728</v>
      </c>
      <c r="C1497" s="56">
        <v>728</v>
      </c>
      <c r="D1497" s="56" t="s">
        <v>2171</v>
      </c>
      <c r="F1497" s="56" t="s">
        <v>24</v>
      </c>
      <c r="G1497" s="56">
        <v>1</v>
      </c>
      <c r="H1497" s="56">
        <v>5</v>
      </c>
      <c r="I1497" s="56">
        <v>950</v>
      </c>
      <c r="J1497" s="59" t="s">
        <v>1181</v>
      </c>
      <c r="K1497" s="59">
        <v>1</v>
      </c>
      <c r="L1497" s="59">
        <f t="shared" si="23"/>
        <v>4750</v>
      </c>
      <c r="M1497" s="59"/>
    </row>
    <row r="1498" spans="1:14" ht="30">
      <c r="A1498" s="56">
        <v>761</v>
      </c>
      <c r="B1498" s="56">
        <v>761</v>
      </c>
      <c r="C1498" s="56">
        <v>761</v>
      </c>
      <c r="D1498" s="56" t="s">
        <v>2203</v>
      </c>
      <c r="F1498" s="56" t="s">
        <v>24</v>
      </c>
      <c r="G1498" s="56">
        <v>1</v>
      </c>
      <c r="H1498" s="56">
        <v>5</v>
      </c>
      <c r="I1498" s="56">
        <v>2000</v>
      </c>
      <c r="J1498" s="59" t="s">
        <v>1181</v>
      </c>
      <c r="K1498" s="59">
        <v>1</v>
      </c>
      <c r="L1498" s="59">
        <f t="shared" si="23"/>
        <v>10000</v>
      </c>
      <c r="M1498" s="59"/>
    </row>
    <row r="1499" spans="1:14" ht="30">
      <c r="A1499" s="56">
        <v>850</v>
      </c>
      <c r="B1499" s="56">
        <v>850</v>
      </c>
      <c r="C1499" s="56">
        <v>850</v>
      </c>
      <c r="D1499" s="56" t="s">
        <v>1332</v>
      </c>
      <c r="F1499" s="58" t="s">
        <v>24</v>
      </c>
      <c r="G1499" s="58">
        <v>1</v>
      </c>
      <c r="H1499" s="58">
        <v>5</v>
      </c>
      <c r="I1499" s="56">
        <v>130</v>
      </c>
      <c r="J1499" s="59" t="s">
        <v>1181</v>
      </c>
      <c r="K1499" s="59">
        <v>1</v>
      </c>
      <c r="L1499" s="59">
        <f t="shared" si="23"/>
        <v>650</v>
      </c>
      <c r="M1499" s="59"/>
      <c r="N1499" s="58"/>
    </row>
    <row r="1500" spans="1:14" ht="30">
      <c r="A1500" s="56">
        <v>881</v>
      </c>
      <c r="B1500" s="56">
        <v>881</v>
      </c>
      <c r="C1500" s="56">
        <v>881</v>
      </c>
      <c r="D1500" s="56" t="s">
        <v>2224</v>
      </c>
      <c r="F1500" s="56" t="s">
        <v>24</v>
      </c>
      <c r="G1500" s="56">
        <v>1</v>
      </c>
      <c r="H1500" s="56">
        <v>5</v>
      </c>
      <c r="I1500" s="56">
        <v>150</v>
      </c>
      <c r="J1500" s="59" t="s">
        <v>1181</v>
      </c>
      <c r="K1500" s="59">
        <v>1</v>
      </c>
      <c r="L1500" s="59">
        <f t="shared" si="23"/>
        <v>750</v>
      </c>
      <c r="M1500" s="59"/>
    </row>
    <row r="1501" spans="1:14" ht="30">
      <c r="A1501" s="56">
        <v>883</v>
      </c>
      <c r="B1501" s="56">
        <v>883</v>
      </c>
      <c r="C1501" s="56">
        <v>883</v>
      </c>
      <c r="D1501" s="56" t="s">
        <v>2226</v>
      </c>
      <c r="F1501" s="56" t="s">
        <v>24</v>
      </c>
      <c r="G1501" s="56">
        <v>1</v>
      </c>
      <c r="H1501" s="56">
        <v>5</v>
      </c>
      <c r="I1501" s="56">
        <v>165</v>
      </c>
      <c r="J1501" s="59" t="s">
        <v>1181</v>
      </c>
      <c r="K1501" s="59">
        <v>1</v>
      </c>
      <c r="L1501" s="59">
        <f t="shared" si="23"/>
        <v>825</v>
      </c>
      <c r="M1501" s="59"/>
    </row>
    <row r="1502" spans="1:14" ht="30">
      <c r="A1502" s="56">
        <v>884</v>
      </c>
      <c r="B1502" s="56">
        <v>884</v>
      </c>
      <c r="C1502" s="56">
        <v>884</v>
      </c>
      <c r="D1502" s="56" t="s">
        <v>2227</v>
      </c>
      <c r="F1502" s="56" t="s">
        <v>24</v>
      </c>
      <c r="G1502" s="56">
        <v>1</v>
      </c>
      <c r="H1502" s="56">
        <v>5</v>
      </c>
      <c r="I1502" s="56">
        <v>100</v>
      </c>
      <c r="J1502" s="59" t="s">
        <v>1181</v>
      </c>
      <c r="K1502" s="59">
        <v>1</v>
      </c>
      <c r="L1502" s="59">
        <f t="shared" si="23"/>
        <v>500</v>
      </c>
      <c r="M1502" s="59"/>
    </row>
    <row r="1503" spans="1:14" ht="30">
      <c r="A1503" s="56">
        <v>894</v>
      </c>
      <c r="B1503" s="56">
        <v>894</v>
      </c>
      <c r="C1503" s="56">
        <v>894</v>
      </c>
      <c r="D1503" s="56" t="s">
        <v>2237</v>
      </c>
      <c r="F1503" s="56" t="s">
        <v>24</v>
      </c>
      <c r="G1503" s="56">
        <v>1</v>
      </c>
      <c r="H1503" s="56">
        <v>5</v>
      </c>
      <c r="I1503" s="56">
        <v>100</v>
      </c>
      <c r="J1503" s="59" t="s">
        <v>1181</v>
      </c>
      <c r="K1503" s="59">
        <v>1</v>
      </c>
      <c r="L1503" s="59">
        <f t="shared" si="23"/>
        <v>500</v>
      </c>
      <c r="M1503" s="59"/>
    </row>
    <row r="1504" spans="1:14" ht="30">
      <c r="A1504" s="56">
        <v>944</v>
      </c>
      <c r="B1504" s="56">
        <v>944</v>
      </c>
      <c r="C1504" s="56">
        <v>944</v>
      </c>
      <c r="D1504" s="56" t="s">
        <v>2262</v>
      </c>
      <c r="F1504" s="56" t="s">
        <v>24</v>
      </c>
      <c r="G1504" s="56">
        <v>1</v>
      </c>
      <c r="H1504" s="56">
        <v>5</v>
      </c>
      <c r="I1504" s="56">
        <v>70</v>
      </c>
      <c r="J1504" s="59" t="s">
        <v>1181</v>
      </c>
      <c r="K1504" s="59">
        <v>1</v>
      </c>
      <c r="L1504" s="59">
        <f t="shared" si="23"/>
        <v>350</v>
      </c>
      <c r="M1504" s="59"/>
    </row>
    <row r="1505" spans="1:14" ht="30">
      <c r="A1505" s="56">
        <v>945</v>
      </c>
      <c r="B1505" s="56">
        <v>945</v>
      </c>
      <c r="C1505" s="56">
        <v>945</v>
      </c>
      <c r="D1505" s="56" t="s">
        <v>1507</v>
      </c>
      <c r="F1505" s="58" t="s">
        <v>24</v>
      </c>
      <c r="G1505" s="58">
        <v>1</v>
      </c>
      <c r="H1505" s="58">
        <v>5</v>
      </c>
      <c r="I1505" s="56">
        <v>221</v>
      </c>
      <c r="J1505" s="59" t="s">
        <v>1181</v>
      </c>
      <c r="K1505" s="59">
        <v>1</v>
      </c>
      <c r="L1505" s="59">
        <f t="shared" si="23"/>
        <v>1105</v>
      </c>
      <c r="M1505" s="59"/>
      <c r="N1505" s="58"/>
    </row>
    <row r="1506" spans="1:14" ht="30">
      <c r="A1506" s="56">
        <v>946</v>
      </c>
      <c r="B1506" s="56">
        <v>946</v>
      </c>
      <c r="C1506" s="56">
        <v>946</v>
      </c>
      <c r="D1506" s="56" t="s">
        <v>2263</v>
      </c>
      <c r="F1506" s="56" t="s">
        <v>24</v>
      </c>
      <c r="G1506" s="56">
        <v>1</v>
      </c>
      <c r="H1506" s="56">
        <v>5</v>
      </c>
      <c r="I1506" s="56">
        <v>220</v>
      </c>
      <c r="J1506" s="59" t="s">
        <v>1181</v>
      </c>
      <c r="K1506" s="59">
        <v>1</v>
      </c>
      <c r="L1506" s="59">
        <f t="shared" si="23"/>
        <v>1100</v>
      </c>
      <c r="M1506" s="59"/>
    </row>
    <row r="1507" spans="1:14" ht="30">
      <c r="A1507" s="56">
        <v>971</v>
      </c>
      <c r="B1507" s="56">
        <v>971</v>
      </c>
      <c r="C1507" s="56">
        <v>971</v>
      </c>
      <c r="D1507" s="56" t="s">
        <v>1391</v>
      </c>
      <c r="F1507" s="58" t="s">
        <v>24</v>
      </c>
      <c r="G1507" s="58">
        <v>1</v>
      </c>
      <c r="H1507" s="58">
        <v>5</v>
      </c>
      <c r="I1507" s="56">
        <v>70</v>
      </c>
      <c r="J1507" s="59" t="s">
        <v>1181</v>
      </c>
      <c r="K1507" s="59">
        <v>1</v>
      </c>
      <c r="L1507" s="59">
        <f t="shared" si="23"/>
        <v>350</v>
      </c>
      <c r="M1507" s="59"/>
      <c r="N1507" s="58"/>
    </row>
    <row r="1508" spans="1:14" ht="30">
      <c r="A1508" s="56">
        <v>994</v>
      </c>
      <c r="B1508" s="56">
        <v>994</v>
      </c>
      <c r="C1508" s="56">
        <v>994</v>
      </c>
      <c r="D1508" s="56" t="s">
        <v>2287</v>
      </c>
      <c r="F1508" s="56" t="s">
        <v>24</v>
      </c>
      <c r="G1508" s="56">
        <v>1</v>
      </c>
      <c r="H1508" s="56">
        <v>5</v>
      </c>
      <c r="I1508" s="56">
        <v>540</v>
      </c>
      <c r="J1508" s="59" t="s">
        <v>1181</v>
      </c>
      <c r="K1508" s="59">
        <v>1</v>
      </c>
      <c r="L1508" s="59">
        <f t="shared" si="23"/>
        <v>2700</v>
      </c>
      <c r="M1508" s="59"/>
    </row>
    <row r="1509" spans="1:14" ht="30">
      <c r="A1509" s="56">
        <v>1044</v>
      </c>
      <c r="B1509" s="56">
        <v>1044</v>
      </c>
      <c r="C1509" s="56">
        <v>1044</v>
      </c>
      <c r="D1509" s="56" t="s">
        <v>2333</v>
      </c>
      <c r="F1509" s="56" t="s">
        <v>24</v>
      </c>
      <c r="G1509" s="56">
        <v>1</v>
      </c>
      <c r="H1509" s="56">
        <v>5</v>
      </c>
      <c r="I1509" s="56">
        <v>800</v>
      </c>
      <c r="J1509" s="59" t="s">
        <v>1181</v>
      </c>
      <c r="K1509" s="59">
        <v>1</v>
      </c>
      <c r="L1509" s="59">
        <f t="shared" si="23"/>
        <v>4000</v>
      </c>
      <c r="M1509" s="59"/>
    </row>
    <row r="1510" spans="1:14" ht="30">
      <c r="A1510" s="56">
        <v>1092</v>
      </c>
      <c r="B1510" s="56">
        <v>1092</v>
      </c>
      <c r="C1510" s="56">
        <v>1092</v>
      </c>
      <c r="D1510" s="56" t="s">
        <v>1409</v>
      </c>
      <c r="F1510" s="58" t="s">
        <v>24</v>
      </c>
      <c r="G1510" s="58">
        <v>1</v>
      </c>
      <c r="H1510" s="58">
        <v>5</v>
      </c>
      <c r="I1510" s="56">
        <v>125</v>
      </c>
      <c r="J1510" s="59" t="s">
        <v>1181</v>
      </c>
      <c r="K1510" s="59">
        <v>1</v>
      </c>
      <c r="L1510" s="59">
        <f t="shared" si="23"/>
        <v>625</v>
      </c>
      <c r="M1510" s="59"/>
      <c r="N1510" s="58"/>
    </row>
    <row r="1511" spans="1:14" ht="30">
      <c r="A1511" s="56">
        <v>1094</v>
      </c>
      <c r="B1511" s="56">
        <v>1094</v>
      </c>
      <c r="C1511" s="56">
        <v>1094</v>
      </c>
      <c r="D1511" s="56" t="s">
        <v>2365</v>
      </c>
      <c r="F1511" s="56" t="s">
        <v>24</v>
      </c>
      <c r="G1511" s="56">
        <v>1</v>
      </c>
      <c r="H1511" s="56">
        <v>5</v>
      </c>
      <c r="I1511" s="56">
        <v>200</v>
      </c>
      <c r="J1511" s="59" t="s">
        <v>1181</v>
      </c>
      <c r="K1511" s="59">
        <v>1</v>
      </c>
      <c r="L1511" s="59">
        <f t="shared" si="23"/>
        <v>1000</v>
      </c>
      <c r="M1511" s="59"/>
    </row>
    <row r="1512" spans="1:14" ht="30">
      <c r="A1512" s="56">
        <v>1113</v>
      </c>
      <c r="B1512" s="56">
        <v>1113</v>
      </c>
      <c r="C1512" s="56">
        <v>1113</v>
      </c>
      <c r="D1512" s="56" t="s">
        <v>2380</v>
      </c>
      <c r="F1512" s="56" t="s">
        <v>24</v>
      </c>
      <c r="G1512" s="56">
        <v>1</v>
      </c>
      <c r="H1512" s="56">
        <v>5</v>
      </c>
      <c r="I1512" s="56">
        <v>1200</v>
      </c>
      <c r="J1512" s="59" t="s">
        <v>1181</v>
      </c>
      <c r="K1512" s="59">
        <v>1</v>
      </c>
      <c r="L1512" s="59">
        <f t="shared" si="23"/>
        <v>6000</v>
      </c>
      <c r="M1512" s="59"/>
    </row>
    <row r="1513" spans="1:14" ht="30">
      <c r="A1513" s="56">
        <v>1126</v>
      </c>
      <c r="B1513" s="56">
        <v>1126</v>
      </c>
      <c r="C1513" s="56">
        <v>1126</v>
      </c>
      <c r="D1513" s="56" t="s">
        <v>2393</v>
      </c>
      <c r="F1513" s="56" t="s">
        <v>24</v>
      </c>
      <c r="G1513" s="56">
        <v>1</v>
      </c>
      <c r="H1513" s="56">
        <v>5</v>
      </c>
      <c r="I1513" s="56">
        <v>1200</v>
      </c>
      <c r="J1513" s="59" t="s">
        <v>1181</v>
      </c>
      <c r="K1513" s="59">
        <v>1</v>
      </c>
      <c r="L1513" s="59">
        <f t="shared" si="23"/>
        <v>6000</v>
      </c>
      <c r="M1513" s="59"/>
    </row>
    <row r="1514" spans="1:14" ht="30">
      <c r="A1514" s="56">
        <v>1142</v>
      </c>
      <c r="B1514" s="56">
        <v>1142</v>
      </c>
      <c r="C1514" s="56">
        <v>1142</v>
      </c>
      <c r="D1514" s="56" t="s">
        <v>2406</v>
      </c>
      <c r="F1514" s="56" t="s">
        <v>24</v>
      </c>
      <c r="G1514" s="56">
        <v>1</v>
      </c>
      <c r="H1514" s="56">
        <v>5</v>
      </c>
      <c r="I1514" s="56">
        <v>700</v>
      </c>
      <c r="J1514" s="59" t="s">
        <v>1181</v>
      </c>
      <c r="K1514" s="59">
        <v>1</v>
      </c>
      <c r="L1514" s="59">
        <f t="shared" si="23"/>
        <v>3500</v>
      </c>
      <c r="M1514" s="59"/>
    </row>
    <row r="1515" spans="1:14" ht="30">
      <c r="A1515" s="56">
        <v>1143</v>
      </c>
      <c r="B1515" s="56">
        <v>1143</v>
      </c>
      <c r="C1515" s="56">
        <v>1143</v>
      </c>
      <c r="D1515" s="56" t="s">
        <v>2407</v>
      </c>
      <c r="F1515" s="56" t="s">
        <v>24</v>
      </c>
      <c r="G1515" s="56">
        <v>1</v>
      </c>
      <c r="H1515" s="56">
        <v>5</v>
      </c>
      <c r="I1515" s="56">
        <v>500</v>
      </c>
      <c r="J1515" s="59" t="s">
        <v>1181</v>
      </c>
      <c r="K1515" s="59">
        <v>1</v>
      </c>
      <c r="L1515" s="59">
        <f t="shared" si="23"/>
        <v>2500</v>
      </c>
      <c r="M1515" s="59"/>
    </row>
    <row r="1516" spans="1:14" ht="30">
      <c r="A1516" s="56">
        <v>1180</v>
      </c>
      <c r="B1516" s="56">
        <v>1180</v>
      </c>
      <c r="C1516" s="56">
        <v>1180</v>
      </c>
      <c r="D1516" s="56" t="s">
        <v>1420</v>
      </c>
      <c r="F1516" s="58" t="s">
        <v>24</v>
      </c>
      <c r="G1516" s="58">
        <v>1</v>
      </c>
      <c r="H1516" s="58">
        <v>5</v>
      </c>
      <c r="I1516" s="56">
        <v>128</v>
      </c>
      <c r="J1516" s="59" t="s">
        <v>1181</v>
      </c>
      <c r="K1516" s="59">
        <v>1</v>
      </c>
      <c r="L1516" s="59">
        <f t="shared" si="23"/>
        <v>640</v>
      </c>
      <c r="M1516" s="59"/>
      <c r="N1516" s="58"/>
    </row>
    <row r="1517" spans="1:14" ht="30">
      <c r="A1517" s="56">
        <v>1186</v>
      </c>
      <c r="B1517" s="56">
        <v>1186</v>
      </c>
      <c r="C1517" s="56">
        <v>1186</v>
      </c>
      <c r="D1517" s="56" t="s">
        <v>2436</v>
      </c>
      <c r="F1517" s="56" t="s">
        <v>24</v>
      </c>
      <c r="G1517" s="56">
        <v>1</v>
      </c>
      <c r="H1517" s="56">
        <v>5</v>
      </c>
      <c r="I1517" s="56">
        <v>850</v>
      </c>
      <c r="J1517" s="59" t="s">
        <v>1181</v>
      </c>
      <c r="K1517" s="59">
        <v>1</v>
      </c>
      <c r="L1517" s="59">
        <f t="shared" si="23"/>
        <v>4250</v>
      </c>
      <c r="M1517" s="59"/>
    </row>
    <row r="1518" spans="1:14" ht="30">
      <c r="A1518" s="56">
        <v>1187</v>
      </c>
      <c r="B1518" s="56">
        <v>1187</v>
      </c>
      <c r="C1518" s="56">
        <v>1187</v>
      </c>
      <c r="D1518" s="56" t="s">
        <v>2437</v>
      </c>
      <c r="F1518" s="56" t="s">
        <v>24</v>
      </c>
      <c r="G1518" s="56">
        <v>1</v>
      </c>
      <c r="H1518" s="56">
        <v>5</v>
      </c>
      <c r="I1518" s="56">
        <v>1100</v>
      </c>
      <c r="J1518" s="59" t="s">
        <v>1181</v>
      </c>
      <c r="K1518" s="59">
        <v>1</v>
      </c>
      <c r="L1518" s="59">
        <f t="shared" si="23"/>
        <v>5500</v>
      </c>
      <c r="M1518" s="59"/>
    </row>
    <row r="1519" spans="1:14" ht="30">
      <c r="A1519" s="56">
        <v>1196</v>
      </c>
      <c r="B1519" s="56">
        <v>1196</v>
      </c>
      <c r="C1519" s="56">
        <v>1196</v>
      </c>
      <c r="D1519" s="56" t="s">
        <v>2445</v>
      </c>
      <c r="F1519" s="56" t="s">
        <v>24</v>
      </c>
      <c r="G1519" s="56">
        <v>1</v>
      </c>
      <c r="H1519" s="56">
        <v>5</v>
      </c>
      <c r="I1519" s="56">
        <v>800</v>
      </c>
      <c r="J1519" s="59" t="s">
        <v>1181</v>
      </c>
      <c r="K1519" s="59">
        <v>1</v>
      </c>
      <c r="L1519" s="59">
        <f t="shared" si="23"/>
        <v>4000</v>
      </c>
      <c r="M1519" s="59"/>
    </row>
    <row r="1520" spans="1:14" ht="30">
      <c r="A1520" s="56">
        <v>1212</v>
      </c>
      <c r="B1520" s="56">
        <v>1212</v>
      </c>
      <c r="C1520" s="56">
        <v>1212</v>
      </c>
      <c r="D1520" s="56" t="s">
        <v>2460</v>
      </c>
      <c r="F1520" s="56" t="s">
        <v>24</v>
      </c>
      <c r="G1520" s="56">
        <v>1</v>
      </c>
      <c r="H1520" s="56">
        <v>5</v>
      </c>
      <c r="I1520" s="56">
        <v>250</v>
      </c>
      <c r="J1520" s="59" t="s">
        <v>1181</v>
      </c>
      <c r="K1520" s="59">
        <v>1</v>
      </c>
      <c r="L1520" s="59">
        <f t="shared" si="23"/>
        <v>1250</v>
      </c>
      <c r="M1520" s="59"/>
    </row>
    <row r="1521" spans="1:14" ht="30">
      <c r="A1521" s="56">
        <v>1220</v>
      </c>
      <c r="B1521" s="56">
        <v>1220</v>
      </c>
      <c r="C1521" s="56">
        <v>1220</v>
      </c>
      <c r="D1521" s="56" t="s">
        <v>2467</v>
      </c>
      <c r="F1521" s="56" t="s">
        <v>24</v>
      </c>
      <c r="G1521" s="56">
        <v>1</v>
      </c>
      <c r="H1521" s="56">
        <v>5</v>
      </c>
      <c r="I1521" s="56">
        <v>300</v>
      </c>
      <c r="J1521" s="59" t="s">
        <v>1181</v>
      </c>
      <c r="K1521" s="59">
        <v>1</v>
      </c>
      <c r="L1521" s="59">
        <f t="shared" si="23"/>
        <v>1500</v>
      </c>
      <c r="M1521" s="59"/>
    </row>
    <row r="1522" spans="1:14" ht="30">
      <c r="A1522" s="56">
        <v>1225</v>
      </c>
      <c r="B1522" s="56">
        <v>1225</v>
      </c>
      <c r="C1522" s="56">
        <v>1225</v>
      </c>
      <c r="D1522" s="56" t="s">
        <v>2472</v>
      </c>
      <c r="F1522" s="56" t="s">
        <v>24</v>
      </c>
      <c r="G1522" s="56">
        <v>1</v>
      </c>
      <c r="H1522" s="56">
        <v>5</v>
      </c>
      <c r="I1522" s="56">
        <v>1800</v>
      </c>
      <c r="J1522" s="59" t="s">
        <v>1181</v>
      </c>
      <c r="K1522" s="59">
        <v>1</v>
      </c>
      <c r="L1522" s="59">
        <f t="shared" si="23"/>
        <v>9000</v>
      </c>
      <c r="M1522" s="59"/>
    </row>
    <row r="1523" spans="1:14" ht="30">
      <c r="A1523" s="56">
        <v>1228</v>
      </c>
      <c r="B1523" s="56">
        <v>1228</v>
      </c>
      <c r="C1523" s="56">
        <v>1228</v>
      </c>
      <c r="D1523" s="56" t="s">
        <v>1425</v>
      </c>
      <c r="F1523" s="58" t="s">
        <v>1190</v>
      </c>
      <c r="G1523" s="58">
        <v>1</v>
      </c>
      <c r="H1523" s="58">
        <v>5</v>
      </c>
      <c r="I1523" s="56">
        <v>139.19999999999999</v>
      </c>
      <c r="J1523" s="59" t="s">
        <v>1181</v>
      </c>
      <c r="K1523" s="59">
        <v>1</v>
      </c>
      <c r="L1523" s="59">
        <f t="shared" si="23"/>
        <v>696</v>
      </c>
      <c r="M1523" s="59"/>
      <c r="N1523" s="58"/>
    </row>
    <row r="1524" spans="1:14" ht="30">
      <c r="A1524" s="56">
        <v>1258</v>
      </c>
      <c r="B1524" s="56">
        <v>1258</v>
      </c>
      <c r="C1524" s="56">
        <v>1258</v>
      </c>
      <c r="D1524" s="56" t="s">
        <v>2483</v>
      </c>
      <c r="F1524" s="56" t="s">
        <v>24</v>
      </c>
      <c r="G1524" s="56">
        <v>1</v>
      </c>
      <c r="H1524" s="56">
        <v>5</v>
      </c>
      <c r="I1524" s="56">
        <v>1000</v>
      </c>
      <c r="J1524" s="59" t="s">
        <v>1181</v>
      </c>
      <c r="K1524" s="59">
        <v>1</v>
      </c>
      <c r="L1524" s="59">
        <f t="shared" si="23"/>
        <v>5000</v>
      </c>
      <c r="M1524" s="59"/>
    </row>
    <row r="1525" spans="1:14" ht="30">
      <c r="A1525" s="56">
        <v>1262</v>
      </c>
      <c r="B1525" s="56">
        <v>1262</v>
      </c>
      <c r="C1525" s="56">
        <v>1262</v>
      </c>
      <c r="D1525" s="56" t="s">
        <v>2487</v>
      </c>
      <c r="F1525" s="56" t="s">
        <v>24</v>
      </c>
      <c r="G1525" s="56">
        <v>1</v>
      </c>
      <c r="H1525" s="56">
        <v>5</v>
      </c>
      <c r="I1525" s="56">
        <v>900</v>
      </c>
      <c r="J1525" s="59" t="s">
        <v>1181</v>
      </c>
      <c r="K1525" s="59">
        <v>1</v>
      </c>
      <c r="L1525" s="59">
        <f t="shared" si="23"/>
        <v>4500</v>
      </c>
      <c r="M1525" s="59"/>
    </row>
    <row r="1526" spans="1:14" ht="30">
      <c r="A1526" s="56">
        <v>1330</v>
      </c>
      <c r="B1526" s="56">
        <v>1330</v>
      </c>
      <c r="C1526" s="56">
        <v>1330</v>
      </c>
      <c r="D1526" s="56" t="s">
        <v>2553</v>
      </c>
      <c r="F1526" s="56" t="s">
        <v>24</v>
      </c>
      <c r="G1526" s="56">
        <v>1</v>
      </c>
      <c r="H1526" s="56">
        <v>5</v>
      </c>
      <c r="I1526" s="56">
        <v>150</v>
      </c>
      <c r="J1526" s="59" t="s">
        <v>1181</v>
      </c>
      <c r="K1526" s="59">
        <v>1</v>
      </c>
      <c r="L1526" s="59">
        <f t="shared" si="23"/>
        <v>750</v>
      </c>
      <c r="M1526" s="59"/>
    </row>
    <row r="1527" spans="1:14" ht="30">
      <c r="A1527" s="56">
        <v>1331</v>
      </c>
      <c r="B1527" s="56">
        <v>1331</v>
      </c>
      <c r="C1527" s="56">
        <v>1331</v>
      </c>
      <c r="D1527" s="56" t="s">
        <v>2554</v>
      </c>
      <c r="F1527" s="56" t="s">
        <v>24</v>
      </c>
      <c r="G1527" s="56">
        <v>1</v>
      </c>
      <c r="H1527" s="56">
        <v>5</v>
      </c>
      <c r="I1527" s="56">
        <v>150</v>
      </c>
      <c r="J1527" s="59" t="s">
        <v>1181</v>
      </c>
      <c r="K1527" s="59">
        <v>1</v>
      </c>
      <c r="L1527" s="59">
        <f t="shared" si="23"/>
        <v>750</v>
      </c>
      <c r="M1527" s="59"/>
    </row>
    <row r="1528" spans="1:14" ht="30">
      <c r="A1528" s="56">
        <v>1342</v>
      </c>
      <c r="B1528" s="56">
        <v>1342</v>
      </c>
      <c r="C1528" s="56">
        <v>1342</v>
      </c>
      <c r="D1528" s="56" t="s">
        <v>2565</v>
      </c>
      <c r="F1528" s="56" t="s">
        <v>24</v>
      </c>
      <c r="G1528" s="56">
        <v>1</v>
      </c>
      <c r="H1528" s="56">
        <v>5</v>
      </c>
      <c r="I1528" s="56">
        <v>150</v>
      </c>
      <c r="J1528" s="59" t="s">
        <v>1181</v>
      </c>
      <c r="K1528" s="59">
        <v>1</v>
      </c>
      <c r="L1528" s="59">
        <f t="shared" si="23"/>
        <v>750</v>
      </c>
      <c r="M1528" s="59"/>
    </row>
    <row r="1529" spans="1:14" ht="30">
      <c r="A1529" s="56">
        <v>1344</v>
      </c>
      <c r="B1529" s="56">
        <v>1344</v>
      </c>
      <c r="C1529" s="56">
        <v>1344</v>
      </c>
      <c r="D1529" s="56" t="s">
        <v>2567</v>
      </c>
      <c r="F1529" s="56" t="s">
        <v>24</v>
      </c>
      <c r="G1529" s="56">
        <v>1</v>
      </c>
      <c r="H1529" s="56">
        <v>5</v>
      </c>
      <c r="I1529" s="56">
        <v>150</v>
      </c>
      <c r="J1529" s="59" t="s">
        <v>1181</v>
      </c>
      <c r="K1529" s="59">
        <v>1</v>
      </c>
      <c r="L1529" s="59">
        <f t="shared" si="23"/>
        <v>750</v>
      </c>
      <c r="M1529" s="59"/>
    </row>
    <row r="1530" spans="1:14" ht="30">
      <c r="A1530" s="56">
        <v>1377</v>
      </c>
      <c r="B1530" s="56">
        <v>1377</v>
      </c>
      <c r="C1530" s="56">
        <v>1377</v>
      </c>
      <c r="D1530" s="56" t="s">
        <v>2591</v>
      </c>
      <c r="F1530" s="56" t="s">
        <v>24</v>
      </c>
      <c r="G1530" s="56">
        <v>1</v>
      </c>
      <c r="H1530" s="56">
        <v>5</v>
      </c>
      <c r="I1530" s="56">
        <v>210</v>
      </c>
      <c r="J1530" s="59" t="s">
        <v>1181</v>
      </c>
      <c r="K1530" s="59">
        <v>1</v>
      </c>
      <c r="L1530" s="59">
        <f t="shared" si="23"/>
        <v>1050</v>
      </c>
      <c r="M1530" s="59"/>
    </row>
    <row r="1531" spans="1:14" ht="30">
      <c r="A1531" s="56">
        <v>1395</v>
      </c>
      <c r="B1531" s="56">
        <v>1395</v>
      </c>
      <c r="C1531" s="56">
        <v>1395</v>
      </c>
      <c r="D1531" s="56" t="s">
        <v>2607</v>
      </c>
      <c r="F1531" s="56" t="s">
        <v>24</v>
      </c>
      <c r="G1531" s="56">
        <v>1</v>
      </c>
      <c r="H1531" s="56">
        <v>5</v>
      </c>
      <c r="I1531" s="56">
        <v>200</v>
      </c>
      <c r="J1531" s="59" t="s">
        <v>1181</v>
      </c>
      <c r="K1531" s="59">
        <v>1</v>
      </c>
      <c r="L1531" s="59">
        <f t="shared" si="23"/>
        <v>1000</v>
      </c>
      <c r="M1531" s="59"/>
    </row>
    <row r="1532" spans="1:14" ht="30">
      <c r="A1532" s="56">
        <v>1476</v>
      </c>
      <c r="B1532" s="56">
        <v>1476</v>
      </c>
      <c r="C1532" s="56">
        <v>1476</v>
      </c>
      <c r="D1532" s="56" t="s">
        <v>2670</v>
      </c>
      <c r="F1532" s="56" t="s">
        <v>24</v>
      </c>
      <c r="G1532" s="56">
        <v>1</v>
      </c>
      <c r="H1532" s="56">
        <v>5</v>
      </c>
      <c r="I1532" s="56">
        <v>76.900000000000006</v>
      </c>
      <c r="J1532" s="59" t="s">
        <v>1181</v>
      </c>
      <c r="K1532" s="59">
        <v>1</v>
      </c>
      <c r="L1532" s="59">
        <f t="shared" si="23"/>
        <v>384.5</v>
      </c>
      <c r="M1532" s="59"/>
    </row>
    <row r="1533" spans="1:14" ht="30">
      <c r="A1533" s="56">
        <v>1484</v>
      </c>
      <c r="B1533" s="56">
        <v>1484</v>
      </c>
      <c r="C1533" s="56">
        <v>1484</v>
      </c>
      <c r="D1533" s="56" t="s">
        <v>2676</v>
      </c>
      <c r="F1533" s="56" t="s">
        <v>24</v>
      </c>
      <c r="G1533" s="56">
        <v>1</v>
      </c>
      <c r="H1533" s="56">
        <v>5</v>
      </c>
      <c r="I1533" s="56">
        <v>2400</v>
      </c>
      <c r="J1533" s="59" t="s">
        <v>1181</v>
      </c>
      <c r="K1533" s="59">
        <v>1</v>
      </c>
      <c r="L1533" s="59">
        <f t="shared" si="23"/>
        <v>12000</v>
      </c>
      <c r="M1533" s="59"/>
    </row>
    <row r="1534" spans="1:14" ht="30">
      <c r="A1534" s="56">
        <v>1509</v>
      </c>
      <c r="B1534" s="56">
        <v>1509</v>
      </c>
      <c r="C1534" s="56">
        <v>1509</v>
      </c>
      <c r="D1534" s="56" t="s">
        <v>2699</v>
      </c>
      <c r="F1534" s="56" t="s">
        <v>24</v>
      </c>
      <c r="G1534" s="56">
        <v>1</v>
      </c>
      <c r="H1534" s="56">
        <v>5</v>
      </c>
      <c r="I1534" s="56">
        <v>600</v>
      </c>
      <c r="J1534" s="59" t="s">
        <v>1181</v>
      </c>
      <c r="K1534" s="59">
        <v>1</v>
      </c>
      <c r="L1534" s="59">
        <f t="shared" si="23"/>
        <v>3000</v>
      </c>
      <c r="M1534" s="59"/>
    </row>
    <row r="1535" spans="1:14" ht="30">
      <c r="A1535" s="56">
        <v>1538</v>
      </c>
      <c r="B1535" s="56">
        <v>1538</v>
      </c>
      <c r="C1535" s="56">
        <v>1538</v>
      </c>
      <c r="D1535" s="56" t="s">
        <v>2728</v>
      </c>
      <c r="F1535" s="56" t="s">
        <v>24</v>
      </c>
      <c r="G1535" s="56">
        <v>1</v>
      </c>
      <c r="H1535" s="56">
        <v>5</v>
      </c>
      <c r="I1535" s="56">
        <v>500</v>
      </c>
      <c r="J1535" s="59" t="s">
        <v>1181</v>
      </c>
      <c r="K1535" s="59">
        <v>1</v>
      </c>
      <c r="L1535" s="59">
        <f t="shared" si="23"/>
        <v>2500</v>
      </c>
      <c r="M1535" s="59"/>
    </row>
    <row r="1536" spans="1:14" ht="30">
      <c r="A1536" s="56">
        <v>1542</v>
      </c>
      <c r="B1536" s="56">
        <v>1542</v>
      </c>
      <c r="C1536" s="56">
        <v>1542</v>
      </c>
      <c r="D1536" s="56" t="s">
        <v>2732</v>
      </c>
      <c r="F1536" s="56" t="s">
        <v>24</v>
      </c>
      <c r="G1536" s="56">
        <v>1</v>
      </c>
      <c r="H1536" s="56">
        <v>5</v>
      </c>
      <c r="I1536" s="56">
        <v>1200</v>
      </c>
      <c r="J1536" s="59" t="s">
        <v>1181</v>
      </c>
      <c r="K1536" s="59">
        <v>1</v>
      </c>
      <c r="L1536" s="59">
        <f t="shared" si="23"/>
        <v>6000</v>
      </c>
      <c r="M1536" s="59"/>
    </row>
    <row r="1537" spans="1:13" ht="30">
      <c r="A1537" s="56">
        <v>1571</v>
      </c>
      <c r="B1537" s="56">
        <v>1571</v>
      </c>
      <c r="C1537" s="56">
        <v>1571</v>
      </c>
      <c r="D1537" s="56" t="s">
        <v>2761</v>
      </c>
      <c r="F1537" s="56" t="s">
        <v>24</v>
      </c>
      <c r="G1537" s="56">
        <v>1</v>
      </c>
      <c r="H1537" s="56">
        <v>5</v>
      </c>
      <c r="I1537" s="56">
        <v>125</v>
      </c>
      <c r="J1537" s="59" t="s">
        <v>1181</v>
      </c>
      <c r="K1537" s="59">
        <v>1</v>
      </c>
      <c r="L1537" s="59">
        <f t="shared" si="23"/>
        <v>625</v>
      </c>
      <c r="M1537" s="59"/>
    </row>
    <row r="1538" spans="1:13" ht="30">
      <c r="A1538" s="56">
        <v>1573</v>
      </c>
      <c r="B1538" s="56">
        <v>1573</v>
      </c>
      <c r="C1538" s="56">
        <v>1573</v>
      </c>
      <c r="D1538" s="56" t="s">
        <v>2763</v>
      </c>
      <c r="F1538" s="56" t="s">
        <v>24</v>
      </c>
      <c r="G1538" s="56">
        <v>1</v>
      </c>
      <c r="H1538" s="56">
        <v>5</v>
      </c>
      <c r="I1538" s="56">
        <v>350</v>
      </c>
      <c r="J1538" s="59" t="s">
        <v>1181</v>
      </c>
      <c r="K1538" s="59">
        <v>1</v>
      </c>
      <c r="L1538" s="59">
        <f t="shared" ref="L1538:L1601" si="24">H1538*I1538</f>
        <v>1750</v>
      </c>
      <c r="M1538" s="59"/>
    </row>
    <row r="1539" spans="1:13" ht="30">
      <c r="A1539" s="56">
        <v>1587</v>
      </c>
      <c r="B1539" s="56">
        <v>1587</v>
      </c>
      <c r="C1539" s="56">
        <v>1587</v>
      </c>
      <c r="D1539" s="56" t="s">
        <v>2773</v>
      </c>
      <c r="F1539" s="56" t="s">
        <v>24</v>
      </c>
      <c r="G1539" s="56">
        <v>1</v>
      </c>
      <c r="H1539" s="56">
        <v>5</v>
      </c>
      <c r="I1539" s="56">
        <v>25</v>
      </c>
      <c r="J1539" s="59" t="s">
        <v>1181</v>
      </c>
      <c r="K1539" s="59">
        <v>1</v>
      </c>
      <c r="L1539" s="59">
        <f t="shared" si="24"/>
        <v>125</v>
      </c>
      <c r="M1539" s="59"/>
    </row>
    <row r="1540" spans="1:13" ht="30">
      <c r="A1540" s="56">
        <v>1631</v>
      </c>
      <c r="B1540" s="56">
        <v>1631</v>
      </c>
      <c r="C1540" s="56">
        <v>1631</v>
      </c>
      <c r="D1540" s="56" t="s">
        <v>2810</v>
      </c>
      <c r="F1540" s="56" t="s">
        <v>24</v>
      </c>
      <c r="G1540" s="56">
        <v>1</v>
      </c>
      <c r="H1540" s="56">
        <v>5</v>
      </c>
      <c r="I1540" s="56">
        <v>900</v>
      </c>
      <c r="J1540" s="59" t="s">
        <v>1181</v>
      </c>
      <c r="K1540" s="59">
        <v>1</v>
      </c>
      <c r="L1540" s="59">
        <f t="shared" si="24"/>
        <v>4500</v>
      </c>
      <c r="M1540" s="59"/>
    </row>
    <row r="1541" spans="1:13" ht="30">
      <c r="A1541" s="56">
        <v>1667</v>
      </c>
      <c r="B1541" s="56">
        <v>1667</v>
      </c>
      <c r="C1541" s="56">
        <v>1667</v>
      </c>
      <c r="D1541" s="56" t="s">
        <v>2833</v>
      </c>
      <c r="F1541" s="56" t="s">
        <v>24</v>
      </c>
      <c r="G1541" s="56">
        <v>1</v>
      </c>
      <c r="H1541" s="56">
        <v>5</v>
      </c>
      <c r="I1541" s="56">
        <v>340</v>
      </c>
      <c r="J1541" s="59" t="s">
        <v>1181</v>
      </c>
      <c r="K1541" s="59">
        <v>1</v>
      </c>
      <c r="L1541" s="59">
        <f t="shared" si="24"/>
        <v>1700</v>
      </c>
      <c r="M1541" s="59"/>
    </row>
    <row r="1542" spans="1:13" ht="30">
      <c r="A1542" s="56">
        <v>1697</v>
      </c>
      <c r="B1542" s="56">
        <v>1697</v>
      </c>
      <c r="C1542" s="56">
        <v>1697</v>
      </c>
      <c r="D1542" s="56" t="s">
        <v>1467</v>
      </c>
      <c r="F1542" s="58" t="s">
        <v>24</v>
      </c>
      <c r="G1542" s="58">
        <v>1</v>
      </c>
      <c r="H1542" s="58">
        <v>5</v>
      </c>
      <c r="I1542" s="56">
        <v>550</v>
      </c>
      <c r="J1542" s="59" t="s">
        <v>1181</v>
      </c>
      <c r="K1542" s="59">
        <v>1</v>
      </c>
      <c r="L1542" s="59">
        <f t="shared" si="24"/>
        <v>2750</v>
      </c>
      <c r="M1542" s="59"/>
    </row>
    <row r="1543" spans="1:13" ht="30">
      <c r="A1543" s="56">
        <v>1704</v>
      </c>
      <c r="B1543" s="56">
        <v>1704</v>
      </c>
      <c r="C1543" s="56">
        <v>1704</v>
      </c>
      <c r="D1543" s="56" t="s">
        <v>2858</v>
      </c>
      <c r="F1543" s="56" t="s">
        <v>24</v>
      </c>
      <c r="G1543" s="56">
        <v>1</v>
      </c>
      <c r="H1543" s="56">
        <v>5</v>
      </c>
      <c r="I1543" s="56">
        <v>250</v>
      </c>
      <c r="J1543" s="59" t="s">
        <v>1181</v>
      </c>
      <c r="K1543" s="59">
        <v>1</v>
      </c>
      <c r="L1543" s="59">
        <f t="shared" si="24"/>
        <v>1250</v>
      </c>
      <c r="M1543" s="59"/>
    </row>
    <row r="1544" spans="1:13" ht="30">
      <c r="A1544" s="56">
        <v>1730</v>
      </c>
      <c r="B1544" s="56">
        <v>1730</v>
      </c>
      <c r="C1544" s="56">
        <v>1730</v>
      </c>
      <c r="D1544" s="56" t="s">
        <v>2881</v>
      </c>
      <c r="F1544" s="56" t="s">
        <v>24</v>
      </c>
      <c r="G1544" s="56">
        <v>1</v>
      </c>
      <c r="H1544" s="56">
        <v>5</v>
      </c>
      <c r="I1544" s="56">
        <v>600</v>
      </c>
      <c r="J1544" s="59" t="s">
        <v>1181</v>
      </c>
      <c r="K1544" s="59">
        <v>1</v>
      </c>
      <c r="L1544" s="59">
        <f t="shared" si="24"/>
        <v>3000</v>
      </c>
      <c r="M1544" s="59"/>
    </row>
    <row r="1545" spans="1:13" ht="30">
      <c r="A1545" s="56">
        <v>1757</v>
      </c>
      <c r="B1545" s="56">
        <v>1757</v>
      </c>
      <c r="C1545" s="56">
        <v>1757</v>
      </c>
      <c r="D1545" s="56" t="s">
        <v>2901</v>
      </c>
      <c r="F1545" s="56" t="s">
        <v>24</v>
      </c>
      <c r="G1545" s="56">
        <v>1</v>
      </c>
      <c r="H1545" s="56">
        <v>5</v>
      </c>
      <c r="I1545" s="56">
        <v>200</v>
      </c>
      <c r="J1545" s="59" t="s">
        <v>1181</v>
      </c>
      <c r="K1545" s="59">
        <v>1</v>
      </c>
      <c r="L1545" s="59">
        <f t="shared" si="24"/>
        <v>1000</v>
      </c>
      <c r="M1545" s="59"/>
    </row>
    <row r="1546" spans="1:13" ht="30">
      <c r="A1546" s="56">
        <v>1779</v>
      </c>
      <c r="B1546" s="56">
        <v>1779</v>
      </c>
      <c r="C1546" s="56">
        <v>1779</v>
      </c>
      <c r="D1546" s="56" t="s">
        <v>2922</v>
      </c>
      <c r="F1546" s="56" t="s">
        <v>24</v>
      </c>
      <c r="G1546" s="56">
        <v>1</v>
      </c>
      <c r="H1546" s="56">
        <v>5</v>
      </c>
      <c r="I1546" s="56">
        <v>650</v>
      </c>
      <c r="J1546" s="59" t="s">
        <v>1181</v>
      </c>
      <c r="K1546" s="59">
        <v>1</v>
      </c>
      <c r="L1546" s="59">
        <f t="shared" si="24"/>
        <v>3250</v>
      </c>
      <c r="M1546" s="59"/>
    </row>
    <row r="1547" spans="1:13" ht="30">
      <c r="A1547" s="56">
        <v>1807</v>
      </c>
      <c r="B1547" s="56">
        <v>1807</v>
      </c>
      <c r="C1547" s="56">
        <v>1807</v>
      </c>
      <c r="D1547" s="56" t="s">
        <v>1479</v>
      </c>
      <c r="F1547" s="58" t="s">
        <v>24</v>
      </c>
      <c r="G1547" s="58">
        <v>1</v>
      </c>
      <c r="H1547" s="58">
        <v>5</v>
      </c>
      <c r="I1547" s="56">
        <v>68</v>
      </c>
      <c r="J1547" s="59" t="s">
        <v>1181</v>
      </c>
      <c r="K1547" s="59">
        <v>1</v>
      </c>
      <c r="L1547" s="59">
        <f t="shared" si="24"/>
        <v>340</v>
      </c>
      <c r="M1547" s="59"/>
    </row>
    <row r="1548" spans="1:13" ht="30">
      <c r="A1548" s="56">
        <v>1822</v>
      </c>
      <c r="B1548" s="56">
        <v>1822</v>
      </c>
      <c r="C1548" s="56">
        <v>1822</v>
      </c>
      <c r="D1548" s="56" t="s">
        <v>2956</v>
      </c>
      <c r="F1548" s="56" t="s">
        <v>24</v>
      </c>
      <c r="G1548" s="56">
        <v>1</v>
      </c>
      <c r="H1548" s="56">
        <v>5</v>
      </c>
      <c r="I1548" s="56">
        <v>365</v>
      </c>
      <c r="J1548" s="59" t="s">
        <v>1181</v>
      </c>
      <c r="K1548" s="59">
        <v>1</v>
      </c>
      <c r="L1548" s="59">
        <f t="shared" si="24"/>
        <v>1825</v>
      </c>
      <c r="M1548" s="59"/>
    </row>
    <row r="1549" spans="1:13" ht="30">
      <c r="A1549" s="56">
        <v>1842</v>
      </c>
      <c r="B1549" s="56">
        <v>1842</v>
      </c>
      <c r="C1549" s="56">
        <v>1842</v>
      </c>
      <c r="D1549" s="56" t="s">
        <v>1485</v>
      </c>
      <c r="F1549" s="58" t="s">
        <v>24</v>
      </c>
      <c r="G1549" s="58">
        <v>1</v>
      </c>
      <c r="H1549" s="58">
        <v>5</v>
      </c>
      <c r="I1549" s="56">
        <v>80</v>
      </c>
      <c r="J1549" s="59" t="s">
        <v>1181</v>
      </c>
      <c r="K1549" s="59">
        <v>1</v>
      </c>
      <c r="L1549" s="59">
        <f t="shared" si="24"/>
        <v>400</v>
      </c>
      <c r="M1549" s="59"/>
    </row>
    <row r="1550" spans="1:13" ht="30">
      <c r="A1550" s="56">
        <v>1370</v>
      </c>
      <c r="B1550" s="56">
        <v>1370</v>
      </c>
      <c r="C1550" s="56">
        <v>1370</v>
      </c>
      <c r="D1550" s="56" t="s">
        <v>1233</v>
      </c>
      <c r="F1550" s="58" t="s">
        <v>1180</v>
      </c>
      <c r="G1550" s="58">
        <v>50</v>
      </c>
      <c r="H1550" s="56">
        <v>6</v>
      </c>
      <c r="I1550" s="56">
        <v>1200</v>
      </c>
      <c r="J1550" s="59" t="s">
        <v>1181</v>
      </c>
      <c r="K1550" s="59">
        <v>1</v>
      </c>
      <c r="L1550" s="59">
        <f t="shared" si="24"/>
        <v>7200</v>
      </c>
      <c r="M1550" s="59"/>
    </row>
    <row r="1551" spans="1:13" ht="30">
      <c r="A1551" s="56">
        <v>784</v>
      </c>
      <c r="B1551" s="56">
        <v>784</v>
      </c>
      <c r="C1551" s="56">
        <v>784</v>
      </c>
      <c r="D1551" s="56" t="s">
        <v>1285</v>
      </c>
      <c r="F1551" s="58" t="s">
        <v>1272</v>
      </c>
      <c r="G1551" s="58">
        <v>12</v>
      </c>
      <c r="H1551" s="56">
        <v>6</v>
      </c>
      <c r="I1551" s="56">
        <v>610</v>
      </c>
      <c r="J1551" s="59" t="s">
        <v>1181</v>
      </c>
      <c r="K1551" s="59">
        <v>1</v>
      </c>
      <c r="L1551" s="59">
        <f t="shared" si="24"/>
        <v>3660</v>
      </c>
      <c r="M1551" s="59"/>
    </row>
    <row r="1552" spans="1:13" ht="30">
      <c r="A1552" s="56">
        <v>816</v>
      </c>
      <c r="B1552" s="56">
        <v>816</v>
      </c>
      <c r="C1552" s="56">
        <v>816</v>
      </c>
      <c r="D1552" s="56" t="s">
        <v>1304</v>
      </c>
      <c r="F1552" s="58" t="s">
        <v>1185</v>
      </c>
      <c r="G1552" s="58">
        <v>12</v>
      </c>
      <c r="H1552" s="56">
        <v>6</v>
      </c>
      <c r="I1552" s="56">
        <v>650</v>
      </c>
      <c r="J1552" s="59" t="s">
        <v>1181</v>
      </c>
      <c r="K1552" s="59">
        <v>1</v>
      </c>
      <c r="L1552" s="59">
        <f t="shared" si="24"/>
        <v>3900</v>
      </c>
      <c r="M1552" s="59"/>
    </row>
    <row r="1553" spans="1:13" ht="30">
      <c r="A1553" s="56">
        <v>820</v>
      </c>
      <c r="B1553" s="56">
        <v>820</v>
      </c>
      <c r="C1553" s="56">
        <v>820</v>
      </c>
      <c r="D1553" s="56" t="s">
        <v>1308</v>
      </c>
      <c r="F1553" s="58" t="s">
        <v>1185</v>
      </c>
      <c r="G1553" s="58">
        <v>12</v>
      </c>
      <c r="H1553" s="56">
        <v>6</v>
      </c>
      <c r="I1553" s="56">
        <v>800</v>
      </c>
      <c r="J1553" s="59" t="s">
        <v>1181</v>
      </c>
      <c r="K1553" s="59">
        <v>1</v>
      </c>
      <c r="L1553" s="59">
        <f t="shared" si="24"/>
        <v>4800</v>
      </c>
      <c r="M1553" s="59"/>
    </row>
    <row r="1554" spans="1:13" ht="30">
      <c r="A1554" s="56">
        <v>837</v>
      </c>
      <c r="B1554" s="56">
        <v>837</v>
      </c>
      <c r="C1554" s="56">
        <v>837</v>
      </c>
      <c r="D1554" s="56" t="s">
        <v>1320</v>
      </c>
      <c r="F1554" s="58" t="s">
        <v>1185</v>
      </c>
      <c r="G1554" s="58">
        <v>12</v>
      </c>
      <c r="H1554" s="56">
        <v>6</v>
      </c>
      <c r="I1554" s="56">
        <v>1400</v>
      </c>
      <c r="J1554" s="59" t="s">
        <v>1181</v>
      </c>
      <c r="K1554" s="59">
        <v>1</v>
      </c>
      <c r="L1554" s="59">
        <f t="shared" si="24"/>
        <v>8400</v>
      </c>
      <c r="M1554" s="59"/>
    </row>
    <row r="1555" spans="1:13" ht="30">
      <c r="A1555" s="56">
        <v>838</v>
      </c>
      <c r="B1555" s="56">
        <v>838</v>
      </c>
      <c r="C1555" s="56">
        <v>838</v>
      </c>
      <c r="D1555" s="56" t="s">
        <v>1321</v>
      </c>
      <c r="F1555" s="58" t="s">
        <v>1185</v>
      </c>
      <c r="G1555" s="58">
        <v>12</v>
      </c>
      <c r="H1555" s="56">
        <v>6</v>
      </c>
      <c r="I1555" s="56">
        <v>1400</v>
      </c>
      <c r="J1555" s="59" t="s">
        <v>1181</v>
      </c>
      <c r="K1555" s="59">
        <v>1</v>
      </c>
      <c r="L1555" s="59">
        <f t="shared" si="24"/>
        <v>8400</v>
      </c>
      <c r="M1555" s="59"/>
    </row>
    <row r="1556" spans="1:13" ht="30">
      <c r="A1556" s="56">
        <v>840</v>
      </c>
      <c r="B1556" s="56">
        <v>840</v>
      </c>
      <c r="C1556" s="56">
        <v>840</v>
      </c>
      <c r="D1556" s="56" t="s">
        <v>1323</v>
      </c>
      <c r="F1556" s="58" t="s">
        <v>1185</v>
      </c>
      <c r="G1556" s="58">
        <v>12</v>
      </c>
      <c r="H1556" s="56">
        <v>6</v>
      </c>
      <c r="I1556" s="56">
        <v>1800</v>
      </c>
      <c r="J1556" s="59" t="s">
        <v>1181</v>
      </c>
      <c r="K1556" s="59">
        <v>1</v>
      </c>
      <c r="L1556" s="59">
        <f t="shared" si="24"/>
        <v>10800</v>
      </c>
      <c r="M1556" s="59"/>
    </row>
    <row r="1557" spans="1:13" ht="30">
      <c r="A1557" s="56">
        <v>843</v>
      </c>
      <c r="B1557" s="56">
        <v>843</v>
      </c>
      <c r="C1557" s="56">
        <v>843</v>
      </c>
      <c r="D1557" s="56" t="s">
        <v>1325</v>
      </c>
      <c r="F1557" s="58" t="s">
        <v>1185</v>
      </c>
      <c r="G1557" s="58">
        <v>12</v>
      </c>
      <c r="H1557" s="56">
        <v>6</v>
      </c>
      <c r="I1557" s="56">
        <v>2232</v>
      </c>
      <c r="J1557" s="59" t="s">
        <v>1181</v>
      </c>
      <c r="K1557" s="59">
        <v>1</v>
      </c>
      <c r="L1557" s="59">
        <f t="shared" si="24"/>
        <v>13392</v>
      </c>
      <c r="M1557" s="59"/>
    </row>
    <row r="1558" spans="1:13" ht="30">
      <c r="A1558" s="56">
        <v>1049</v>
      </c>
      <c r="B1558" s="56">
        <v>1049</v>
      </c>
      <c r="C1558" s="56">
        <v>1049</v>
      </c>
      <c r="D1558" s="56" t="s">
        <v>1402</v>
      </c>
      <c r="F1558" s="58" t="s">
        <v>1183</v>
      </c>
      <c r="G1558" s="58">
        <v>12</v>
      </c>
      <c r="H1558" s="56">
        <v>6</v>
      </c>
      <c r="I1558" s="56">
        <v>700</v>
      </c>
      <c r="J1558" s="59" t="s">
        <v>1181</v>
      </c>
      <c r="K1558" s="59">
        <v>1</v>
      </c>
      <c r="L1558" s="59">
        <f t="shared" si="24"/>
        <v>4200</v>
      </c>
      <c r="M1558" s="59"/>
    </row>
    <row r="1559" spans="1:13" ht="30">
      <c r="A1559" s="56">
        <v>1106</v>
      </c>
      <c r="B1559" s="56">
        <v>1106</v>
      </c>
      <c r="C1559" s="56">
        <v>1106</v>
      </c>
      <c r="D1559" s="56" t="s">
        <v>1412</v>
      </c>
      <c r="F1559" s="58" t="s">
        <v>1183</v>
      </c>
      <c r="G1559" s="58">
        <v>12</v>
      </c>
      <c r="H1559" s="56">
        <v>6</v>
      </c>
      <c r="I1559" s="56">
        <v>4000</v>
      </c>
      <c r="J1559" s="59" t="s">
        <v>1181</v>
      </c>
      <c r="K1559" s="59">
        <v>1</v>
      </c>
      <c r="L1559" s="59">
        <f t="shared" si="24"/>
        <v>24000</v>
      </c>
      <c r="M1559" s="59"/>
    </row>
    <row r="1560" spans="1:13" ht="30">
      <c r="A1560" s="56">
        <v>1228</v>
      </c>
      <c r="B1560" s="56">
        <v>1228</v>
      </c>
      <c r="C1560" s="56">
        <v>1228</v>
      </c>
      <c r="D1560" s="56" t="s">
        <v>1425</v>
      </c>
      <c r="F1560" s="58" t="s">
        <v>1183</v>
      </c>
      <c r="G1560" s="58">
        <v>12</v>
      </c>
      <c r="H1560" s="56">
        <v>6</v>
      </c>
      <c r="I1560" s="56">
        <v>1670</v>
      </c>
      <c r="J1560" s="59" t="s">
        <v>1181</v>
      </c>
      <c r="K1560" s="59">
        <v>1</v>
      </c>
      <c r="L1560" s="59">
        <f t="shared" si="24"/>
        <v>10020</v>
      </c>
      <c r="M1560" s="59"/>
    </row>
    <row r="1561" spans="1:13" ht="30">
      <c r="A1561" s="56">
        <v>1804</v>
      </c>
      <c r="B1561" s="56">
        <v>1804</v>
      </c>
      <c r="C1561" s="56">
        <v>1804</v>
      </c>
      <c r="D1561" s="56" t="s">
        <v>1476</v>
      </c>
      <c r="F1561" s="58" t="s">
        <v>1183</v>
      </c>
      <c r="G1561" s="58">
        <v>12</v>
      </c>
      <c r="H1561" s="56">
        <v>6</v>
      </c>
      <c r="I1561" s="56">
        <v>781</v>
      </c>
      <c r="J1561" s="59" t="s">
        <v>1181</v>
      </c>
      <c r="K1561" s="59">
        <v>1</v>
      </c>
      <c r="L1561" s="59">
        <f t="shared" si="24"/>
        <v>4686</v>
      </c>
      <c r="M1561" s="59"/>
    </row>
    <row r="1562" spans="1:13" ht="30">
      <c r="A1562" s="56">
        <v>1806</v>
      </c>
      <c r="B1562" s="56">
        <v>1806</v>
      </c>
      <c r="C1562" s="56">
        <v>1806</v>
      </c>
      <c r="D1562" s="56" t="s">
        <v>1478</v>
      </c>
      <c r="F1562" s="58" t="s">
        <v>1183</v>
      </c>
      <c r="G1562" s="58">
        <v>12</v>
      </c>
      <c r="H1562" s="56">
        <v>6</v>
      </c>
      <c r="I1562" s="56">
        <v>700</v>
      </c>
      <c r="J1562" s="59" t="s">
        <v>1181</v>
      </c>
      <c r="K1562" s="59">
        <v>1</v>
      </c>
      <c r="L1562" s="59">
        <f t="shared" si="24"/>
        <v>4200</v>
      </c>
      <c r="M1562" s="59"/>
    </row>
    <row r="1563" spans="1:13" ht="30">
      <c r="A1563" s="56">
        <v>17</v>
      </c>
      <c r="B1563" s="56">
        <v>17</v>
      </c>
      <c r="C1563" s="56">
        <v>17</v>
      </c>
      <c r="D1563" s="56" t="s">
        <v>1540</v>
      </c>
      <c r="F1563" s="56" t="s">
        <v>24</v>
      </c>
      <c r="G1563" s="56">
        <v>1</v>
      </c>
      <c r="H1563" s="56">
        <v>6</v>
      </c>
      <c r="I1563" s="56">
        <v>1650</v>
      </c>
      <c r="J1563" s="59" t="s">
        <v>1181</v>
      </c>
      <c r="K1563" s="59">
        <v>1</v>
      </c>
      <c r="L1563" s="59">
        <f t="shared" si="24"/>
        <v>9900</v>
      </c>
      <c r="M1563" s="59"/>
    </row>
    <row r="1564" spans="1:13" ht="30">
      <c r="A1564" s="56">
        <v>34</v>
      </c>
      <c r="B1564" s="56">
        <v>34</v>
      </c>
      <c r="C1564" s="56">
        <v>34</v>
      </c>
      <c r="D1564" s="56" t="s">
        <v>1557</v>
      </c>
      <c r="F1564" s="56" t="s">
        <v>24</v>
      </c>
      <c r="G1564" s="56">
        <v>1</v>
      </c>
      <c r="H1564" s="56">
        <v>6</v>
      </c>
      <c r="I1564" s="56">
        <v>1000</v>
      </c>
      <c r="J1564" s="59" t="s">
        <v>1181</v>
      </c>
      <c r="K1564" s="59">
        <v>1</v>
      </c>
      <c r="L1564" s="59">
        <f t="shared" si="24"/>
        <v>6000</v>
      </c>
      <c r="M1564" s="59"/>
    </row>
    <row r="1565" spans="1:13" ht="30">
      <c r="A1565" s="56">
        <v>39</v>
      </c>
      <c r="B1565" s="56">
        <v>39</v>
      </c>
      <c r="C1565" s="56">
        <v>39</v>
      </c>
      <c r="D1565" s="56" t="s">
        <v>1562</v>
      </c>
      <c r="F1565" s="56" t="s">
        <v>24</v>
      </c>
      <c r="G1565" s="56">
        <v>1</v>
      </c>
      <c r="H1565" s="56">
        <v>6</v>
      </c>
      <c r="I1565" s="56">
        <v>860</v>
      </c>
      <c r="J1565" s="59" t="s">
        <v>1181</v>
      </c>
      <c r="K1565" s="59">
        <v>1</v>
      </c>
      <c r="L1565" s="59">
        <f t="shared" si="24"/>
        <v>5160</v>
      </c>
      <c r="M1565" s="59"/>
    </row>
    <row r="1566" spans="1:13" ht="30">
      <c r="A1566" s="56">
        <v>277</v>
      </c>
      <c r="B1566" s="56">
        <v>277</v>
      </c>
      <c r="C1566" s="56">
        <v>277</v>
      </c>
      <c r="D1566" s="56" t="s">
        <v>1760</v>
      </c>
      <c r="F1566" s="56" t="s">
        <v>24</v>
      </c>
      <c r="G1566" s="56">
        <v>1</v>
      </c>
      <c r="H1566" s="56">
        <v>6</v>
      </c>
      <c r="I1566" s="56">
        <v>350</v>
      </c>
      <c r="J1566" s="59" t="s">
        <v>1181</v>
      </c>
      <c r="K1566" s="59">
        <v>1</v>
      </c>
      <c r="L1566" s="59">
        <f t="shared" si="24"/>
        <v>2100</v>
      </c>
      <c r="M1566" s="59"/>
    </row>
    <row r="1567" spans="1:13" ht="30">
      <c r="A1567" s="56">
        <v>290</v>
      </c>
      <c r="B1567" s="56">
        <v>290</v>
      </c>
      <c r="C1567" s="56">
        <v>290</v>
      </c>
      <c r="D1567" s="56" t="s">
        <v>1769</v>
      </c>
      <c r="F1567" s="56" t="s">
        <v>24</v>
      </c>
      <c r="G1567" s="56">
        <v>1</v>
      </c>
      <c r="H1567" s="56">
        <v>6</v>
      </c>
      <c r="I1567" s="56">
        <v>70</v>
      </c>
      <c r="J1567" s="59" t="s">
        <v>1181</v>
      </c>
      <c r="K1567" s="59">
        <v>1</v>
      </c>
      <c r="L1567" s="59">
        <f t="shared" si="24"/>
        <v>420</v>
      </c>
      <c r="M1567" s="59"/>
    </row>
    <row r="1568" spans="1:13" ht="30">
      <c r="A1568" s="56">
        <v>300</v>
      </c>
      <c r="B1568" s="56">
        <v>300</v>
      </c>
      <c r="C1568" s="56">
        <v>300</v>
      </c>
      <c r="D1568" s="56" t="s">
        <v>1777</v>
      </c>
      <c r="F1568" s="56" t="s">
        <v>24</v>
      </c>
      <c r="G1568" s="56">
        <v>1</v>
      </c>
      <c r="H1568" s="56">
        <v>6</v>
      </c>
      <c r="I1568" s="56">
        <v>1400</v>
      </c>
      <c r="J1568" s="59" t="s">
        <v>1181</v>
      </c>
      <c r="K1568" s="59">
        <v>1</v>
      </c>
      <c r="L1568" s="59">
        <f t="shared" si="24"/>
        <v>8400</v>
      </c>
      <c r="M1568" s="59"/>
    </row>
    <row r="1569" spans="1:14" ht="30">
      <c r="A1569" s="56">
        <v>325</v>
      </c>
      <c r="B1569" s="56">
        <v>325</v>
      </c>
      <c r="C1569" s="56">
        <v>325</v>
      </c>
      <c r="D1569" s="56" t="s">
        <v>1798</v>
      </c>
      <c r="F1569" s="56" t="s">
        <v>24</v>
      </c>
      <c r="G1569" s="56">
        <v>1</v>
      </c>
      <c r="H1569" s="56">
        <v>6</v>
      </c>
      <c r="I1569" s="56">
        <v>1700</v>
      </c>
      <c r="J1569" s="59" t="s">
        <v>1181</v>
      </c>
      <c r="K1569" s="59">
        <v>1</v>
      </c>
      <c r="L1569" s="59">
        <f t="shared" si="24"/>
        <v>10200</v>
      </c>
      <c r="M1569" s="59"/>
    </row>
    <row r="1570" spans="1:14" ht="30">
      <c r="A1570" s="56">
        <v>337</v>
      </c>
      <c r="B1570" s="56">
        <v>337</v>
      </c>
      <c r="C1570" s="56">
        <v>337</v>
      </c>
      <c r="D1570" s="56" t="s">
        <v>1810</v>
      </c>
      <c r="F1570" s="56" t="s">
        <v>24</v>
      </c>
      <c r="G1570" s="56">
        <v>1</v>
      </c>
      <c r="H1570" s="56">
        <v>6</v>
      </c>
      <c r="I1570" s="56">
        <v>1800</v>
      </c>
      <c r="J1570" s="59" t="s">
        <v>1181</v>
      </c>
      <c r="K1570" s="59">
        <v>1</v>
      </c>
      <c r="L1570" s="59">
        <f t="shared" si="24"/>
        <v>10800</v>
      </c>
      <c r="M1570" s="59"/>
    </row>
    <row r="1571" spans="1:14" ht="30">
      <c r="A1571" s="56">
        <v>351</v>
      </c>
      <c r="B1571" s="56">
        <v>351</v>
      </c>
      <c r="C1571" s="56">
        <v>351</v>
      </c>
      <c r="D1571" s="56" t="s">
        <v>1824</v>
      </c>
      <c r="F1571" s="56" t="s">
        <v>24</v>
      </c>
      <c r="G1571" s="56">
        <v>1</v>
      </c>
      <c r="H1571" s="56">
        <v>6</v>
      </c>
      <c r="I1571" s="56">
        <v>270</v>
      </c>
      <c r="J1571" s="59" t="s">
        <v>1181</v>
      </c>
      <c r="K1571" s="59">
        <v>1</v>
      </c>
      <c r="L1571" s="59">
        <f t="shared" si="24"/>
        <v>1620</v>
      </c>
      <c r="M1571" s="59"/>
    </row>
    <row r="1572" spans="1:14" ht="30">
      <c r="A1572" s="56">
        <v>401</v>
      </c>
      <c r="B1572" s="56">
        <v>401</v>
      </c>
      <c r="C1572" s="56">
        <v>401</v>
      </c>
      <c r="D1572" s="56" t="s">
        <v>1874</v>
      </c>
      <c r="F1572" s="56" t="s">
        <v>24</v>
      </c>
      <c r="G1572" s="56">
        <v>1</v>
      </c>
      <c r="H1572" s="56">
        <v>6</v>
      </c>
      <c r="I1572" s="56">
        <v>1200</v>
      </c>
      <c r="J1572" s="59" t="s">
        <v>1181</v>
      </c>
      <c r="K1572" s="59">
        <v>1</v>
      </c>
      <c r="L1572" s="59">
        <f t="shared" si="24"/>
        <v>7200</v>
      </c>
      <c r="M1572" s="59"/>
    </row>
    <row r="1573" spans="1:14" ht="30">
      <c r="A1573" s="56">
        <v>430</v>
      </c>
      <c r="B1573" s="56">
        <v>430</v>
      </c>
      <c r="C1573" s="56">
        <v>430</v>
      </c>
      <c r="D1573" s="56" t="s">
        <v>1899</v>
      </c>
      <c r="F1573" s="56" t="s">
        <v>24</v>
      </c>
      <c r="G1573" s="56">
        <v>1</v>
      </c>
      <c r="H1573" s="56">
        <v>6</v>
      </c>
      <c r="I1573" s="56">
        <v>900</v>
      </c>
      <c r="J1573" s="59" t="s">
        <v>1181</v>
      </c>
      <c r="K1573" s="59">
        <v>1</v>
      </c>
      <c r="L1573" s="59">
        <f t="shared" si="24"/>
        <v>5400</v>
      </c>
      <c r="M1573" s="59"/>
    </row>
    <row r="1574" spans="1:14" ht="30">
      <c r="A1574" s="56">
        <v>460</v>
      </c>
      <c r="B1574" s="56">
        <v>460</v>
      </c>
      <c r="C1574" s="56">
        <v>460</v>
      </c>
      <c r="D1574" s="56" t="s">
        <v>1928</v>
      </c>
      <c r="F1574" s="56" t="s">
        <v>24</v>
      </c>
      <c r="G1574" s="56">
        <v>1</v>
      </c>
      <c r="H1574" s="56">
        <v>6</v>
      </c>
      <c r="I1574" s="56">
        <v>900</v>
      </c>
      <c r="J1574" s="59" t="s">
        <v>1181</v>
      </c>
      <c r="K1574" s="59">
        <v>1</v>
      </c>
      <c r="L1574" s="59">
        <f t="shared" si="24"/>
        <v>5400</v>
      </c>
      <c r="M1574" s="59"/>
    </row>
    <row r="1575" spans="1:14" ht="30">
      <c r="A1575" s="56">
        <v>475</v>
      </c>
      <c r="B1575" s="56">
        <v>475</v>
      </c>
      <c r="C1575" s="56">
        <v>475</v>
      </c>
      <c r="D1575" s="56" t="s">
        <v>1941</v>
      </c>
      <c r="F1575" s="56" t="s">
        <v>24</v>
      </c>
      <c r="G1575" s="56">
        <v>1</v>
      </c>
      <c r="H1575" s="56">
        <v>6</v>
      </c>
      <c r="I1575" s="56">
        <v>1000</v>
      </c>
      <c r="J1575" s="59" t="s">
        <v>1181</v>
      </c>
      <c r="K1575" s="59">
        <v>1</v>
      </c>
      <c r="L1575" s="59">
        <f t="shared" si="24"/>
        <v>6000</v>
      </c>
      <c r="M1575" s="59"/>
    </row>
    <row r="1576" spans="1:14" ht="30">
      <c r="A1576" s="56">
        <v>477</v>
      </c>
      <c r="B1576" s="56">
        <v>477</v>
      </c>
      <c r="C1576" s="56">
        <v>477</v>
      </c>
      <c r="D1576" s="56" t="s">
        <v>1943</v>
      </c>
      <c r="F1576" s="56" t="s">
        <v>24</v>
      </c>
      <c r="G1576" s="56">
        <v>1</v>
      </c>
      <c r="H1576" s="56">
        <v>6</v>
      </c>
      <c r="I1576" s="56">
        <v>500</v>
      </c>
      <c r="J1576" s="59" t="s">
        <v>1181</v>
      </c>
      <c r="K1576" s="59">
        <v>1</v>
      </c>
      <c r="L1576" s="59">
        <f t="shared" si="24"/>
        <v>3000</v>
      </c>
      <c r="M1576" s="59"/>
    </row>
    <row r="1577" spans="1:14" ht="30">
      <c r="A1577" s="56">
        <v>489</v>
      </c>
      <c r="B1577" s="56">
        <v>489</v>
      </c>
      <c r="C1577" s="56">
        <v>489</v>
      </c>
      <c r="D1577" s="56" t="s">
        <v>1954</v>
      </c>
      <c r="F1577" s="56" t="s">
        <v>24</v>
      </c>
      <c r="G1577" s="56">
        <v>1</v>
      </c>
      <c r="H1577" s="56">
        <v>6</v>
      </c>
      <c r="I1577" s="56">
        <v>155</v>
      </c>
      <c r="J1577" s="59" t="s">
        <v>1181</v>
      </c>
      <c r="K1577" s="59">
        <v>1</v>
      </c>
      <c r="L1577" s="59">
        <f t="shared" si="24"/>
        <v>930</v>
      </c>
      <c r="M1577" s="59"/>
    </row>
    <row r="1578" spans="1:14" ht="30">
      <c r="A1578" s="56">
        <v>533</v>
      </c>
      <c r="B1578" s="56">
        <v>533</v>
      </c>
      <c r="C1578" s="56">
        <v>533</v>
      </c>
      <c r="D1578" s="56" t="s">
        <v>1995</v>
      </c>
      <c r="F1578" s="56" t="s">
        <v>24</v>
      </c>
      <c r="G1578" s="56">
        <v>1</v>
      </c>
      <c r="H1578" s="56">
        <v>6</v>
      </c>
      <c r="I1578" s="56">
        <v>750</v>
      </c>
      <c r="J1578" s="59" t="s">
        <v>1181</v>
      </c>
      <c r="K1578" s="59">
        <v>1</v>
      </c>
      <c r="L1578" s="59">
        <f t="shared" si="24"/>
        <v>4500</v>
      </c>
      <c r="M1578" s="59"/>
    </row>
    <row r="1579" spans="1:14" ht="30">
      <c r="A1579" s="56">
        <v>538</v>
      </c>
      <c r="B1579" s="56">
        <v>538</v>
      </c>
      <c r="C1579" s="56">
        <v>538</v>
      </c>
      <c r="D1579" s="56" t="s">
        <v>2000</v>
      </c>
      <c r="F1579" s="56" t="s">
        <v>24</v>
      </c>
      <c r="G1579" s="56">
        <v>1</v>
      </c>
      <c r="H1579" s="56">
        <v>6</v>
      </c>
      <c r="I1579" s="56">
        <v>500</v>
      </c>
      <c r="J1579" s="59" t="s">
        <v>1181</v>
      </c>
      <c r="K1579" s="59">
        <v>1</v>
      </c>
      <c r="L1579" s="59">
        <f t="shared" si="24"/>
        <v>3000</v>
      </c>
      <c r="M1579" s="59"/>
    </row>
    <row r="1580" spans="1:14" ht="30">
      <c r="A1580" s="56">
        <v>548</v>
      </c>
      <c r="B1580" s="56">
        <v>548</v>
      </c>
      <c r="C1580" s="56">
        <v>548</v>
      </c>
      <c r="D1580" s="56" t="s">
        <v>2010</v>
      </c>
      <c r="F1580" s="56" t="s">
        <v>24</v>
      </c>
      <c r="G1580" s="56">
        <v>1</v>
      </c>
      <c r="H1580" s="56">
        <v>6</v>
      </c>
      <c r="I1580" s="56">
        <v>120</v>
      </c>
      <c r="J1580" s="59" t="s">
        <v>1181</v>
      </c>
      <c r="K1580" s="59">
        <v>1</v>
      </c>
      <c r="L1580" s="59">
        <f t="shared" si="24"/>
        <v>720</v>
      </c>
      <c r="M1580" s="59"/>
    </row>
    <row r="1581" spans="1:14" ht="30">
      <c r="A1581" s="56">
        <v>570</v>
      </c>
      <c r="B1581" s="56">
        <v>570</v>
      </c>
      <c r="C1581" s="56">
        <v>570</v>
      </c>
      <c r="D1581" s="56" t="s">
        <v>2029</v>
      </c>
      <c r="F1581" s="56" t="s">
        <v>24</v>
      </c>
      <c r="G1581" s="56">
        <v>1</v>
      </c>
      <c r="H1581" s="56">
        <v>6</v>
      </c>
      <c r="I1581" s="56">
        <v>180</v>
      </c>
      <c r="J1581" s="59" t="s">
        <v>1181</v>
      </c>
      <c r="K1581" s="59">
        <v>1</v>
      </c>
      <c r="L1581" s="59">
        <f t="shared" si="24"/>
        <v>1080</v>
      </c>
      <c r="M1581" s="59"/>
    </row>
    <row r="1582" spans="1:14" ht="30">
      <c r="A1582" s="56">
        <v>602</v>
      </c>
      <c r="B1582" s="56">
        <v>602</v>
      </c>
      <c r="C1582" s="56">
        <v>602</v>
      </c>
      <c r="D1582" s="56" t="s">
        <v>1277</v>
      </c>
      <c r="F1582" s="58" t="s">
        <v>24</v>
      </c>
      <c r="G1582" s="58">
        <v>1</v>
      </c>
      <c r="H1582" s="58">
        <v>6</v>
      </c>
      <c r="I1582" s="56">
        <v>30</v>
      </c>
      <c r="J1582" s="59" t="s">
        <v>1181</v>
      </c>
      <c r="K1582" s="59">
        <v>1</v>
      </c>
      <c r="L1582" s="59">
        <f t="shared" si="24"/>
        <v>180</v>
      </c>
      <c r="M1582" s="59"/>
      <c r="N1582" s="58"/>
    </row>
    <row r="1583" spans="1:14" ht="30">
      <c r="A1583" s="56">
        <v>614</v>
      </c>
      <c r="B1583" s="56">
        <v>614</v>
      </c>
      <c r="C1583" s="56">
        <v>614</v>
      </c>
      <c r="D1583" s="56" t="s">
        <v>2061</v>
      </c>
      <c r="F1583" s="56" t="s">
        <v>24</v>
      </c>
      <c r="G1583" s="56">
        <v>1</v>
      </c>
      <c r="H1583" s="56">
        <v>6</v>
      </c>
      <c r="I1583" s="56">
        <v>1700</v>
      </c>
      <c r="J1583" s="59" t="s">
        <v>1181</v>
      </c>
      <c r="K1583" s="59">
        <v>1</v>
      </c>
      <c r="L1583" s="59">
        <f t="shared" si="24"/>
        <v>10200</v>
      </c>
      <c r="M1583" s="59"/>
    </row>
    <row r="1584" spans="1:14" ht="30">
      <c r="A1584" s="56">
        <v>639</v>
      </c>
      <c r="B1584" s="56">
        <v>639</v>
      </c>
      <c r="C1584" s="56">
        <v>639</v>
      </c>
      <c r="D1584" s="56" t="s">
        <v>2083</v>
      </c>
      <c r="F1584" s="56" t="s">
        <v>24</v>
      </c>
      <c r="G1584" s="56">
        <v>1</v>
      </c>
      <c r="H1584" s="56">
        <v>6</v>
      </c>
      <c r="I1584" s="56">
        <v>360</v>
      </c>
      <c r="J1584" s="59" t="s">
        <v>1181</v>
      </c>
      <c r="K1584" s="59">
        <v>1</v>
      </c>
      <c r="L1584" s="59">
        <f t="shared" si="24"/>
        <v>2160</v>
      </c>
      <c r="M1584" s="59"/>
    </row>
    <row r="1585" spans="1:14" ht="30">
      <c r="A1585" s="56">
        <v>645</v>
      </c>
      <c r="B1585" s="56">
        <v>645</v>
      </c>
      <c r="C1585" s="56">
        <v>645</v>
      </c>
      <c r="D1585" s="56" t="s">
        <v>2089</v>
      </c>
      <c r="F1585" s="56" t="s">
        <v>24</v>
      </c>
      <c r="G1585" s="56">
        <v>1</v>
      </c>
      <c r="H1585" s="56">
        <v>6</v>
      </c>
      <c r="I1585" s="56">
        <v>400</v>
      </c>
      <c r="J1585" s="59" t="s">
        <v>1181</v>
      </c>
      <c r="K1585" s="59">
        <v>1</v>
      </c>
      <c r="L1585" s="59">
        <f t="shared" si="24"/>
        <v>2400</v>
      </c>
      <c r="M1585" s="59"/>
    </row>
    <row r="1586" spans="1:14" ht="30">
      <c r="A1586" s="56">
        <v>677</v>
      </c>
      <c r="B1586" s="56">
        <v>677</v>
      </c>
      <c r="C1586" s="56">
        <v>677</v>
      </c>
      <c r="D1586" s="56" t="s">
        <v>2121</v>
      </c>
      <c r="F1586" s="56" t="s">
        <v>24</v>
      </c>
      <c r="G1586" s="56">
        <v>1</v>
      </c>
      <c r="H1586" s="56">
        <v>6</v>
      </c>
      <c r="I1586" s="56">
        <v>2500</v>
      </c>
      <c r="J1586" s="59" t="s">
        <v>1181</v>
      </c>
      <c r="K1586" s="59">
        <v>1</v>
      </c>
      <c r="L1586" s="59">
        <f t="shared" si="24"/>
        <v>15000</v>
      </c>
      <c r="M1586" s="59"/>
    </row>
    <row r="1587" spans="1:14" ht="30">
      <c r="A1587" s="56">
        <v>748</v>
      </c>
      <c r="B1587" s="56">
        <v>748</v>
      </c>
      <c r="C1587" s="56">
        <v>748</v>
      </c>
      <c r="D1587" s="56" t="s">
        <v>2191</v>
      </c>
      <c r="F1587" s="56" t="s">
        <v>24</v>
      </c>
      <c r="G1587" s="56">
        <v>1</v>
      </c>
      <c r="H1587" s="56">
        <v>6</v>
      </c>
      <c r="I1587" s="56">
        <v>2000</v>
      </c>
      <c r="J1587" s="59" t="s">
        <v>1181</v>
      </c>
      <c r="K1587" s="59">
        <v>1</v>
      </c>
      <c r="L1587" s="59">
        <f t="shared" si="24"/>
        <v>12000</v>
      </c>
      <c r="M1587" s="59"/>
    </row>
    <row r="1588" spans="1:14" ht="30">
      <c r="A1588" s="56">
        <v>769</v>
      </c>
      <c r="B1588" s="56">
        <v>769</v>
      </c>
      <c r="C1588" s="56">
        <v>769</v>
      </c>
      <c r="D1588" s="56" t="s">
        <v>2211</v>
      </c>
      <c r="F1588" s="56" t="s">
        <v>24</v>
      </c>
      <c r="G1588" s="56">
        <v>1</v>
      </c>
      <c r="H1588" s="56">
        <v>6</v>
      </c>
      <c r="I1588" s="56">
        <v>1100</v>
      </c>
      <c r="J1588" s="59" t="s">
        <v>1181</v>
      </c>
      <c r="K1588" s="59">
        <v>1</v>
      </c>
      <c r="L1588" s="59">
        <f t="shared" si="24"/>
        <v>6600</v>
      </c>
      <c r="M1588" s="59"/>
    </row>
    <row r="1589" spans="1:14" ht="30">
      <c r="A1589" s="56">
        <v>773</v>
      </c>
      <c r="B1589" s="56">
        <v>773</v>
      </c>
      <c r="C1589" s="56">
        <v>773</v>
      </c>
      <c r="D1589" s="56" t="s">
        <v>2215</v>
      </c>
      <c r="F1589" s="56" t="s">
        <v>24</v>
      </c>
      <c r="G1589" s="56">
        <v>1</v>
      </c>
      <c r="H1589" s="56">
        <v>6</v>
      </c>
      <c r="I1589" s="56">
        <v>460</v>
      </c>
      <c r="J1589" s="59" t="s">
        <v>1181</v>
      </c>
      <c r="K1589" s="59">
        <v>1</v>
      </c>
      <c r="L1589" s="59">
        <f t="shared" si="24"/>
        <v>2760</v>
      </c>
      <c r="M1589" s="59"/>
    </row>
    <row r="1590" spans="1:14" ht="30">
      <c r="A1590" s="56">
        <v>799</v>
      </c>
      <c r="B1590" s="56">
        <v>799</v>
      </c>
      <c r="C1590" s="56">
        <v>799</v>
      </c>
      <c r="D1590" s="56" t="s">
        <v>1496</v>
      </c>
      <c r="F1590" s="58" t="s">
        <v>24</v>
      </c>
      <c r="G1590" s="58">
        <v>1</v>
      </c>
      <c r="H1590" s="58">
        <v>6</v>
      </c>
      <c r="I1590" s="56">
        <v>65.099999999999994</v>
      </c>
      <c r="J1590" s="59" t="s">
        <v>1181</v>
      </c>
      <c r="K1590" s="59">
        <v>1</v>
      </c>
      <c r="L1590" s="59">
        <f t="shared" si="24"/>
        <v>390.59999999999997</v>
      </c>
      <c r="M1590" s="59"/>
      <c r="N1590" s="58"/>
    </row>
    <row r="1591" spans="1:14" ht="30">
      <c r="A1591" s="56">
        <v>803</v>
      </c>
      <c r="B1591" s="56">
        <v>803</v>
      </c>
      <c r="C1591" s="56">
        <v>803</v>
      </c>
      <c r="D1591" s="56" t="s">
        <v>1292</v>
      </c>
      <c r="F1591" s="58" t="s">
        <v>24</v>
      </c>
      <c r="G1591" s="58">
        <v>1</v>
      </c>
      <c r="H1591" s="58">
        <v>6</v>
      </c>
      <c r="I1591" s="56">
        <v>125.333</v>
      </c>
      <c r="J1591" s="59" t="s">
        <v>1181</v>
      </c>
      <c r="K1591" s="59">
        <v>1</v>
      </c>
      <c r="L1591" s="59">
        <f t="shared" si="24"/>
        <v>751.99800000000005</v>
      </c>
      <c r="M1591" s="59"/>
      <c r="N1591" s="58"/>
    </row>
    <row r="1592" spans="1:14" ht="30">
      <c r="A1592" s="56">
        <v>890</v>
      </c>
      <c r="B1592" s="56">
        <v>890</v>
      </c>
      <c r="C1592" s="56">
        <v>890</v>
      </c>
      <c r="D1592" s="56" t="s">
        <v>2233</v>
      </c>
      <c r="F1592" s="56" t="s">
        <v>24</v>
      </c>
      <c r="G1592" s="56">
        <v>1</v>
      </c>
      <c r="H1592" s="56">
        <v>6</v>
      </c>
      <c r="I1592" s="56">
        <v>117</v>
      </c>
      <c r="J1592" s="59" t="s">
        <v>1181</v>
      </c>
      <c r="K1592" s="59">
        <v>1</v>
      </c>
      <c r="L1592" s="59">
        <f t="shared" si="24"/>
        <v>702</v>
      </c>
      <c r="M1592" s="59"/>
    </row>
    <row r="1593" spans="1:14" ht="30">
      <c r="A1593" s="56">
        <v>891</v>
      </c>
      <c r="B1593" s="56">
        <v>891</v>
      </c>
      <c r="C1593" s="56">
        <v>891</v>
      </c>
      <c r="D1593" s="56" t="s">
        <v>2234</v>
      </c>
      <c r="F1593" s="56" t="s">
        <v>24</v>
      </c>
      <c r="G1593" s="56">
        <v>1</v>
      </c>
      <c r="H1593" s="56">
        <v>6</v>
      </c>
      <c r="I1593" s="56">
        <v>117</v>
      </c>
      <c r="J1593" s="59" t="s">
        <v>1181</v>
      </c>
      <c r="K1593" s="59">
        <v>1</v>
      </c>
      <c r="L1593" s="59">
        <f t="shared" si="24"/>
        <v>702</v>
      </c>
      <c r="M1593" s="59"/>
    </row>
    <row r="1594" spans="1:14" ht="30">
      <c r="A1594" s="56">
        <v>899</v>
      </c>
      <c r="B1594" s="56">
        <v>899</v>
      </c>
      <c r="C1594" s="56">
        <v>899</v>
      </c>
      <c r="D1594" s="56" t="s">
        <v>2242</v>
      </c>
      <c r="F1594" s="56" t="s">
        <v>24</v>
      </c>
      <c r="G1594" s="56">
        <v>1</v>
      </c>
      <c r="H1594" s="56">
        <v>6</v>
      </c>
      <c r="I1594" s="56">
        <v>260</v>
      </c>
      <c r="J1594" s="59" t="s">
        <v>1181</v>
      </c>
      <c r="K1594" s="59">
        <v>1</v>
      </c>
      <c r="L1594" s="59">
        <f t="shared" si="24"/>
        <v>1560</v>
      </c>
      <c r="M1594" s="59"/>
    </row>
    <row r="1595" spans="1:14" ht="30">
      <c r="A1595" s="56">
        <v>904</v>
      </c>
      <c r="B1595" s="56">
        <v>904</v>
      </c>
      <c r="C1595" s="56">
        <v>904</v>
      </c>
      <c r="D1595" s="56" t="s">
        <v>2247</v>
      </c>
      <c r="F1595" s="56" t="s">
        <v>24</v>
      </c>
      <c r="G1595" s="56">
        <v>1</v>
      </c>
      <c r="H1595" s="56">
        <v>6</v>
      </c>
      <c r="I1595" s="56">
        <v>100</v>
      </c>
      <c r="J1595" s="59" t="s">
        <v>1181</v>
      </c>
      <c r="K1595" s="59">
        <v>1</v>
      </c>
      <c r="L1595" s="59">
        <f t="shared" si="24"/>
        <v>600</v>
      </c>
      <c r="M1595" s="59"/>
    </row>
    <row r="1596" spans="1:14" ht="30">
      <c r="A1596" s="56">
        <v>919</v>
      </c>
      <c r="B1596" s="56">
        <v>919</v>
      </c>
      <c r="C1596" s="56">
        <v>919</v>
      </c>
      <c r="D1596" s="56" t="s">
        <v>1365</v>
      </c>
      <c r="F1596" s="58" t="s">
        <v>24</v>
      </c>
      <c r="G1596" s="58">
        <v>1</v>
      </c>
      <c r="H1596" s="58">
        <v>6</v>
      </c>
      <c r="I1596" s="56">
        <v>125.33333333333333</v>
      </c>
      <c r="J1596" s="59" t="s">
        <v>1181</v>
      </c>
      <c r="K1596" s="59">
        <v>1</v>
      </c>
      <c r="L1596" s="59">
        <f t="shared" si="24"/>
        <v>752</v>
      </c>
      <c r="M1596" s="59"/>
      <c r="N1596" s="58"/>
    </row>
    <row r="1597" spans="1:14" ht="30">
      <c r="A1597" s="56">
        <v>1001</v>
      </c>
      <c r="B1597" s="56">
        <v>1001</v>
      </c>
      <c r="C1597" s="56">
        <v>1001</v>
      </c>
      <c r="D1597" s="56" t="s">
        <v>2293</v>
      </c>
      <c r="F1597" s="56" t="s">
        <v>24</v>
      </c>
      <c r="G1597" s="56">
        <v>1</v>
      </c>
      <c r="H1597" s="56">
        <v>6</v>
      </c>
      <c r="I1597" s="56">
        <v>221</v>
      </c>
      <c r="J1597" s="59" t="s">
        <v>1181</v>
      </c>
      <c r="K1597" s="59">
        <v>1</v>
      </c>
      <c r="L1597" s="59">
        <f t="shared" si="24"/>
        <v>1326</v>
      </c>
      <c r="M1597" s="59"/>
    </row>
    <row r="1598" spans="1:14" ht="30">
      <c r="A1598" s="56">
        <v>1069</v>
      </c>
      <c r="B1598" s="56">
        <v>1069</v>
      </c>
      <c r="C1598" s="56">
        <v>1069</v>
      </c>
      <c r="D1598" s="56" t="s">
        <v>2346</v>
      </c>
      <c r="F1598" s="56" t="s">
        <v>24</v>
      </c>
      <c r="G1598" s="56">
        <v>1</v>
      </c>
      <c r="H1598" s="56">
        <v>6</v>
      </c>
      <c r="I1598" s="56">
        <v>600</v>
      </c>
      <c r="J1598" s="59" t="s">
        <v>1181</v>
      </c>
      <c r="K1598" s="59">
        <v>1</v>
      </c>
      <c r="L1598" s="59">
        <f t="shared" si="24"/>
        <v>3600</v>
      </c>
      <c r="M1598" s="59"/>
    </row>
    <row r="1599" spans="1:14" ht="30">
      <c r="A1599" s="56">
        <v>1118</v>
      </c>
      <c r="B1599" s="56">
        <v>1118</v>
      </c>
      <c r="C1599" s="56">
        <v>1118</v>
      </c>
      <c r="D1599" s="56" t="s">
        <v>2385</v>
      </c>
      <c r="F1599" s="56" t="s">
        <v>24</v>
      </c>
      <c r="G1599" s="56">
        <v>1</v>
      </c>
      <c r="H1599" s="56">
        <v>6</v>
      </c>
      <c r="I1599" s="56">
        <v>1100</v>
      </c>
      <c r="J1599" s="59" t="s">
        <v>1181</v>
      </c>
      <c r="K1599" s="59">
        <v>1</v>
      </c>
      <c r="L1599" s="59">
        <f t="shared" si="24"/>
        <v>6600</v>
      </c>
      <c r="M1599" s="59"/>
    </row>
    <row r="1600" spans="1:14" ht="30">
      <c r="A1600" s="56">
        <v>1119</v>
      </c>
      <c r="B1600" s="56">
        <v>1119</v>
      </c>
      <c r="C1600" s="56">
        <v>1119</v>
      </c>
      <c r="D1600" s="56" t="s">
        <v>2386</v>
      </c>
      <c r="F1600" s="56" t="s">
        <v>24</v>
      </c>
      <c r="G1600" s="56">
        <v>1</v>
      </c>
      <c r="H1600" s="56">
        <v>6</v>
      </c>
      <c r="I1600" s="56">
        <v>1450</v>
      </c>
      <c r="J1600" s="59" t="s">
        <v>1181</v>
      </c>
      <c r="K1600" s="59">
        <v>1</v>
      </c>
      <c r="L1600" s="59">
        <f t="shared" si="24"/>
        <v>8700</v>
      </c>
      <c r="M1600" s="59"/>
    </row>
    <row r="1601" spans="1:14" ht="30">
      <c r="A1601" s="56">
        <v>1159</v>
      </c>
      <c r="B1601" s="56">
        <v>1159</v>
      </c>
      <c r="C1601" s="56">
        <v>1159</v>
      </c>
      <c r="D1601" s="56" t="s">
        <v>2420</v>
      </c>
      <c r="F1601" s="56" t="s">
        <v>24</v>
      </c>
      <c r="G1601" s="56">
        <v>1</v>
      </c>
      <c r="H1601" s="56">
        <v>6</v>
      </c>
      <c r="I1601" s="56">
        <v>2000</v>
      </c>
      <c r="J1601" s="59" t="s">
        <v>1181</v>
      </c>
      <c r="K1601" s="59">
        <v>1</v>
      </c>
      <c r="L1601" s="59">
        <f t="shared" si="24"/>
        <v>12000</v>
      </c>
      <c r="M1601" s="59"/>
    </row>
    <row r="1602" spans="1:14" ht="30">
      <c r="A1602" s="56">
        <v>1234</v>
      </c>
      <c r="B1602" s="56">
        <v>1234</v>
      </c>
      <c r="C1602" s="56">
        <v>1234</v>
      </c>
      <c r="D1602" s="56" t="s">
        <v>1429</v>
      </c>
      <c r="F1602" s="58" t="s">
        <v>24</v>
      </c>
      <c r="G1602" s="58">
        <v>1</v>
      </c>
      <c r="H1602" s="58">
        <v>6</v>
      </c>
      <c r="I1602" s="56">
        <v>195</v>
      </c>
      <c r="J1602" s="59" t="s">
        <v>1181</v>
      </c>
      <c r="K1602" s="59">
        <v>1</v>
      </c>
      <c r="L1602" s="59">
        <f t="shared" ref="L1602:L1665" si="25">H1602*I1602</f>
        <v>1170</v>
      </c>
      <c r="M1602" s="59"/>
      <c r="N1602" s="58"/>
    </row>
    <row r="1603" spans="1:14" ht="30">
      <c r="A1603" s="56">
        <v>1281</v>
      </c>
      <c r="B1603" s="56">
        <v>1281</v>
      </c>
      <c r="C1603" s="56">
        <v>1281</v>
      </c>
      <c r="D1603" s="56" t="s">
        <v>2506</v>
      </c>
      <c r="F1603" s="56" t="s">
        <v>24</v>
      </c>
      <c r="G1603" s="56">
        <v>1</v>
      </c>
      <c r="H1603" s="56">
        <v>6</v>
      </c>
      <c r="I1603" s="56">
        <v>700</v>
      </c>
      <c r="J1603" s="59" t="s">
        <v>1181</v>
      </c>
      <c r="K1603" s="59">
        <v>1</v>
      </c>
      <c r="L1603" s="59">
        <f t="shared" si="25"/>
        <v>4200</v>
      </c>
      <c r="M1603" s="59"/>
    </row>
    <row r="1604" spans="1:14" ht="30">
      <c r="A1604" s="56">
        <v>1282</v>
      </c>
      <c r="B1604" s="56">
        <v>1282</v>
      </c>
      <c r="C1604" s="56">
        <v>1282</v>
      </c>
      <c r="D1604" s="56" t="s">
        <v>2507</v>
      </c>
      <c r="F1604" s="56" t="s">
        <v>24</v>
      </c>
      <c r="G1604" s="56">
        <v>1</v>
      </c>
      <c r="H1604" s="56">
        <v>6</v>
      </c>
      <c r="I1604" s="56">
        <v>400</v>
      </c>
      <c r="J1604" s="59" t="s">
        <v>1181</v>
      </c>
      <c r="K1604" s="59">
        <v>1</v>
      </c>
      <c r="L1604" s="59">
        <f t="shared" si="25"/>
        <v>2400</v>
      </c>
      <c r="M1604" s="59"/>
    </row>
    <row r="1605" spans="1:14" ht="30">
      <c r="A1605" s="56">
        <v>1301</v>
      </c>
      <c r="B1605" s="56">
        <v>1301</v>
      </c>
      <c r="C1605" s="56">
        <v>1301</v>
      </c>
      <c r="D1605" s="56" t="s">
        <v>1431</v>
      </c>
      <c r="F1605" s="58" t="s">
        <v>24</v>
      </c>
      <c r="G1605" s="58">
        <v>1</v>
      </c>
      <c r="H1605" s="58">
        <v>6</v>
      </c>
      <c r="I1605" s="56">
        <v>230</v>
      </c>
      <c r="J1605" s="59" t="s">
        <v>1181</v>
      </c>
      <c r="K1605" s="59">
        <v>1</v>
      </c>
      <c r="L1605" s="59">
        <f t="shared" si="25"/>
        <v>1380</v>
      </c>
      <c r="M1605" s="59"/>
      <c r="N1605" s="58"/>
    </row>
    <row r="1606" spans="1:14" ht="30">
      <c r="A1606" s="56">
        <v>1310</v>
      </c>
      <c r="B1606" s="56">
        <v>1310</v>
      </c>
      <c r="C1606" s="56">
        <v>1310</v>
      </c>
      <c r="D1606" s="56" t="s">
        <v>2534</v>
      </c>
      <c r="F1606" s="56" t="s">
        <v>24</v>
      </c>
      <c r="G1606" s="56">
        <v>1</v>
      </c>
      <c r="H1606" s="56">
        <v>6</v>
      </c>
      <c r="I1606" s="56">
        <v>240</v>
      </c>
      <c r="J1606" s="59" t="s">
        <v>1181</v>
      </c>
      <c r="K1606" s="59">
        <v>1</v>
      </c>
      <c r="L1606" s="59">
        <f t="shared" si="25"/>
        <v>1440</v>
      </c>
      <c r="M1606" s="59"/>
    </row>
    <row r="1607" spans="1:14" ht="30">
      <c r="A1607" s="56">
        <v>1360</v>
      </c>
      <c r="B1607" s="56">
        <v>1360</v>
      </c>
      <c r="C1607" s="56">
        <v>1360</v>
      </c>
      <c r="D1607" s="56" t="s">
        <v>2582</v>
      </c>
      <c r="F1607" s="56" t="s">
        <v>24</v>
      </c>
      <c r="G1607" s="56">
        <v>1</v>
      </c>
      <c r="H1607" s="56">
        <v>6</v>
      </c>
      <c r="I1607" s="56">
        <v>400</v>
      </c>
      <c r="J1607" s="59" t="s">
        <v>1181</v>
      </c>
      <c r="K1607" s="59">
        <v>1</v>
      </c>
      <c r="L1607" s="59">
        <f t="shared" si="25"/>
        <v>2400</v>
      </c>
      <c r="M1607" s="59"/>
    </row>
    <row r="1608" spans="1:14" ht="30">
      <c r="A1608" s="56">
        <v>1362</v>
      </c>
      <c r="B1608" s="56">
        <v>1362</v>
      </c>
      <c r="C1608" s="56">
        <v>1362</v>
      </c>
      <c r="D1608" s="56" t="s">
        <v>1432</v>
      </c>
      <c r="F1608" s="58" t="s">
        <v>24</v>
      </c>
      <c r="G1608" s="58">
        <v>1</v>
      </c>
      <c r="H1608" s="58">
        <v>6</v>
      </c>
      <c r="I1608" s="56">
        <v>200</v>
      </c>
      <c r="J1608" s="59" t="s">
        <v>1181</v>
      </c>
      <c r="K1608" s="59">
        <v>1</v>
      </c>
      <c r="L1608" s="59">
        <f t="shared" si="25"/>
        <v>1200</v>
      </c>
      <c r="M1608" s="59"/>
      <c r="N1608" s="58"/>
    </row>
    <row r="1609" spans="1:14" ht="30">
      <c r="A1609" s="56">
        <v>1364</v>
      </c>
      <c r="B1609" s="56">
        <v>1364</v>
      </c>
      <c r="C1609" s="56">
        <v>1364</v>
      </c>
      <c r="D1609" s="56" t="s">
        <v>2585</v>
      </c>
      <c r="F1609" s="56" t="s">
        <v>24</v>
      </c>
      <c r="G1609" s="56">
        <v>1</v>
      </c>
      <c r="H1609" s="56">
        <v>6</v>
      </c>
      <c r="I1609" s="56">
        <v>250</v>
      </c>
      <c r="J1609" s="59" t="s">
        <v>1181</v>
      </c>
      <c r="K1609" s="59">
        <v>1</v>
      </c>
      <c r="L1609" s="59">
        <f t="shared" si="25"/>
        <v>1500</v>
      </c>
      <c r="M1609" s="59"/>
    </row>
    <row r="1610" spans="1:14" ht="30">
      <c r="A1610" s="56">
        <v>1423</v>
      </c>
      <c r="B1610" s="56">
        <v>1423</v>
      </c>
      <c r="C1610" s="56">
        <v>1423</v>
      </c>
      <c r="D1610" s="56" t="s">
        <v>2632</v>
      </c>
      <c r="F1610" s="56" t="s">
        <v>24</v>
      </c>
      <c r="G1610" s="56">
        <v>1</v>
      </c>
      <c r="H1610" s="56">
        <v>6</v>
      </c>
      <c r="I1610" s="56">
        <v>220</v>
      </c>
      <c r="J1610" s="59" t="s">
        <v>1181</v>
      </c>
      <c r="K1610" s="59">
        <v>1</v>
      </c>
      <c r="L1610" s="59">
        <f t="shared" si="25"/>
        <v>1320</v>
      </c>
      <c r="M1610" s="59"/>
    </row>
    <row r="1611" spans="1:14" ht="30">
      <c r="A1611" s="56">
        <v>1431</v>
      </c>
      <c r="B1611" s="56">
        <v>1431</v>
      </c>
      <c r="C1611" s="56">
        <v>1431</v>
      </c>
      <c r="D1611" s="56" t="s">
        <v>1439</v>
      </c>
      <c r="F1611" s="58" t="s">
        <v>2635</v>
      </c>
      <c r="G1611" s="58">
        <v>1</v>
      </c>
      <c r="H1611" s="58">
        <v>6</v>
      </c>
      <c r="I1611" s="56">
        <v>50</v>
      </c>
      <c r="J1611" s="59" t="s">
        <v>1181</v>
      </c>
      <c r="K1611" s="59">
        <v>1</v>
      </c>
      <c r="L1611" s="59">
        <f t="shared" si="25"/>
        <v>300</v>
      </c>
      <c r="M1611" s="59"/>
      <c r="N1611" s="58"/>
    </row>
    <row r="1612" spans="1:14" ht="30">
      <c r="A1612" s="56">
        <v>1434</v>
      </c>
      <c r="B1612" s="56">
        <v>1434</v>
      </c>
      <c r="C1612" s="56">
        <v>1434</v>
      </c>
      <c r="D1612" s="56" t="s">
        <v>1440</v>
      </c>
      <c r="F1612" s="58" t="s">
        <v>24</v>
      </c>
      <c r="G1612" s="58">
        <v>1</v>
      </c>
      <c r="H1612" s="58">
        <v>6</v>
      </c>
      <c r="I1612" s="56">
        <v>35</v>
      </c>
      <c r="J1612" s="59" t="s">
        <v>1181</v>
      </c>
      <c r="K1612" s="59">
        <v>1</v>
      </c>
      <c r="L1612" s="59">
        <f t="shared" si="25"/>
        <v>210</v>
      </c>
      <c r="M1612" s="59"/>
      <c r="N1612" s="58"/>
    </row>
    <row r="1613" spans="1:14" ht="30">
      <c r="A1613" s="56">
        <v>1450</v>
      </c>
      <c r="B1613" s="56">
        <v>1450</v>
      </c>
      <c r="C1613" s="56">
        <v>1450</v>
      </c>
      <c r="D1613" s="56" t="s">
        <v>2646</v>
      </c>
      <c r="F1613" s="56" t="s">
        <v>24</v>
      </c>
      <c r="G1613" s="56">
        <v>1</v>
      </c>
      <c r="H1613" s="56">
        <v>6</v>
      </c>
      <c r="I1613" s="56">
        <v>76</v>
      </c>
      <c r="J1613" s="59" t="s">
        <v>1181</v>
      </c>
      <c r="K1613" s="59">
        <v>1</v>
      </c>
      <c r="L1613" s="59">
        <f t="shared" si="25"/>
        <v>456</v>
      </c>
      <c r="M1613" s="59"/>
    </row>
    <row r="1614" spans="1:14" ht="30">
      <c r="A1614" s="56">
        <v>1462</v>
      </c>
      <c r="B1614" s="56">
        <v>1462</v>
      </c>
      <c r="C1614" s="56">
        <v>1462</v>
      </c>
      <c r="D1614" s="56" t="s">
        <v>2658</v>
      </c>
      <c r="F1614" s="56" t="s">
        <v>24</v>
      </c>
      <c r="G1614" s="56">
        <v>1</v>
      </c>
      <c r="H1614" s="56">
        <v>6</v>
      </c>
      <c r="I1614" s="56">
        <v>1350</v>
      </c>
      <c r="J1614" s="59" t="s">
        <v>1181</v>
      </c>
      <c r="K1614" s="59">
        <v>1</v>
      </c>
      <c r="L1614" s="59">
        <f t="shared" si="25"/>
        <v>8100</v>
      </c>
      <c r="M1614" s="59"/>
    </row>
    <row r="1615" spans="1:14" ht="30">
      <c r="A1615" s="56">
        <v>1532</v>
      </c>
      <c r="B1615" s="56">
        <v>1532</v>
      </c>
      <c r="C1615" s="56">
        <v>1532</v>
      </c>
      <c r="D1615" s="56" t="s">
        <v>2722</v>
      </c>
      <c r="F1615" s="56" t="s">
        <v>24</v>
      </c>
      <c r="G1615" s="56">
        <v>1</v>
      </c>
      <c r="H1615" s="56">
        <v>6</v>
      </c>
      <c r="I1615" s="56">
        <v>500</v>
      </c>
      <c r="J1615" s="59" t="s">
        <v>1181</v>
      </c>
      <c r="K1615" s="59">
        <v>1</v>
      </c>
      <c r="L1615" s="59">
        <f t="shared" si="25"/>
        <v>3000</v>
      </c>
      <c r="M1615" s="59"/>
    </row>
    <row r="1616" spans="1:14" ht="30">
      <c r="A1616" s="56">
        <v>1533</v>
      </c>
      <c r="B1616" s="56">
        <v>1533</v>
      </c>
      <c r="C1616" s="56">
        <v>1533</v>
      </c>
      <c r="D1616" s="56" t="s">
        <v>2723</v>
      </c>
      <c r="F1616" s="56" t="s">
        <v>24</v>
      </c>
      <c r="G1616" s="56">
        <v>1</v>
      </c>
      <c r="H1616" s="56">
        <v>6</v>
      </c>
      <c r="I1616" s="56">
        <v>500</v>
      </c>
      <c r="J1616" s="59" t="s">
        <v>1181</v>
      </c>
      <c r="K1616" s="59">
        <v>1</v>
      </c>
      <c r="L1616" s="59">
        <f t="shared" si="25"/>
        <v>3000</v>
      </c>
      <c r="M1616" s="59"/>
    </row>
    <row r="1617" spans="1:13" ht="30">
      <c r="A1617" s="56">
        <v>1548</v>
      </c>
      <c r="B1617" s="56">
        <v>1548</v>
      </c>
      <c r="C1617" s="56">
        <v>1548</v>
      </c>
      <c r="D1617" s="56" t="s">
        <v>2738</v>
      </c>
      <c r="F1617" s="56" t="s">
        <v>24</v>
      </c>
      <c r="G1617" s="56">
        <v>1</v>
      </c>
      <c r="H1617" s="56">
        <v>6</v>
      </c>
      <c r="I1617" s="56">
        <v>600</v>
      </c>
      <c r="J1617" s="59" t="s">
        <v>1181</v>
      </c>
      <c r="K1617" s="59">
        <v>1</v>
      </c>
      <c r="L1617" s="59">
        <f t="shared" si="25"/>
        <v>3600</v>
      </c>
      <c r="M1617" s="59"/>
    </row>
    <row r="1618" spans="1:13" ht="30">
      <c r="A1618" s="56">
        <v>1566</v>
      </c>
      <c r="B1618" s="56">
        <v>1566</v>
      </c>
      <c r="C1618" s="56">
        <v>1566</v>
      </c>
      <c r="D1618" s="56" t="s">
        <v>2756</v>
      </c>
      <c r="F1618" s="56" t="s">
        <v>24</v>
      </c>
      <c r="G1618" s="56">
        <v>1</v>
      </c>
      <c r="H1618" s="56">
        <v>6</v>
      </c>
      <c r="I1618" s="56">
        <v>1200</v>
      </c>
      <c r="J1618" s="59" t="s">
        <v>1181</v>
      </c>
      <c r="K1618" s="59">
        <v>1</v>
      </c>
      <c r="L1618" s="59">
        <f t="shared" si="25"/>
        <v>7200</v>
      </c>
      <c r="M1618" s="59"/>
    </row>
    <row r="1619" spans="1:13" ht="30">
      <c r="A1619" s="56">
        <v>1567</v>
      </c>
      <c r="B1619" s="56">
        <v>1567</v>
      </c>
      <c r="C1619" s="56">
        <v>1567</v>
      </c>
      <c r="D1619" s="56" t="s">
        <v>2757</v>
      </c>
      <c r="F1619" s="56" t="s">
        <v>24</v>
      </c>
      <c r="G1619" s="56">
        <v>1</v>
      </c>
      <c r="H1619" s="56">
        <v>6</v>
      </c>
      <c r="I1619" s="56">
        <v>1500</v>
      </c>
      <c r="J1619" s="59" t="s">
        <v>1181</v>
      </c>
      <c r="K1619" s="59">
        <v>1</v>
      </c>
      <c r="L1619" s="59">
        <f t="shared" si="25"/>
        <v>9000</v>
      </c>
      <c r="M1619" s="59"/>
    </row>
    <row r="1620" spans="1:13" ht="30">
      <c r="A1620" s="56">
        <v>1569</v>
      </c>
      <c r="B1620" s="56">
        <v>1569</v>
      </c>
      <c r="C1620" s="56">
        <v>1569</v>
      </c>
      <c r="D1620" s="56" t="s">
        <v>2759</v>
      </c>
      <c r="F1620" s="56" t="s">
        <v>24</v>
      </c>
      <c r="G1620" s="56">
        <v>1</v>
      </c>
      <c r="H1620" s="56">
        <v>6</v>
      </c>
      <c r="I1620" s="56">
        <v>1200</v>
      </c>
      <c r="J1620" s="59" t="s">
        <v>1181</v>
      </c>
      <c r="K1620" s="59">
        <v>1</v>
      </c>
      <c r="L1620" s="59">
        <f t="shared" si="25"/>
        <v>7200</v>
      </c>
      <c r="M1620" s="59"/>
    </row>
    <row r="1621" spans="1:13" ht="30">
      <c r="A1621" s="56">
        <v>1650</v>
      </c>
      <c r="B1621" s="56">
        <v>1650</v>
      </c>
      <c r="C1621" s="56">
        <v>1650</v>
      </c>
      <c r="D1621" s="56" t="s">
        <v>2821</v>
      </c>
      <c r="F1621" s="56" t="s">
        <v>24</v>
      </c>
      <c r="G1621" s="56">
        <v>1</v>
      </c>
      <c r="H1621" s="56">
        <v>6</v>
      </c>
      <c r="I1621" s="56">
        <v>450</v>
      </c>
      <c r="J1621" s="59" t="s">
        <v>1181</v>
      </c>
      <c r="K1621" s="59">
        <v>1</v>
      </c>
      <c r="L1621" s="59">
        <f t="shared" si="25"/>
        <v>2700</v>
      </c>
      <c r="M1621" s="59"/>
    </row>
    <row r="1622" spans="1:13" ht="30">
      <c r="A1622" s="56">
        <v>1700</v>
      </c>
      <c r="B1622" s="56">
        <v>1700</v>
      </c>
      <c r="C1622" s="56">
        <v>1700</v>
      </c>
      <c r="D1622" s="56" t="s">
        <v>2854</v>
      </c>
      <c r="F1622" s="56" t="s">
        <v>24</v>
      </c>
      <c r="G1622" s="56">
        <v>1</v>
      </c>
      <c r="H1622" s="56">
        <v>6</v>
      </c>
      <c r="I1622" s="56">
        <v>500</v>
      </c>
      <c r="J1622" s="59" t="s">
        <v>1181</v>
      </c>
      <c r="K1622" s="59">
        <v>1</v>
      </c>
      <c r="L1622" s="59">
        <f t="shared" si="25"/>
        <v>3000</v>
      </c>
      <c r="M1622" s="59"/>
    </row>
    <row r="1623" spans="1:13" ht="30">
      <c r="A1623" s="56">
        <v>1713</v>
      </c>
      <c r="B1623" s="56">
        <v>1713</v>
      </c>
      <c r="C1623" s="56">
        <v>1713</v>
      </c>
      <c r="D1623" s="56" t="s">
        <v>2866</v>
      </c>
      <c r="F1623" s="56" t="s">
        <v>24</v>
      </c>
      <c r="G1623" s="56">
        <v>1</v>
      </c>
      <c r="H1623" s="56">
        <v>6</v>
      </c>
      <c r="I1623" s="56">
        <v>140</v>
      </c>
      <c r="J1623" s="59" t="s">
        <v>1181</v>
      </c>
      <c r="K1623" s="59">
        <v>1</v>
      </c>
      <c r="L1623" s="59">
        <f t="shared" si="25"/>
        <v>840</v>
      </c>
      <c r="M1623" s="59"/>
    </row>
    <row r="1624" spans="1:13" ht="30">
      <c r="A1624" s="56">
        <v>1727</v>
      </c>
      <c r="B1624" s="56">
        <v>1727</v>
      </c>
      <c r="C1624" s="56">
        <v>1727</v>
      </c>
      <c r="D1624" s="56" t="s">
        <v>2878</v>
      </c>
      <c r="F1624" s="56" t="s">
        <v>24</v>
      </c>
      <c r="G1624" s="56">
        <v>1</v>
      </c>
      <c r="H1624" s="56">
        <v>6</v>
      </c>
      <c r="I1624" s="56">
        <v>1100</v>
      </c>
      <c r="J1624" s="59" t="s">
        <v>1181</v>
      </c>
      <c r="K1624" s="59">
        <v>1</v>
      </c>
      <c r="L1624" s="59">
        <f t="shared" si="25"/>
        <v>6600</v>
      </c>
      <c r="M1624" s="59"/>
    </row>
    <row r="1625" spans="1:13" ht="30">
      <c r="A1625" s="56">
        <v>1750</v>
      </c>
      <c r="B1625" s="56">
        <v>1750</v>
      </c>
      <c r="C1625" s="56">
        <v>1750</v>
      </c>
      <c r="D1625" s="56" t="s">
        <v>2896</v>
      </c>
      <c r="F1625" s="56" t="s">
        <v>24</v>
      </c>
      <c r="G1625" s="56">
        <v>1</v>
      </c>
      <c r="H1625" s="56">
        <v>6</v>
      </c>
      <c r="I1625" s="56">
        <v>190</v>
      </c>
      <c r="J1625" s="59" t="s">
        <v>1181</v>
      </c>
      <c r="K1625" s="59">
        <v>1</v>
      </c>
      <c r="L1625" s="59">
        <f t="shared" si="25"/>
        <v>1140</v>
      </c>
      <c r="M1625" s="59"/>
    </row>
    <row r="1626" spans="1:13" ht="30">
      <c r="A1626" s="56">
        <v>1751</v>
      </c>
      <c r="B1626" s="56">
        <v>1751</v>
      </c>
      <c r="C1626" s="56">
        <v>1751</v>
      </c>
      <c r="D1626" s="56" t="s">
        <v>1473</v>
      </c>
      <c r="F1626" s="58" t="s">
        <v>24</v>
      </c>
      <c r="G1626" s="58">
        <v>1</v>
      </c>
      <c r="H1626" s="58">
        <v>6</v>
      </c>
      <c r="I1626" s="56">
        <v>150</v>
      </c>
      <c r="J1626" s="59" t="s">
        <v>1181</v>
      </c>
      <c r="K1626" s="59">
        <v>1</v>
      </c>
      <c r="L1626" s="59">
        <f t="shared" si="25"/>
        <v>900</v>
      </c>
      <c r="M1626" s="59"/>
    </row>
    <row r="1627" spans="1:13" ht="30">
      <c r="A1627" s="56">
        <v>1764</v>
      </c>
      <c r="B1627" s="56">
        <v>1764</v>
      </c>
      <c r="C1627" s="56">
        <v>1764</v>
      </c>
      <c r="D1627" s="56" t="s">
        <v>2908</v>
      </c>
      <c r="F1627" s="56" t="s">
        <v>24</v>
      </c>
      <c r="G1627" s="56">
        <v>1</v>
      </c>
      <c r="H1627" s="56">
        <v>6</v>
      </c>
      <c r="I1627" s="56">
        <v>150</v>
      </c>
      <c r="J1627" s="59" t="s">
        <v>1181</v>
      </c>
      <c r="K1627" s="59">
        <v>1</v>
      </c>
      <c r="L1627" s="59">
        <f t="shared" si="25"/>
        <v>900</v>
      </c>
      <c r="M1627" s="59"/>
    </row>
    <row r="1628" spans="1:13" ht="30">
      <c r="A1628" s="56">
        <v>1773</v>
      </c>
      <c r="B1628" s="56">
        <v>1773</v>
      </c>
      <c r="C1628" s="56">
        <v>1773</v>
      </c>
      <c r="D1628" s="56" t="s">
        <v>2917</v>
      </c>
      <c r="F1628" s="56" t="s">
        <v>24</v>
      </c>
      <c r="G1628" s="56">
        <v>1</v>
      </c>
      <c r="H1628" s="56">
        <v>6</v>
      </c>
      <c r="I1628" s="56">
        <v>289</v>
      </c>
      <c r="J1628" s="59" t="s">
        <v>1181</v>
      </c>
      <c r="K1628" s="59">
        <v>1</v>
      </c>
      <c r="L1628" s="59">
        <f t="shared" si="25"/>
        <v>1734</v>
      </c>
      <c r="M1628" s="59"/>
    </row>
    <row r="1629" spans="1:13" ht="30">
      <c r="A1629" s="56">
        <v>1777</v>
      </c>
      <c r="B1629" s="56">
        <v>1777</v>
      </c>
      <c r="C1629" s="56">
        <v>1777</v>
      </c>
      <c r="D1629" s="56" t="s">
        <v>2920</v>
      </c>
      <c r="F1629" s="56" t="s">
        <v>24</v>
      </c>
      <c r="G1629" s="56">
        <v>1</v>
      </c>
      <c r="H1629" s="56">
        <v>6</v>
      </c>
      <c r="I1629" s="56">
        <v>85</v>
      </c>
      <c r="J1629" s="59" t="s">
        <v>1181</v>
      </c>
      <c r="K1629" s="59">
        <v>1</v>
      </c>
      <c r="L1629" s="59">
        <f t="shared" si="25"/>
        <v>510</v>
      </c>
      <c r="M1629" s="59"/>
    </row>
    <row r="1630" spans="1:13" ht="30">
      <c r="A1630" s="56">
        <v>1780</v>
      </c>
      <c r="B1630" s="56">
        <v>1780</v>
      </c>
      <c r="C1630" s="56">
        <v>1780</v>
      </c>
      <c r="D1630" s="56" t="s">
        <v>2923</v>
      </c>
      <c r="F1630" s="56" t="s">
        <v>24</v>
      </c>
      <c r="G1630" s="56">
        <v>1</v>
      </c>
      <c r="H1630" s="56">
        <v>6</v>
      </c>
      <c r="I1630" s="56">
        <v>139</v>
      </c>
      <c r="J1630" s="59" t="s">
        <v>1181</v>
      </c>
      <c r="K1630" s="59">
        <v>1</v>
      </c>
      <c r="L1630" s="59">
        <f t="shared" si="25"/>
        <v>834</v>
      </c>
      <c r="M1630" s="59"/>
    </row>
    <row r="1631" spans="1:13" ht="30">
      <c r="A1631" s="56">
        <v>1825</v>
      </c>
      <c r="B1631" s="56">
        <v>1825</v>
      </c>
      <c r="C1631" s="56">
        <v>1825</v>
      </c>
      <c r="D1631" s="56" t="s">
        <v>2958</v>
      </c>
      <c r="F1631" s="56" t="s">
        <v>24</v>
      </c>
      <c r="G1631" s="56">
        <v>1</v>
      </c>
      <c r="H1631" s="56">
        <v>6</v>
      </c>
      <c r="I1631" s="56">
        <v>181</v>
      </c>
      <c r="J1631" s="59" t="s">
        <v>1181</v>
      </c>
      <c r="K1631" s="59">
        <v>1</v>
      </c>
      <c r="L1631" s="59">
        <f t="shared" si="25"/>
        <v>1086</v>
      </c>
      <c r="M1631" s="59"/>
    </row>
    <row r="1632" spans="1:13" ht="30">
      <c r="A1632" s="56">
        <v>1827</v>
      </c>
      <c r="B1632" s="56">
        <v>1827</v>
      </c>
      <c r="C1632" s="56">
        <v>1827</v>
      </c>
      <c r="D1632" s="56" t="s">
        <v>2960</v>
      </c>
      <c r="F1632" s="56" t="s">
        <v>24</v>
      </c>
      <c r="G1632" s="56">
        <v>1</v>
      </c>
      <c r="H1632" s="56">
        <v>6</v>
      </c>
      <c r="I1632" s="56">
        <v>150</v>
      </c>
      <c r="J1632" s="59" t="s">
        <v>1181</v>
      </c>
      <c r="K1632" s="59">
        <v>1</v>
      </c>
      <c r="L1632" s="59">
        <f t="shared" si="25"/>
        <v>900</v>
      </c>
      <c r="M1632" s="59"/>
    </row>
    <row r="1633" spans="1:14" ht="30">
      <c r="A1633" s="56">
        <v>1828</v>
      </c>
      <c r="B1633" s="56">
        <v>1828</v>
      </c>
      <c r="C1633" s="56">
        <v>1828</v>
      </c>
      <c r="D1633" s="56" t="s">
        <v>2961</v>
      </c>
      <c r="F1633" s="56" t="s">
        <v>24</v>
      </c>
      <c r="G1633" s="56">
        <v>1</v>
      </c>
      <c r="H1633" s="56">
        <v>6</v>
      </c>
      <c r="I1633" s="56">
        <v>89</v>
      </c>
      <c r="J1633" s="59" t="s">
        <v>1181</v>
      </c>
      <c r="K1633" s="59">
        <v>1</v>
      </c>
      <c r="L1633" s="59">
        <f t="shared" si="25"/>
        <v>534</v>
      </c>
      <c r="M1633" s="59"/>
    </row>
    <row r="1634" spans="1:14" ht="30">
      <c r="A1634" s="56">
        <v>1849</v>
      </c>
      <c r="B1634" s="56">
        <v>1849</v>
      </c>
      <c r="C1634" s="56">
        <v>1849</v>
      </c>
      <c r="D1634" s="56" t="s">
        <v>2978</v>
      </c>
      <c r="F1634" s="56" t="s">
        <v>24</v>
      </c>
      <c r="G1634" s="56">
        <v>1</v>
      </c>
      <c r="H1634" s="56">
        <v>6</v>
      </c>
      <c r="I1634" s="56">
        <v>70</v>
      </c>
      <c r="J1634" s="59" t="s">
        <v>1181</v>
      </c>
      <c r="K1634" s="59">
        <v>1</v>
      </c>
      <c r="L1634" s="59">
        <f t="shared" si="25"/>
        <v>420</v>
      </c>
      <c r="M1634" s="59"/>
    </row>
    <row r="1635" spans="1:14" ht="30">
      <c r="A1635" s="56">
        <v>1947</v>
      </c>
      <c r="B1635" s="56">
        <v>1947</v>
      </c>
      <c r="C1635" s="56">
        <v>1947</v>
      </c>
      <c r="D1635" s="56" t="s">
        <v>3074</v>
      </c>
      <c r="F1635" s="56" t="s">
        <v>24</v>
      </c>
      <c r="G1635" s="56">
        <v>1</v>
      </c>
      <c r="H1635" s="56">
        <v>6</v>
      </c>
      <c r="I1635" s="56">
        <v>500</v>
      </c>
      <c r="J1635" s="59" t="s">
        <v>1181</v>
      </c>
      <c r="K1635" s="59">
        <v>1</v>
      </c>
      <c r="L1635" s="59">
        <f t="shared" si="25"/>
        <v>3000</v>
      </c>
      <c r="M1635" s="59"/>
    </row>
    <row r="1636" spans="1:14" ht="30">
      <c r="A1636" s="56">
        <v>1679</v>
      </c>
      <c r="B1636" s="56">
        <v>1679</v>
      </c>
      <c r="C1636" s="56">
        <v>1679</v>
      </c>
      <c r="D1636" s="56" t="s">
        <v>1240</v>
      </c>
      <c r="F1636" s="58" t="s">
        <v>1183</v>
      </c>
      <c r="G1636" s="58">
        <v>50</v>
      </c>
      <c r="H1636" s="56">
        <v>7</v>
      </c>
      <c r="I1636" s="56">
        <v>187</v>
      </c>
      <c r="J1636" s="59" t="s">
        <v>1181</v>
      </c>
      <c r="K1636" s="59">
        <v>1</v>
      </c>
      <c r="L1636" s="59">
        <f t="shared" si="25"/>
        <v>1309</v>
      </c>
      <c r="M1636" s="59"/>
    </row>
    <row r="1637" spans="1:14" ht="30">
      <c r="A1637" s="56">
        <v>601</v>
      </c>
      <c r="B1637" s="56">
        <v>601</v>
      </c>
      <c r="C1637" s="56">
        <v>601</v>
      </c>
      <c r="D1637" s="56" t="s">
        <v>1276</v>
      </c>
      <c r="F1637" s="58" t="s">
        <v>1183</v>
      </c>
      <c r="G1637" s="58">
        <v>12</v>
      </c>
      <c r="H1637" s="56">
        <v>7</v>
      </c>
      <c r="I1637" s="56">
        <v>300</v>
      </c>
      <c r="J1637" s="59" t="s">
        <v>1181</v>
      </c>
      <c r="K1637" s="59">
        <v>1</v>
      </c>
      <c r="L1637" s="59">
        <f t="shared" si="25"/>
        <v>2100</v>
      </c>
      <c r="M1637" s="59"/>
    </row>
    <row r="1638" spans="1:14" ht="30">
      <c r="A1638" s="56">
        <v>805</v>
      </c>
      <c r="B1638" s="56">
        <v>805</v>
      </c>
      <c r="C1638" s="56">
        <v>805</v>
      </c>
      <c r="D1638" s="56" t="s">
        <v>1294</v>
      </c>
      <c r="F1638" s="58" t="s">
        <v>1185</v>
      </c>
      <c r="G1638" s="58">
        <v>12</v>
      </c>
      <c r="H1638" s="56">
        <v>7</v>
      </c>
      <c r="I1638" s="56">
        <v>600</v>
      </c>
      <c r="J1638" s="59" t="s">
        <v>1181</v>
      </c>
      <c r="K1638" s="59">
        <v>1</v>
      </c>
      <c r="L1638" s="59">
        <f t="shared" si="25"/>
        <v>4200</v>
      </c>
      <c r="M1638" s="59"/>
    </row>
    <row r="1639" spans="1:14" ht="30">
      <c r="A1639" s="56">
        <v>964</v>
      </c>
      <c r="B1639" s="56">
        <v>964</v>
      </c>
      <c r="C1639" s="56">
        <v>964</v>
      </c>
      <c r="D1639" s="56" t="s">
        <v>1385</v>
      </c>
      <c r="F1639" s="58" t="s">
        <v>1185</v>
      </c>
      <c r="G1639" s="58">
        <v>12</v>
      </c>
      <c r="H1639" s="56">
        <v>7</v>
      </c>
      <c r="I1639" s="56">
        <v>5400</v>
      </c>
      <c r="J1639" s="59" t="s">
        <v>1181</v>
      </c>
      <c r="K1639" s="59">
        <v>1</v>
      </c>
      <c r="L1639" s="59">
        <f t="shared" si="25"/>
        <v>37800</v>
      </c>
      <c r="M1639" s="59"/>
    </row>
    <row r="1640" spans="1:14" ht="30">
      <c r="A1640" s="56">
        <v>1059</v>
      </c>
      <c r="B1640" s="56">
        <v>1059</v>
      </c>
      <c r="C1640" s="56">
        <v>1059</v>
      </c>
      <c r="D1640" s="56" t="s">
        <v>1405</v>
      </c>
      <c r="F1640" s="58" t="s">
        <v>1198</v>
      </c>
      <c r="G1640" s="58">
        <v>12</v>
      </c>
      <c r="H1640" s="56">
        <v>7</v>
      </c>
      <c r="I1640" s="56">
        <v>200</v>
      </c>
      <c r="J1640" s="59" t="s">
        <v>1181</v>
      </c>
      <c r="K1640" s="59">
        <v>1</v>
      </c>
      <c r="L1640" s="59">
        <f t="shared" si="25"/>
        <v>1400</v>
      </c>
      <c r="M1640" s="59"/>
    </row>
    <row r="1641" spans="1:14" ht="30">
      <c r="A1641" s="56">
        <v>1174</v>
      </c>
      <c r="B1641" s="56">
        <v>1174</v>
      </c>
      <c r="C1641" s="56">
        <v>1174</v>
      </c>
      <c r="D1641" s="56" t="s">
        <v>1418</v>
      </c>
      <c r="F1641" s="58" t="s">
        <v>1183</v>
      </c>
      <c r="G1641" s="58">
        <v>12</v>
      </c>
      <c r="H1641" s="56">
        <v>7</v>
      </c>
      <c r="I1641" s="56">
        <v>800</v>
      </c>
      <c r="J1641" s="59" t="s">
        <v>1181</v>
      </c>
      <c r="K1641" s="59">
        <v>1</v>
      </c>
      <c r="L1641" s="59">
        <f t="shared" si="25"/>
        <v>5600</v>
      </c>
      <c r="M1641" s="59"/>
    </row>
    <row r="1642" spans="1:14" ht="30">
      <c r="A1642" s="56">
        <v>1235</v>
      </c>
      <c r="B1642" s="56">
        <v>1235</v>
      </c>
      <c r="C1642" s="56">
        <v>1235</v>
      </c>
      <c r="D1642" s="56" t="s">
        <v>1430</v>
      </c>
      <c r="F1642" s="58" t="s">
        <v>1183</v>
      </c>
      <c r="G1642" s="58">
        <v>12</v>
      </c>
      <c r="H1642" s="56">
        <v>7</v>
      </c>
      <c r="I1642" s="56">
        <v>1500</v>
      </c>
      <c r="J1642" s="59" t="s">
        <v>1181</v>
      </c>
      <c r="K1642" s="59">
        <v>1</v>
      </c>
      <c r="L1642" s="59">
        <f t="shared" si="25"/>
        <v>10500</v>
      </c>
      <c r="M1642" s="59"/>
    </row>
    <row r="1643" spans="1:14" ht="30">
      <c r="A1643" s="56">
        <v>12</v>
      </c>
      <c r="B1643" s="56">
        <v>12</v>
      </c>
      <c r="C1643" s="56">
        <v>12</v>
      </c>
      <c r="D1643" s="56" t="s">
        <v>1535</v>
      </c>
      <c r="F1643" s="56" t="s">
        <v>24</v>
      </c>
      <c r="G1643" s="56">
        <v>1</v>
      </c>
      <c r="H1643" s="56">
        <v>7</v>
      </c>
      <c r="I1643" s="56">
        <v>1200</v>
      </c>
      <c r="J1643" s="59" t="s">
        <v>1181</v>
      </c>
      <c r="K1643" s="59">
        <v>1</v>
      </c>
      <c r="L1643" s="59">
        <f t="shared" si="25"/>
        <v>8400</v>
      </c>
      <c r="M1643" s="59"/>
    </row>
    <row r="1644" spans="1:14" ht="30">
      <c r="A1644" s="56">
        <v>248</v>
      </c>
      <c r="B1644" s="56">
        <v>248</v>
      </c>
      <c r="C1644" s="56">
        <v>248</v>
      </c>
      <c r="D1644" s="56" t="s">
        <v>1738</v>
      </c>
      <c r="F1644" s="56" t="s">
        <v>24</v>
      </c>
      <c r="G1644" s="56">
        <v>1</v>
      </c>
      <c r="H1644" s="56">
        <v>7</v>
      </c>
      <c r="I1644" s="56">
        <v>400</v>
      </c>
      <c r="J1644" s="59" t="s">
        <v>1181</v>
      </c>
      <c r="K1644" s="59">
        <v>1</v>
      </c>
      <c r="L1644" s="59">
        <f t="shared" si="25"/>
        <v>2800</v>
      </c>
      <c r="M1644" s="59"/>
    </row>
    <row r="1645" spans="1:14" ht="30">
      <c r="A1645" s="56">
        <v>259</v>
      </c>
      <c r="B1645" s="56">
        <v>259</v>
      </c>
      <c r="C1645" s="56">
        <v>259</v>
      </c>
      <c r="D1645" s="56" t="s">
        <v>1260</v>
      </c>
      <c r="F1645" s="58" t="s">
        <v>24</v>
      </c>
      <c r="G1645" s="58">
        <v>1</v>
      </c>
      <c r="H1645" s="58">
        <v>7</v>
      </c>
      <c r="I1645" s="56">
        <v>175</v>
      </c>
      <c r="J1645" s="59" t="s">
        <v>1181</v>
      </c>
      <c r="K1645" s="59">
        <v>1</v>
      </c>
      <c r="L1645" s="59">
        <f t="shared" si="25"/>
        <v>1225</v>
      </c>
      <c r="M1645" s="59"/>
      <c r="N1645" s="58"/>
    </row>
    <row r="1646" spans="1:14" ht="30">
      <c r="A1646" s="56">
        <v>260</v>
      </c>
      <c r="B1646" s="56">
        <v>260</v>
      </c>
      <c r="C1646" s="56">
        <v>260</v>
      </c>
      <c r="D1646" s="56" t="s">
        <v>1261</v>
      </c>
      <c r="F1646" s="58" t="s">
        <v>24</v>
      </c>
      <c r="G1646" s="58">
        <v>1</v>
      </c>
      <c r="H1646" s="58">
        <v>7</v>
      </c>
      <c r="I1646" s="56">
        <v>75</v>
      </c>
      <c r="J1646" s="59" t="s">
        <v>1181</v>
      </c>
      <c r="K1646" s="59">
        <v>1</v>
      </c>
      <c r="L1646" s="59">
        <f t="shared" si="25"/>
        <v>525</v>
      </c>
      <c r="M1646" s="59"/>
      <c r="N1646" s="58"/>
    </row>
    <row r="1647" spans="1:14" ht="30">
      <c r="A1647" s="56">
        <v>296</v>
      </c>
      <c r="B1647" s="56">
        <v>296</v>
      </c>
      <c r="C1647" s="56">
        <v>296</v>
      </c>
      <c r="D1647" s="56" t="s">
        <v>1267</v>
      </c>
      <c r="F1647" s="58" t="s">
        <v>24</v>
      </c>
      <c r="G1647" s="58">
        <v>1</v>
      </c>
      <c r="H1647" s="58">
        <v>7</v>
      </c>
      <c r="I1647" s="56">
        <v>150</v>
      </c>
      <c r="J1647" s="59" t="s">
        <v>1181</v>
      </c>
      <c r="K1647" s="59">
        <v>1</v>
      </c>
      <c r="L1647" s="59">
        <f t="shared" si="25"/>
        <v>1050</v>
      </c>
      <c r="M1647" s="59"/>
      <c r="N1647" s="58"/>
    </row>
    <row r="1648" spans="1:14" ht="30">
      <c r="A1648" s="56">
        <v>299</v>
      </c>
      <c r="B1648" s="56">
        <v>299</v>
      </c>
      <c r="C1648" s="56">
        <v>299</v>
      </c>
      <c r="D1648" s="56" t="s">
        <v>1776</v>
      </c>
      <c r="F1648" s="56" t="s">
        <v>24</v>
      </c>
      <c r="G1648" s="56">
        <v>1</v>
      </c>
      <c r="H1648" s="56">
        <v>7</v>
      </c>
      <c r="I1648" s="56">
        <v>700</v>
      </c>
      <c r="J1648" s="59" t="s">
        <v>1181</v>
      </c>
      <c r="K1648" s="59">
        <v>1</v>
      </c>
      <c r="L1648" s="59">
        <f t="shared" si="25"/>
        <v>4900</v>
      </c>
      <c r="M1648" s="59"/>
    </row>
    <row r="1649" spans="1:14" ht="30">
      <c r="A1649" s="56">
        <v>316</v>
      </c>
      <c r="B1649" s="56">
        <v>316</v>
      </c>
      <c r="C1649" s="56">
        <v>316</v>
      </c>
      <c r="D1649" s="56" t="s">
        <v>1790</v>
      </c>
      <c r="F1649" s="56" t="s">
        <v>24</v>
      </c>
      <c r="G1649" s="56">
        <v>1</v>
      </c>
      <c r="H1649" s="56">
        <v>7</v>
      </c>
      <c r="I1649" s="56">
        <v>200</v>
      </c>
      <c r="J1649" s="59" t="s">
        <v>1181</v>
      </c>
      <c r="K1649" s="59">
        <v>1</v>
      </c>
      <c r="L1649" s="59">
        <f t="shared" si="25"/>
        <v>1400</v>
      </c>
      <c r="M1649" s="59"/>
    </row>
    <row r="1650" spans="1:14" ht="30">
      <c r="A1650" s="56">
        <v>389</v>
      </c>
      <c r="B1650" s="56">
        <v>389</v>
      </c>
      <c r="C1650" s="56">
        <v>389</v>
      </c>
      <c r="D1650" s="56" t="s">
        <v>1862</v>
      </c>
      <c r="F1650" s="56" t="s">
        <v>24</v>
      </c>
      <c r="G1650" s="56">
        <v>1</v>
      </c>
      <c r="H1650" s="56">
        <v>7</v>
      </c>
      <c r="I1650" s="56">
        <v>200</v>
      </c>
      <c r="J1650" s="59" t="s">
        <v>1181</v>
      </c>
      <c r="K1650" s="59">
        <v>1</v>
      </c>
      <c r="L1650" s="59">
        <f t="shared" si="25"/>
        <v>1400</v>
      </c>
      <c r="M1650" s="59"/>
    </row>
    <row r="1651" spans="1:14" ht="30">
      <c r="A1651" s="56">
        <v>391</v>
      </c>
      <c r="B1651" s="56">
        <v>391</v>
      </c>
      <c r="C1651" s="56">
        <v>391</v>
      </c>
      <c r="D1651" s="56" t="s">
        <v>1864</v>
      </c>
      <c r="F1651" s="56" t="s">
        <v>24</v>
      </c>
      <c r="G1651" s="56">
        <v>1</v>
      </c>
      <c r="H1651" s="56">
        <v>7</v>
      </c>
      <c r="I1651" s="56">
        <v>750</v>
      </c>
      <c r="J1651" s="59" t="s">
        <v>1181</v>
      </c>
      <c r="K1651" s="59">
        <v>1</v>
      </c>
      <c r="L1651" s="59">
        <f t="shared" si="25"/>
        <v>5250</v>
      </c>
      <c r="M1651" s="59"/>
    </row>
    <row r="1652" spans="1:14" ht="30">
      <c r="A1652" s="56">
        <v>428</v>
      </c>
      <c r="B1652" s="56">
        <v>428</v>
      </c>
      <c r="C1652" s="56">
        <v>428</v>
      </c>
      <c r="D1652" s="56" t="s">
        <v>1897</v>
      </c>
      <c r="F1652" s="56" t="s">
        <v>24</v>
      </c>
      <c r="G1652" s="56">
        <v>1</v>
      </c>
      <c r="H1652" s="56">
        <v>7</v>
      </c>
      <c r="I1652" s="56">
        <v>850</v>
      </c>
      <c r="J1652" s="59" t="s">
        <v>1181</v>
      </c>
      <c r="K1652" s="59">
        <v>1</v>
      </c>
      <c r="L1652" s="59">
        <f t="shared" si="25"/>
        <v>5950</v>
      </c>
      <c r="M1652" s="59"/>
    </row>
    <row r="1653" spans="1:14" ht="30">
      <c r="A1653" s="56">
        <v>429</v>
      </c>
      <c r="B1653" s="56">
        <v>429</v>
      </c>
      <c r="C1653" s="56">
        <v>429</v>
      </c>
      <c r="D1653" s="56" t="s">
        <v>1898</v>
      </c>
      <c r="F1653" s="56" t="s">
        <v>24</v>
      </c>
      <c r="G1653" s="56">
        <v>1</v>
      </c>
      <c r="H1653" s="56">
        <v>7</v>
      </c>
      <c r="I1653" s="56">
        <v>750</v>
      </c>
      <c r="J1653" s="59" t="s">
        <v>1181</v>
      </c>
      <c r="K1653" s="59">
        <v>1</v>
      </c>
      <c r="L1653" s="59">
        <f t="shared" si="25"/>
        <v>5250</v>
      </c>
      <c r="M1653" s="59"/>
    </row>
    <row r="1654" spans="1:14" ht="30">
      <c r="A1654" s="56">
        <v>480</v>
      </c>
      <c r="B1654" s="56">
        <v>480</v>
      </c>
      <c r="C1654" s="56">
        <v>480</v>
      </c>
      <c r="D1654" s="56" t="s">
        <v>59</v>
      </c>
      <c r="F1654" s="56" t="s">
        <v>24</v>
      </c>
      <c r="G1654" s="56">
        <v>1</v>
      </c>
      <c r="H1654" s="56">
        <v>7</v>
      </c>
      <c r="I1654" s="56">
        <v>310</v>
      </c>
      <c r="J1654" s="59" t="s">
        <v>1181</v>
      </c>
      <c r="K1654" s="59">
        <v>1</v>
      </c>
      <c r="L1654" s="59">
        <f t="shared" si="25"/>
        <v>2170</v>
      </c>
      <c r="M1654" s="59"/>
    </row>
    <row r="1655" spans="1:14" ht="30">
      <c r="A1655" s="56">
        <v>506</v>
      </c>
      <c r="B1655" s="56">
        <v>506</v>
      </c>
      <c r="C1655" s="56">
        <v>506</v>
      </c>
      <c r="D1655" s="56" t="s">
        <v>1969</v>
      </c>
      <c r="F1655" s="56" t="s">
        <v>24</v>
      </c>
      <c r="G1655" s="56">
        <v>1</v>
      </c>
      <c r="H1655" s="56">
        <v>7</v>
      </c>
      <c r="I1655" s="56">
        <v>30</v>
      </c>
      <c r="J1655" s="59" t="s">
        <v>1181</v>
      </c>
      <c r="K1655" s="59">
        <v>1</v>
      </c>
      <c r="L1655" s="59">
        <f t="shared" si="25"/>
        <v>210</v>
      </c>
      <c r="M1655" s="59"/>
    </row>
    <row r="1656" spans="1:14" ht="30">
      <c r="A1656" s="56">
        <v>541</v>
      </c>
      <c r="B1656" s="56">
        <v>541</v>
      </c>
      <c r="C1656" s="56">
        <v>541</v>
      </c>
      <c r="D1656" s="56" t="s">
        <v>2003</v>
      </c>
      <c r="F1656" s="56" t="s">
        <v>24</v>
      </c>
      <c r="G1656" s="56">
        <v>1</v>
      </c>
      <c r="H1656" s="56">
        <v>7</v>
      </c>
      <c r="I1656" s="56">
        <v>750</v>
      </c>
      <c r="J1656" s="59" t="s">
        <v>1181</v>
      </c>
      <c r="K1656" s="59">
        <v>1</v>
      </c>
      <c r="L1656" s="59">
        <f t="shared" si="25"/>
        <v>5250</v>
      </c>
      <c r="M1656" s="59"/>
    </row>
    <row r="1657" spans="1:14" ht="30">
      <c r="A1657" s="56">
        <v>542</v>
      </c>
      <c r="B1657" s="56">
        <v>542</v>
      </c>
      <c r="C1657" s="56">
        <v>542</v>
      </c>
      <c r="D1657" s="56" t="s">
        <v>2004</v>
      </c>
      <c r="F1657" s="56" t="s">
        <v>24</v>
      </c>
      <c r="G1657" s="56">
        <v>1</v>
      </c>
      <c r="H1657" s="56">
        <v>7</v>
      </c>
      <c r="I1657" s="56">
        <v>1300</v>
      </c>
      <c r="J1657" s="59" t="s">
        <v>1181</v>
      </c>
      <c r="K1657" s="59">
        <v>1</v>
      </c>
      <c r="L1657" s="59">
        <f t="shared" si="25"/>
        <v>9100</v>
      </c>
      <c r="M1657" s="59"/>
    </row>
    <row r="1658" spans="1:14" ht="30">
      <c r="A1658" s="56">
        <v>572</v>
      </c>
      <c r="B1658" s="56">
        <v>572</v>
      </c>
      <c r="C1658" s="56">
        <v>572</v>
      </c>
      <c r="D1658" s="56" t="s">
        <v>2031</v>
      </c>
      <c r="F1658" s="56" t="s">
        <v>24</v>
      </c>
      <c r="G1658" s="56">
        <v>1</v>
      </c>
      <c r="H1658" s="56">
        <v>7</v>
      </c>
      <c r="I1658" s="56">
        <v>275</v>
      </c>
      <c r="J1658" s="59" t="s">
        <v>1181</v>
      </c>
      <c r="K1658" s="59">
        <v>1</v>
      </c>
      <c r="L1658" s="59">
        <f t="shared" si="25"/>
        <v>1925</v>
      </c>
      <c r="M1658" s="59"/>
    </row>
    <row r="1659" spans="1:14" ht="30">
      <c r="A1659" s="56">
        <v>575</v>
      </c>
      <c r="B1659" s="56">
        <v>575</v>
      </c>
      <c r="C1659" s="56">
        <v>575</v>
      </c>
      <c r="D1659" s="56" t="s">
        <v>66</v>
      </c>
      <c r="F1659" s="56" t="s">
        <v>24</v>
      </c>
      <c r="G1659" s="56">
        <v>1</v>
      </c>
      <c r="H1659" s="56">
        <v>7</v>
      </c>
      <c r="I1659" s="56">
        <v>200</v>
      </c>
      <c r="J1659" s="59" t="s">
        <v>1181</v>
      </c>
      <c r="K1659" s="59">
        <v>1</v>
      </c>
      <c r="L1659" s="59">
        <f t="shared" si="25"/>
        <v>1400</v>
      </c>
      <c r="M1659" s="59"/>
    </row>
    <row r="1660" spans="1:14" ht="30">
      <c r="A1660" s="56">
        <v>601</v>
      </c>
      <c r="B1660" s="56">
        <v>601</v>
      </c>
      <c r="C1660" s="56">
        <v>601</v>
      </c>
      <c r="D1660" s="56" t="s">
        <v>2051</v>
      </c>
      <c r="F1660" s="58" t="s">
        <v>24</v>
      </c>
      <c r="G1660" s="58">
        <v>1</v>
      </c>
      <c r="H1660" s="58">
        <v>7</v>
      </c>
      <c r="I1660" s="56">
        <v>25</v>
      </c>
      <c r="J1660" s="59" t="s">
        <v>1181</v>
      </c>
      <c r="K1660" s="59">
        <v>1</v>
      </c>
      <c r="L1660" s="59">
        <f t="shared" si="25"/>
        <v>175</v>
      </c>
      <c r="M1660" s="59"/>
      <c r="N1660" s="58"/>
    </row>
    <row r="1661" spans="1:14" ht="30">
      <c r="A1661" s="56">
        <v>612</v>
      </c>
      <c r="B1661" s="56">
        <v>612</v>
      </c>
      <c r="C1661" s="56">
        <v>612</v>
      </c>
      <c r="D1661" s="56" t="s">
        <v>1279</v>
      </c>
      <c r="F1661" s="58" t="s">
        <v>24</v>
      </c>
      <c r="G1661" s="58">
        <v>1</v>
      </c>
      <c r="H1661" s="58">
        <v>7</v>
      </c>
      <c r="I1661" s="56">
        <v>25</v>
      </c>
      <c r="J1661" s="59" t="s">
        <v>1181</v>
      </c>
      <c r="K1661" s="59">
        <v>1</v>
      </c>
      <c r="L1661" s="59">
        <f t="shared" si="25"/>
        <v>175</v>
      </c>
      <c r="M1661" s="59"/>
      <c r="N1661" s="58"/>
    </row>
    <row r="1662" spans="1:14" ht="30">
      <c r="A1662" s="56">
        <v>626</v>
      </c>
      <c r="B1662" s="56">
        <v>626</v>
      </c>
      <c r="C1662" s="56">
        <v>626</v>
      </c>
      <c r="D1662" s="56" t="s">
        <v>1282</v>
      </c>
      <c r="F1662" s="58" t="s">
        <v>24</v>
      </c>
      <c r="G1662" s="58">
        <v>1</v>
      </c>
      <c r="H1662" s="58">
        <v>7</v>
      </c>
      <c r="I1662" s="56">
        <v>120</v>
      </c>
      <c r="J1662" s="59" t="s">
        <v>1181</v>
      </c>
      <c r="K1662" s="59">
        <v>1</v>
      </c>
      <c r="L1662" s="59">
        <f t="shared" si="25"/>
        <v>840</v>
      </c>
      <c r="M1662" s="59"/>
      <c r="N1662" s="58"/>
    </row>
    <row r="1663" spans="1:14" ht="30">
      <c r="A1663" s="56">
        <v>642</v>
      </c>
      <c r="B1663" s="56">
        <v>642</v>
      </c>
      <c r="C1663" s="56">
        <v>642</v>
      </c>
      <c r="D1663" s="56" t="s">
        <v>2086</v>
      </c>
      <c r="F1663" s="56" t="s">
        <v>24</v>
      </c>
      <c r="G1663" s="56">
        <v>1</v>
      </c>
      <c r="H1663" s="56">
        <v>7</v>
      </c>
      <c r="I1663" s="56">
        <v>130</v>
      </c>
      <c r="J1663" s="59" t="s">
        <v>1181</v>
      </c>
      <c r="K1663" s="59">
        <v>1</v>
      </c>
      <c r="L1663" s="59">
        <f t="shared" si="25"/>
        <v>910</v>
      </c>
      <c r="M1663" s="59"/>
    </row>
    <row r="1664" spans="1:14" ht="30">
      <c r="A1664" s="56">
        <v>671</v>
      </c>
      <c r="B1664" s="56">
        <v>671</v>
      </c>
      <c r="C1664" s="56">
        <v>671</v>
      </c>
      <c r="D1664" s="56" t="s">
        <v>2115</v>
      </c>
      <c r="F1664" s="56" t="s">
        <v>24</v>
      </c>
      <c r="G1664" s="56">
        <v>1</v>
      </c>
      <c r="H1664" s="56">
        <v>7</v>
      </c>
      <c r="I1664" s="56">
        <v>4200</v>
      </c>
      <c r="J1664" s="59" t="s">
        <v>1181</v>
      </c>
      <c r="K1664" s="59">
        <v>1</v>
      </c>
      <c r="L1664" s="59">
        <f t="shared" si="25"/>
        <v>29400</v>
      </c>
      <c r="M1664" s="59"/>
    </row>
    <row r="1665" spans="1:14" ht="30">
      <c r="A1665" s="56">
        <v>674</v>
      </c>
      <c r="B1665" s="56">
        <v>674</v>
      </c>
      <c r="C1665" s="56">
        <v>674</v>
      </c>
      <c r="D1665" s="56" t="s">
        <v>2118</v>
      </c>
      <c r="F1665" s="56" t="s">
        <v>24</v>
      </c>
      <c r="G1665" s="56">
        <v>1</v>
      </c>
      <c r="H1665" s="56">
        <v>7</v>
      </c>
      <c r="I1665" s="56">
        <v>2650</v>
      </c>
      <c r="J1665" s="59" t="s">
        <v>1181</v>
      </c>
      <c r="K1665" s="59">
        <v>1</v>
      </c>
      <c r="L1665" s="59">
        <f t="shared" si="25"/>
        <v>18550</v>
      </c>
      <c r="M1665" s="59"/>
    </row>
    <row r="1666" spans="1:14" ht="30">
      <c r="A1666" s="56">
        <v>745</v>
      </c>
      <c r="B1666" s="56">
        <v>745</v>
      </c>
      <c r="C1666" s="56">
        <v>745</v>
      </c>
      <c r="D1666" s="56" t="s">
        <v>2188</v>
      </c>
      <c r="F1666" s="56" t="s">
        <v>24</v>
      </c>
      <c r="G1666" s="56">
        <v>1</v>
      </c>
      <c r="H1666" s="56">
        <v>7</v>
      </c>
      <c r="I1666" s="56">
        <v>2350</v>
      </c>
      <c r="J1666" s="59" t="s">
        <v>1181</v>
      </c>
      <c r="K1666" s="59">
        <v>1</v>
      </c>
      <c r="L1666" s="59">
        <f t="shared" ref="L1666:L1729" si="26">H1666*I1666</f>
        <v>16450</v>
      </c>
      <c r="M1666" s="59"/>
    </row>
    <row r="1667" spans="1:14" ht="30">
      <c r="A1667" s="56">
        <v>749</v>
      </c>
      <c r="B1667" s="56">
        <v>749</v>
      </c>
      <c r="C1667" s="56">
        <v>749</v>
      </c>
      <c r="D1667" s="56" t="s">
        <v>2192</v>
      </c>
      <c r="F1667" s="56" t="s">
        <v>24</v>
      </c>
      <c r="G1667" s="56">
        <v>1</v>
      </c>
      <c r="H1667" s="56">
        <v>7</v>
      </c>
      <c r="I1667" s="56">
        <v>3500</v>
      </c>
      <c r="J1667" s="59" t="s">
        <v>1181</v>
      </c>
      <c r="K1667" s="59">
        <v>1</v>
      </c>
      <c r="L1667" s="59">
        <f t="shared" si="26"/>
        <v>24500</v>
      </c>
      <c r="M1667" s="59"/>
    </row>
    <row r="1668" spans="1:14" ht="30">
      <c r="A1668" s="56">
        <v>753</v>
      </c>
      <c r="B1668" s="56">
        <v>753</v>
      </c>
      <c r="C1668" s="56">
        <v>753</v>
      </c>
      <c r="D1668" s="56" t="s">
        <v>2195</v>
      </c>
      <c r="F1668" s="56" t="s">
        <v>24</v>
      </c>
      <c r="G1668" s="56">
        <v>1</v>
      </c>
      <c r="H1668" s="56">
        <v>7</v>
      </c>
      <c r="I1668" s="56">
        <v>3500</v>
      </c>
      <c r="J1668" s="59" t="s">
        <v>1181</v>
      </c>
      <c r="K1668" s="59">
        <v>1</v>
      </c>
      <c r="L1668" s="59">
        <f t="shared" si="26"/>
        <v>24500</v>
      </c>
      <c r="M1668" s="59"/>
    </row>
    <row r="1669" spans="1:14" ht="30">
      <c r="A1669" s="56">
        <v>815</v>
      </c>
      <c r="B1669" s="56">
        <v>815</v>
      </c>
      <c r="C1669" s="56">
        <v>815</v>
      </c>
      <c r="D1669" s="56" t="s">
        <v>1497</v>
      </c>
      <c r="F1669" s="58" t="s">
        <v>24</v>
      </c>
      <c r="G1669" s="58">
        <v>1</v>
      </c>
      <c r="H1669" s="58">
        <v>7</v>
      </c>
      <c r="I1669" s="56">
        <v>72</v>
      </c>
      <c r="J1669" s="59" t="s">
        <v>1181</v>
      </c>
      <c r="K1669" s="59">
        <v>1</v>
      </c>
      <c r="L1669" s="59">
        <f t="shared" si="26"/>
        <v>504</v>
      </c>
      <c r="M1669" s="59"/>
      <c r="N1669" s="58"/>
    </row>
    <row r="1670" spans="1:14" ht="30">
      <c r="A1670" s="56">
        <v>830</v>
      </c>
      <c r="B1670" s="56">
        <v>830</v>
      </c>
      <c r="C1670" s="56">
        <v>830</v>
      </c>
      <c r="D1670" s="56" t="s">
        <v>2221</v>
      </c>
      <c r="F1670" s="56" t="s">
        <v>24</v>
      </c>
      <c r="G1670" s="56">
        <v>1</v>
      </c>
      <c r="H1670" s="56">
        <v>7</v>
      </c>
      <c r="I1670" s="56">
        <v>72.5</v>
      </c>
      <c r="J1670" s="59" t="s">
        <v>1181</v>
      </c>
      <c r="K1670" s="59">
        <v>1</v>
      </c>
      <c r="L1670" s="59">
        <f t="shared" si="26"/>
        <v>507.5</v>
      </c>
      <c r="M1670" s="59"/>
    </row>
    <row r="1671" spans="1:14" ht="30">
      <c r="A1671" s="56">
        <v>833</v>
      </c>
      <c r="B1671" s="56">
        <v>833</v>
      </c>
      <c r="C1671" s="56">
        <v>833</v>
      </c>
      <c r="D1671" s="56" t="s">
        <v>1499</v>
      </c>
      <c r="F1671" s="58" t="s">
        <v>24</v>
      </c>
      <c r="G1671" s="58">
        <v>1</v>
      </c>
      <c r="H1671" s="58">
        <v>7</v>
      </c>
      <c r="I1671" s="56">
        <v>78.900000000000006</v>
      </c>
      <c r="J1671" s="59" t="s">
        <v>1181</v>
      </c>
      <c r="K1671" s="59">
        <v>1</v>
      </c>
      <c r="L1671" s="59">
        <f t="shared" si="26"/>
        <v>552.30000000000007</v>
      </c>
      <c r="M1671" s="59"/>
      <c r="N1671" s="58"/>
    </row>
    <row r="1672" spans="1:14" ht="30">
      <c r="A1672" s="56">
        <v>835</v>
      </c>
      <c r="B1672" s="56">
        <v>835</v>
      </c>
      <c r="C1672" s="56">
        <v>835</v>
      </c>
      <c r="D1672" s="56" t="s">
        <v>1318</v>
      </c>
      <c r="F1672" s="58" t="s">
        <v>24</v>
      </c>
      <c r="G1672" s="58">
        <v>1</v>
      </c>
      <c r="H1672" s="58">
        <v>7</v>
      </c>
      <c r="I1672" s="56">
        <v>67</v>
      </c>
      <c r="J1672" s="59" t="s">
        <v>1181</v>
      </c>
      <c r="K1672" s="59">
        <v>1</v>
      </c>
      <c r="L1672" s="59">
        <f t="shared" si="26"/>
        <v>469</v>
      </c>
      <c r="M1672" s="59"/>
      <c r="N1672" s="58"/>
    </row>
    <row r="1673" spans="1:14" ht="30">
      <c r="A1673" s="56">
        <v>882</v>
      </c>
      <c r="B1673" s="56">
        <v>882</v>
      </c>
      <c r="C1673" s="56">
        <v>882</v>
      </c>
      <c r="D1673" s="56" t="s">
        <v>2225</v>
      </c>
      <c r="F1673" s="56" t="s">
        <v>24</v>
      </c>
      <c r="G1673" s="56">
        <v>1</v>
      </c>
      <c r="H1673" s="56">
        <v>7</v>
      </c>
      <c r="I1673" s="56">
        <v>118</v>
      </c>
      <c r="J1673" s="59" t="s">
        <v>1181</v>
      </c>
      <c r="K1673" s="59">
        <v>1</v>
      </c>
      <c r="L1673" s="59">
        <f t="shared" si="26"/>
        <v>826</v>
      </c>
      <c r="M1673" s="59"/>
    </row>
    <row r="1674" spans="1:14" ht="30">
      <c r="A1674" s="56">
        <v>885</v>
      </c>
      <c r="B1674" s="56">
        <v>885</v>
      </c>
      <c r="C1674" s="56">
        <v>885</v>
      </c>
      <c r="D1674" s="56" t="s">
        <v>2228</v>
      </c>
      <c r="F1674" s="56" t="s">
        <v>24</v>
      </c>
      <c r="G1674" s="56">
        <v>1</v>
      </c>
      <c r="H1674" s="56">
        <v>7</v>
      </c>
      <c r="I1674" s="56">
        <v>100</v>
      </c>
      <c r="J1674" s="59" t="s">
        <v>1181</v>
      </c>
      <c r="K1674" s="59">
        <v>1</v>
      </c>
      <c r="L1674" s="59">
        <f t="shared" si="26"/>
        <v>700</v>
      </c>
      <c r="M1674" s="59"/>
    </row>
    <row r="1675" spans="1:14" ht="30">
      <c r="A1675" s="56">
        <v>893</v>
      </c>
      <c r="B1675" s="56">
        <v>893</v>
      </c>
      <c r="C1675" s="56">
        <v>893</v>
      </c>
      <c r="D1675" s="56" t="s">
        <v>2236</v>
      </c>
      <c r="F1675" s="56" t="s">
        <v>24</v>
      </c>
      <c r="G1675" s="56">
        <v>1</v>
      </c>
      <c r="H1675" s="56">
        <v>7</v>
      </c>
      <c r="I1675" s="56">
        <v>100</v>
      </c>
      <c r="J1675" s="59" t="s">
        <v>1181</v>
      </c>
      <c r="K1675" s="59">
        <v>1</v>
      </c>
      <c r="L1675" s="59">
        <f t="shared" si="26"/>
        <v>700</v>
      </c>
      <c r="M1675" s="59"/>
    </row>
    <row r="1676" spans="1:14" ht="30">
      <c r="A1676" s="56">
        <v>922</v>
      </c>
      <c r="B1676" s="56">
        <v>922</v>
      </c>
      <c r="C1676" s="56">
        <v>922</v>
      </c>
      <c r="D1676" s="56" t="s">
        <v>1368</v>
      </c>
      <c r="F1676" s="58" t="s">
        <v>24</v>
      </c>
      <c r="G1676" s="58">
        <v>1</v>
      </c>
      <c r="H1676" s="58">
        <v>7</v>
      </c>
      <c r="I1676" s="56">
        <v>110</v>
      </c>
      <c r="J1676" s="59" t="s">
        <v>1181</v>
      </c>
      <c r="K1676" s="59">
        <v>1</v>
      </c>
      <c r="L1676" s="59">
        <f t="shared" si="26"/>
        <v>770</v>
      </c>
      <c r="M1676" s="59"/>
      <c r="N1676" s="58"/>
    </row>
    <row r="1677" spans="1:14" ht="30">
      <c r="A1677" s="56">
        <v>964</v>
      </c>
      <c r="B1677" s="56">
        <v>964</v>
      </c>
      <c r="C1677" s="56">
        <v>964</v>
      </c>
      <c r="D1677" s="56" t="s">
        <v>1385</v>
      </c>
      <c r="F1677" s="58" t="s">
        <v>24</v>
      </c>
      <c r="G1677" s="58">
        <v>1</v>
      </c>
      <c r="H1677" s="58">
        <v>7</v>
      </c>
      <c r="I1677" s="56">
        <v>450</v>
      </c>
      <c r="J1677" s="59" t="s">
        <v>1181</v>
      </c>
      <c r="K1677" s="59">
        <v>1</v>
      </c>
      <c r="L1677" s="59">
        <f t="shared" si="26"/>
        <v>3150</v>
      </c>
      <c r="M1677" s="59"/>
      <c r="N1677" s="58" t="s">
        <v>2272</v>
      </c>
    </row>
    <row r="1678" spans="1:14" ht="30">
      <c r="A1678" s="56">
        <v>967</v>
      </c>
      <c r="B1678" s="56">
        <v>967</v>
      </c>
      <c r="C1678" s="56">
        <v>967</v>
      </c>
      <c r="D1678" s="56" t="s">
        <v>1388</v>
      </c>
      <c r="F1678" s="58" t="s">
        <v>24</v>
      </c>
      <c r="G1678" s="58">
        <v>1</v>
      </c>
      <c r="H1678" s="58">
        <v>7</v>
      </c>
      <c r="I1678" s="56">
        <v>450</v>
      </c>
      <c r="J1678" s="59" t="s">
        <v>1181</v>
      </c>
      <c r="K1678" s="59">
        <v>1</v>
      </c>
      <c r="L1678" s="59">
        <f t="shared" si="26"/>
        <v>3150</v>
      </c>
      <c r="M1678" s="59"/>
      <c r="N1678" s="58"/>
    </row>
    <row r="1679" spans="1:14" ht="30">
      <c r="A1679" s="56">
        <v>976</v>
      </c>
      <c r="B1679" s="56">
        <v>976</v>
      </c>
      <c r="C1679" s="56">
        <v>976</v>
      </c>
      <c r="D1679" s="56" t="s">
        <v>2277</v>
      </c>
      <c r="F1679" s="56" t="s">
        <v>24</v>
      </c>
      <c r="G1679" s="56">
        <v>1</v>
      </c>
      <c r="H1679" s="56">
        <v>7</v>
      </c>
      <c r="I1679" s="56">
        <v>200</v>
      </c>
      <c r="J1679" s="59" t="s">
        <v>1181</v>
      </c>
      <c r="K1679" s="59">
        <v>1</v>
      </c>
      <c r="L1679" s="59">
        <f t="shared" si="26"/>
        <v>1400</v>
      </c>
      <c r="M1679" s="59"/>
    </row>
    <row r="1680" spans="1:14" ht="30">
      <c r="A1680" s="56">
        <v>979</v>
      </c>
      <c r="B1680" s="56">
        <v>979</v>
      </c>
      <c r="C1680" s="56">
        <v>979</v>
      </c>
      <c r="D1680" s="56" t="s">
        <v>2279</v>
      </c>
      <c r="F1680" s="56" t="s">
        <v>24</v>
      </c>
      <c r="G1680" s="56">
        <v>1</v>
      </c>
      <c r="H1680" s="56">
        <v>7</v>
      </c>
      <c r="I1680" s="56">
        <v>280</v>
      </c>
      <c r="J1680" s="59" t="s">
        <v>1181</v>
      </c>
      <c r="K1680" s="59">
        <v>1</v>
      </c>
      <c r="L1680" s="59">
        <f t="shared" si="26"/>
        <v>1960</v>
      </c>
      <c r="M1680" s="59"/>
    </row>
    <row r="1681" spans="1:14" ht="30">
      <c r="A1681" s="56">
        <v>995</v>
      </c>
      <c r="B1681" s="56">
        <v>995</v>
      </c>
      <c r="C1681" s="56">
        <v>995</v>
      </c>
      <c r="D1681" s="56" t="s">
        <v>1399</v>
      </c>
      <c r="F1681" s="58" t="s">
        <v>1222</v>
      </c>
      <c r="G1681" s="58">
        <v>1</v>
      </c>
      <c r="H1681" s="58">
        <v>7</v>
      </c>
      <c r="I1681" s="56">
        <v>550</v>
      </c>
      <c r="J1681" s="59" t="s">
        <v>1181</v>
      </c>
      <c r="K1681" s="59">
        <v>1</v>
      </c>
      <c r="L1681" s="59">
        <f t="shared" si="26"/>
        <v>3850</v>
      </c>
      <c r="M1681" s="59"/>
      <c r="N1681" s="58"/>
    </row>
    <row r="1682" spans="1:14" ht="30">
      <c r="A1682" s="56">
        <v>1011</v>
      </c>
      <c r="B1682" s="56">
        <v>1011</v>
      </c>
      <c r="C1682" s="56">
        <v>1011</v>
      </c>
      <c r="D1682" s="56" t="s">
        <v>2303</v>
      </c>
      <c r="F1682" s="56" t="s">
        <v>24</v>
      </c>
      <c r="G1682" s="56">
        <v>1</v>
      </c>
      <c r="H1682" s="56">
        <v>7</v>
      </c>
      <c r="I1682" s="56">
        <v>600</v>
      </c>
      <c r="J1682" s="59" t="s">
        <v>1181</v>
      </c>
      <c r="K1682" s="59">
        <v>1</v>
      </c>
      <c r="L1682" s="59">
        <f t="shared" si="26"/>
        <v>4200</v>
      </c>
      <c r="M1682" s="59"/>
    </row>
    <row r="1683" spans="1:14" ht="30">
      <c r="A1683" s="56">
        <v>1014</v>
      </c>
      <c r="B1683" s="56">
        <v>1014</v>
      </c>
      <c r="C1683" s="56">
        <v>1014</v>
      </c>
      <c r="D1683" s="56" t="s">
        <v>2306</v>
      </c>
      <c r="F1683" s="56" t="s">
        <v>24</v>
      </c>
      <c r="G1683" s="56">
        <v>1</v>
      </c>
      <c r="H1683" s="56">
        <v>7</v>
      </c>
      <c r="I1683" s="56">
        <v>350</v>
      </c>
      <c r="J1683" s="59" t="s">
        <v>1181</v>
      </c>
      <c r="K1683" s="59">
        <v>1</v>
      </c>
      <c r="L1683" s="59">
        <f t="shared" si="26"/>
        <v>2450</v>
      </c>
      <c r="M1683" s="59"/>
    </row>
    <row r="1684" spans="1:14" ht="30">
      <c r="A1684" s="56">
        <v>1016</v>
      </c>
      <c r="B1684" s="56">
        <v>1016</v>
      </c>
      <c r="C1684" s="56">
        <v>1016</v>
      </c>
      <c r="D1684" s="56" t="s">
        <v>2308</v>
      </c>
      <c r="F1684" s="56" t="s">
        <v>24</v>
      </c>
      <c r="G1684" s="56">
        <v>1</v>
      </c>
      <c r="H1684" s="56">
        <v>7</v>
      </c>
      <c r="I1684" s="56">
        <v>600</v>
      </c>
      <c r="J1684" s="59" t="s">
        <v>1181</v>
      </c>
      <c r="K1684" s="59">
        <v>1</v>
      </c>
      <c r="L1684" s="59">
        <f t="shared" si="26"/>
        <v>4200</v>
      </c>
      <c r="M1684" s="59"/>
    </row>
    <row r="1685" spans="1:14" ht="30">
      <c r="A1685" s="56">
        <v>1059</v>
      </c>
      <c r="B1685" s="56">
        <v>1059</v>
      </c>
      <c r="C1685" s="56">
        <v>1059</v>
      </c>
      <c r="D1685" s="56" t="s">
        <v>1405</v>
      </c>
      <c r="F1685" s="58" t="s">
        <v>24</v>
      </c>
      <c r="G1685" s="58">
        <v>1</v>
      </c>
      <c r="H1685" s="58">
        <v>7</v>
      </c>
      <c r="I1685" s="56">
        <v>20</v>
      </c>
      <c r="J1685" s="59" t="s">
        <v>1181</v>
      </c>
      <c r="K1685" s="59">
        <v>1</v>
      </c>
      <c r="L1685" s="59">
        <f t="shared" si="26"/>
        <v>140</v>
      </c>
      <c r="M1685" s="59"/>
      <c r="N1685" s="58"/>
    </row>
    <row r="1686" spans="1:14" ht="30">
      <c r="A1686" s="56">
        <v>1065</v>
      </c>
      <c r="B1686" s="56">
        <v>1065</v>
      </c>
      <c r="C1686" s="56">
        <v>1065</v>
      </c>
      <c r="D1686" s="56" t="s">
        <v>1509</v>
      </c>
      <c r="F1686" s="58" t="s">
        <v>24</v>
      </c>
      <c r="G1686" s="58">
        <v>1</v>
      </c>
      <c r="H1686" s="58">
        <v>7</v>
      </c>
      <c r="I1686" s="56">
        <v>30</v>
      </c>
      <c r="J1686" s="59" t="s">
        <v>1181</v>
      </c>
      <c r="K1686" s="59">
        <v>1</v>
      </c>
      <c r="L1686" s="59">
        <f t="shared" si="26"/>
        <v>210</v>
      </c>
      <c r="M1686" s="59"/>
      <c r="N1686" s="58"/>
    </row>
    <row r="1687" spans="1:14" ht="30">
      <c r="A1687" s="56">
        <v>1068</v>
      </c>
      <c r="B1687" s="56">
        <v>1068</v>
      </c>
      <c r="C1687" s="56">
        <v>1068</v>
      </c>
      <c r="D1687" s="56" t="s">
        <v>2345</v>
      </c>
      <c r="F1687" s="56" t="s">
        <v>24</v>
      </c>
      <c r="G1687" s="56">
        <v>1</v>
      </c>
      <c r="H1687" s="56">
        <v>7</v>
      </c>
      <c r="I1687" s="56">
        <v>100</v>
      </c>
      <c r="J1687" s="59" t="s">
        <v>1181</v>
      </c>
      <c r="K1687" s="59">
        <v>1</v>
      </c>
      <c r="L1687" s="59">
        <f t="shared" si="26"/>
        <v>700</v>
      </c>
      <c r="M1687" s="59"/>
    </row>
    <row r="1688" spans="1:14" ht="30">
      <c r="A1688" s="56">
        <v>1120</v>
      </c>
      <c r="B1688" s="56">
        <v>1120</v>
      </c>
      <c r="C1688" s="56">
        <v>1120</v>
      </c>
      <c r="D1688" s="56" t="s">
        <v>2387</v>
      </c>
      <c r="F1688" s="56" t="s">
        <v>24</v>
      </c>
      <c r="G1688" s="56">
        <v>1</v>
      </c>
      <c r="H1688" s="56">
        <v>7</v>
      </c>
      <c r="I1688" s="56">
        <v>850</v>
      </c>
      <c r="J1688" s="59" t="s">
        <v>1181</v>
      </c>
      <c r="K1688" s="59">
        <v>1</v>
      </c>
      <c r="L1688" s="59">
        <f t="shared" si="26"/>
        <v>5950</v>
      </c>
      <c r="M1688" s="59"/>
    </row>
    <row r="1689" spans="1:14" ht="30">
      <c r="A1689" s="56">
        <v>1155</v>
      </c>
      <c r="B1689" s="56">
        <v>1155</v>
      </c>
      <c r="C1689" s="56">
        <v>1155</v>
      </c>
      <c r="D1689" s="56" t="s">
        <v>2417</v>
      </c>
      <c r="F1689" s="56" t="s">
        <v>24</v>
      </c>
      <c r="G1689" s="56">
        <v>1</v>
      </c>
      <c r="H1689" s="56">
        <v>7</v>
      </c>
      <c r="I1689" s="56">
        <v>450</v>
      </c>
      <c r="J1689" s="59" t="s">
        <v>1181</v>
      </c>
      <c r="K1689" s="59">
        <v>1</v>
      </c>
      <c r="L1689" s="59">
        <f t="shared" si="26"/>
        <v>3150</v>
      </c>
      <c r="M1689" s="59"/>
    </row>
    <row r="1690" spans="1:14" ht="30">
      <c r="A1690" s="56">
        <v>1162</v>
      </c>
      <c r="B1690" s="56">
        <v>1162</v>
      </c>
      <c r="C1690" s="56">
        <v>1162</v>
      </c>
      <c r="D1690" s="56" t="s">
        <v>2423</v>
      </c>
      <c r="F1690" s="56" t="s">
        <v>24</v>
      </c>
      <c r="G1690" s="56">
        <v>1</v>
      </c>
      <c r="H1690" s="56">
        <v>7</v>
      </c>
      <c r="I1690" s="56">
        <v>500</v>
      </c>
      <c r="J1690" s="59" t="s">
        <v>1181</v>
      </c>
      <c r="K1690" s="59">
        <v>1</v>
      </c>
      <c r="L1690" s="59">
        <f t="shared" si="26"/>
        <v>3500</v>
      </c>
      <c r="M1690" s="59"/>
    </row>
    <row r="1691" spans="1:14" ht="30">
      <c r="A1691" s="56">
        <v>1193</v>
      </c>
      <c r="B1691" s="56">
        <v>1193</v>
      </c>
      <c r="C1691" s="56">
        <v>1193</v>
      </c>
      <c r="D1691" s="56" t="s">
        <v>2443</v>
      </c>
      <c r="F1691" s="56" t="s">
        <v>24</v>
      </c>
      <c r="G1691" s="56">
        <v>1</v>
      </c>
      <c r="H1691" s="56">
        <v>7</v>
      </c>
      <c r="I1691" s="56">
        <v>1200</v>
      </c>
      <c r="J1691" s="59" t="s">
        <v>1181</v>
      </c>
      <c r="K1691" s="59">
        <v>1</v>
      </c>
      <c r="L1691" s="59">
        <f t="shared" si="26"/>
        <v>8400</v>
      </c>
      <c r="M1691" s="59"/>
    </row>
    <row r="1692" spans="1:14" ht="30">
      <c r="A1692" s="56">
        <v>1194</v>
      </c>
      <c r="B1692" s="56">
        <v>1194</v>
      </c>
      <c r="C1692" s="56">
        <v>1194</v>
      </c>
      <c r="D1692" s="56" t="s">
        <v>2444</v>
      </c>
      <c r="F1692" s="56" t="s">
        <v>24</v>
      </c>
      <c r="G1692" s="56">
        <v>1</v>
      </c>
      <c r="H1692" s="56">
        <v>7</v>
      </c>
      <c r="I1692" s="56">
        <v>900</v>
      </c>
      <c r="J1692" s="59" t="s">
        <v>1181</v>
      </c>
      <c r="K1692" s="59">
        <v>1</v>
      </c>
      <c r="L1692" s="59">
        <f t="shared" si="26"/>
        <v>6300</v>
      </c>
      <c r="M1692" s="59"/>
    </row>
    <row r="1693" spans="1:14" ht="30">
      <c r="A1693" s="56">
        <v>1261</v>
      </c>
      <c r="B1693" s="56">
        <v>1261</v>
      </c>
      <c r="C1693" s="56">
        <v>1261</v>
      </c>
      <c r="D1693" s="56" t="s">
        <v>2486</v>
      </c>
      <c r="F1693" s="56" t="s">
        <v>24</v>
      </c>
      <c r="G1693" s="56">
        <v>1</v>
      </c>
      <c r="H1693" s="56">
        <v>7</v>
      </c>
      <c r="I1693" s="56">
        <v>800</v>
      </c>
      <c r="J1693" s="59" t="s">
        <v>1181</v>
      </c>
      <c r="K1693" s="59">
        <v>1</v>
      </c>
      <c r="L1693" s="59">
        <f t="shared" si="26"/>
        <v>5600</v>
      </c>
      <c r="M1693" s="59"/>
    </row>
    <row r="1694" spans="1:14" ht="30">
      <c r="A1694" s="56">
        <v>1287</v>
      </c>
      <c r="B1694" s="56">
        <v>1287</v>
      </c>
      <c r="C1694" s="56">
        <v>1287</v>
      </c>
      <c r="D1694" s="56" t="s">
        <v>2512</v>
      </c>
      <c r="F1694" s="56" t="s">
        <v>24</v>
      </c>
      <c r="G1694" s="56">
        <v>1</v>
      </c>
      <c r="H1694" s="56">
        <v>7</v>
      </c>
      <c r="I1694" s="56">
        <v>450</v>
      </c>
      <c r="J1694" s="59" t="s">
        <v>1181</v>
      </c>
      <c r="K1694" s="59">
        <v>1</v>
      </c>
      <c r="L1694" s="59">
        <f t="shared" si="26"/>
        <v>3150</v>
      </c>
      <c r="M1694" s="59"/>
    </row>
    <row r="1695" spans="1:14" ht="30">
      <c r="A1695" s="56">
        <v>1296</v>
      </c>
      <c r="B1695" s="56">
        <v>1296</v>
      </c>
      <c r="C1695" s="56">
        <v>1296</v>
      </c>
      <c r="D1695" s="56" t="s">
        <v>2521</v>
      </c>
      <c r="F1695" s="56" t="s">
        <v>24</v>
      </c>
      <c r="G1695" s="56">
        <v>1</v>
      </c>
      <c r="H1695" s="56">
        <v>7</v>
      </c>
      <c r="I1695" s="56">
        <v>450</v>
      </c>
      <c r="J1695" s="59" t="s">
        <v>1181</v>
      </c>
      <c r="K1695" s="59">
        <v>1</v>
      </c>
      <c r="L1695" s="59">
        <f t="shared" si="26"/>
        <v>3150</v>
      </c>
      <c r="M1695" s="59"/>
    </row>
    <row r="1696" spans="1:14" ht="30">
      <c r="A1696" s="56">
        <v>1322</v>
      </c>
      <c r="B1696" s="56">
        <v>1322</v>
      </c>
      <c r="C1696" s="56">
        <v>1322</v>
      </c>
      <c r="D1696" s="56" t="s">
        <v>2545</v>
      </c>
      <c r="F1696" s="56" t="s">
        <v>24</v>
      </c>
      <c r="G1696" s="56">
        <v>1</v>
      </c>
      <c r="H1696" s="56">
        <v>7</v>
      </c>
      <c r="I1696" s="56">
        <v>150</v>
      </c>
      <c r="J1696" s="59" t="s">
        <v>1181</v>
      </c>
      <c r="K1696" s="59">
        <v>1</v>
      </c>
      <c r="L1696" s="59">
        <f t="shared" si="26"/>
        <v>1050</v>
      </c>
      <c r="M1696" s="59"/>
    </row>
    <row r="1697" spans="1:14" ht="30">
      <c r="A1697" s="56">
        <v>1340</v>
      </c>
      <c r="B1697" s="56">
        <v>1340</v>
      </c>
      <c r="C1697" s="56">
        <v>1340</v>
      </c>
      <c r="D1697" s="56" t="s">
        <v>2563</v>
      </c>
      <c r="F1697" s="56" t="s">
        <v>24</v>
      </c>
      <c r="G1697" s="56">
        <v>1</v>
      </c>
      <c r="H1697" s="56">
        <v>7</v>
      </c>
      <c r="I1697" s="56">
        <v>150</v>
      </c>
      <c r="J1697" s="59" t="s">
        <v>1181</v>
      </c>
      <c r="K1697" s="59">
        <v>1</v>
      </c>
      <c r="L1697" s="59">
        <f t="shared" si="26"/>
        <v>1050</v>
      </c>
      <c r="M1697" s="59"/>
    </row>
    <row r="1698" spans="1:14" ht="30">
      <c r="A1698" s="56">
        <v>1350</v>
      </c>
      <c r="B1698" s="56">
        <v>1350</v>
      </c>
      <c r="C1698" s="56">
        <v>1350</v>
      </c>
      <c r="D1698" s="56" t="s">
        <v>2572</v>
      </c>
      <c r="F1698" s="56" t="s">
        <v>24</v>
      </c>
      <c r="G1698" s="56">
        <v>1</v>
      </c>
      <c r="H1698" s="56">
        <v>7</v>
      </c>
      <c r="I1698" s="56">
        <v>150</v>
      </c>
      <c r="J1698" s="59" t="s">
        <v>1181</v>
      </c>
      <c r="K1698" s="59">
        <v>1</v>
      </c>
      <c r="L1698" s="59">
        <f t="shared" si="26"/>
        <v>1050</v>
      </c>
      <c r="M1698" s="59"/>
    </row>
    <row r="1699" spans="1:14" ht="30">
      <c r="A1699" s="56">
        <v>1357</v>
      </c>
      <c r="B1699" s="56">
        <v>1357</v>
      </c>
      <c r="C1699" s="56">
        <v>1357</v>
      </c>
      <c r="D1699" s="56" t="s">
        <v>2579</v>
      </c>
      <c r="F1699" s="56" t="s">
        <v>24</v>
      </c>
      <c r="G1699" s="56">
        <v>1</v>
      </c>
      <c r="H1699" s="56">
        <v>7</v>
      </c>
      <c r="I1699" s="56">
        <v>150</v>
      </c>
      <c r="J1699" s="59" t="s">
        <v>1181</v>
      </c>
      <c r="K1699" s="59">
        <v>1</v>
      </c>
      <c r="L1699" s="59">
        <f t="shared" si="26"/>
        <v>1050</v>
      </c>
      <c r="M1699" s="59"/>
    </row>
    <row r="1700" spans="1:14" ht="30">
      <c r="A1700" s="56">
        <v>1397</v>
      </c>
      <c r="B1700" s="56">
        <v>1397</v>
      </c>
      <c r="C1700" s="56">
        <v>1397</v>
      </c>
      <c r="D1700" s="56" t="s">
        <v>2609</v>
      </c>
      <c r="F1700" s="56" t="s">
        <v>24</v>
      </c>
      <c r="G1700" s="56">
        <v>1</v>
      </c>
      <c r="H1700" s="56">
        <v>7</v>
      </c>
      <c r="I1700" s="56">
        <v>900</v>
      </c>
      <c r="J1700" s="59" t="s">
        <v>1181</v>
      </c>
      <c r="K1700" s="59">
        <v>1</v>
      </c>
      <c r="L1700" s="59">
        <f t="shared" si="26"/>
        <v>6300</v>
      </c>
      <c r="M1700" s="59"/>
    </row>
    <row r="1701" spans="1:14" ht="30">
      <c r="A1701" s="56">
        <v>1486</v>
      </c>
      <c r="B1701" s="56">
        <v>1486</v>
      </c>
      <c r="C1701" s="56">
        <v>1486</v>
      </c>
      <c r="D1701" s="56" t="s">
        <v>2678</v>
      </c>
      <c r="F1701" s="56" t="s">
        <v>24</v>
      </c>
      <c r="G1701" s="56">
        <v>1</v>
      </c>
      <c r="H1701" s="56">
        <v>7</v>
      </c>
      <c r="I1701" s="56">
        <v>300</v>
      </c>
      <c r="J1701" s="59" t="s">
        <v>1181</v>
      </c>
      <c r="K1701" s="59">
        <v>1</v>
      </c>
      <c r="L1701" s="59">
        <f t="shared" si="26"/>
        <v>2100</v>
      </c>
      <c r="M1701" s="59"/>
    </row>
    <row r="1702" spans="1:14" ht="30">
      <c r="A1702" s="56">
        <v>1516</v>
      </c>
      <c r="B1702" s="56">
        <v>1516</v>
      </c>
      <c r="C1702" s="56">
        <v>1516</v>
      </c>
      <c r="D1702" s="56" t="s">
        <v>2706</v>
      </c>
      <c r="F1702" s="56" t="s">
        <v>24</v>
      </c>
      <c r="G1702" s="56">
        <v>1</v>
      </c>
      <c r="H1702" s="56">
        <v>7</v>
      </c>
      <c r="I1702" s="56">
        <v>600</v>
      </c>
      <c r="J1702" s="59" t="s">
        <v>1181</v>
      </c>
      <c r="K1702" s="59">
        <v>1</v>
      </c>
      <c r="L1702" s="59">
        <f t="shared" si="26"/>
        <v>4200</v>
      </c>
      <c r="M1702" s="59"/>
    </row>
    <row r="1703" spans="1:14" ht="30">
      <c r="A1703" s="56">
        <v>1517</v>
      </c>
      <c r="B1703" s="56">
        <v>1517</v>
      </c>
      <c r="C1703" s="56">
        <v>1517</v>
      </c>
      <c r="D1703" s="56" t="s">
        <v>2707</v>
      </c>
      <c r="F1703" s="56" t="s">
        <v>24</v>
      </c>
      <c r="G1703" s="56">
        <v>1</v>
      </c>
      <c r="H1703" s="56">
        <v>7</v>
      </c>
      <c r="I1703" s="56">
        <v>500</v>
      </c>
      <c r="J1703" s="59" t="s">
        <v>1181</v>
      </c>
      <c r="K1703" s="59">
        <v>1</v>
      </c>
      <c r="L1703" s="59">
        <f t="shared" si="26"/>
        <v>3500</v>
      </c>
      <c r="M1703" s="59"/>
    </row>
    <row r="1704" spans="1:14" ht="30">
      <c r="A1704" s="56">
        <v>1570</v>
      </c>
      <c r="B1704" s="56">
        <v>1570</v>
      </c>
      <c r="C1704" s="56">
        <v>1570</v>
      </c>
      <c r="D1704" s="56" t="s">
        <v>2760</v>
      </c>
      <c r="F1704" s="56" t="s">
        <v>24</v>
      </c>
      <c r="G1704" s="56">
        <v>1</v>
      </c>
      <c r="H1704" s="56">
        <v>7</v>
      </c>
      <c r="I1704" s="56">
        <v>300</v>
      </c>
      <c r="J1704" s="59" t="s">
        <v>1181</v>
      </c>
      <c r="K1704" s="59">
        <v>1</v>
      </c>
      <c r="L1704" s="59">
        <f t="shared" si="26"/>
        <v>2100</v>
      </c>
      <c r="M1704" s="59"/>
    </row>
    <row r="1705" spans="1:14" ht="30">
      <c r="A1705" s="56">
        <v>1579</v>
      </c>
      <c r="B1705" s="56">
        <v>1579</v>
      </c>
      <c r="C1705" s="56">
        <v>1579</v>
      </c>
      <c r="D1705" s="56" t="s">
        <v>1253</v>
      </c>
      <c r="F1705" s="58" t="s">
        <v>24</v>
      </c>
      <c r="G1705" s="58">
        <v>1</v>
      </c>
      <c r="H1705" s="58">
        <v>7</v>
      </c>
      <c r="I1705" s="56">
        <v>120</v>
      </c>
      <c r="J1705" s="59" t="s">
        <v>1181</v>
      </c>
      <c r="K1705" s="59">
        <v>1</v>
      </c>
      <c r="L1705" s="59">
        <f t="shared" si="26"/>
        <v>840</v>
      </c>
      <c r="M1705" s="59"/>
      <c r="N1705" s="58"/>
    </row>
    <row r="1706" spans="1:14" ht="30">
      <c r="A1706" s="56">
        <v>1596</v>
      </c>
      <c r="B1706" s="56">
        <v>1596</v>
      </c>
      <c r="C1706" s="56">
        <v>1596</v>
      </c>
      <c r="D1706" s="56" t="s">
        <v>2781</v>
      </c>
      <c r="F1706" s="56" t="s">
        <v>24</v>
      </c>
      <c r="G1706" s="56">
        <v>1</v>
      </c>
      <c r="H1706" s="56">
        <v>7</v>
      </c>
      <c r="I1706" s="56">
        <v>1100</v>
      </c>
      <c r="J1706" s="59" t="s">
        <v>1181</v>
      </c>
      <c r="K1706" s="59">
        <v>1</v>
      </c>
      <c r="L1706" s="59">
        <f t="shared" si="26"/>
        <v>7700</v>
      </c>
      <c r="M1706" s="59"/>
    </row>
    <row r="1707" spans="1:14" ht="30">
      <c r="A1707" s="56">
        <v>1609</v>
      </c>
      <c r="B1707" s="56">
        <v>1609</v>
      </c>
      <c r="C1707" s="56">
        <v>1609</v>
      </c>
      <c r="D1707" s="56" t="s">
        <v>2792</v>
      </c>
      <c r="F1707" s="56" t="s">
        <v>24</v>
      </c>
      <c r="G1707" s="56">
        <v>1</v>
      </c>
      <c r="H1707" s="56">
        <v>7</v>
      </c>
      <c r="I1707" s="56">
        <v>800</v>
      </c>
      <c r="J1707" s="59" t="s">
        <v>1181</v>
      </c>
      <c r="K1707" s="59">
        <v>1</v>
      </c>
      <c r="L1707" s="59">
        <f t="shared" si="26"/>
        <v>5600</v>
      </c>
      <c r="M1707" s="59"/>
    </row>
    <row r="1708" spans="1:14" ht="30">
      <c r="A1708" s="56">
        <v>1621</v>
      </c>
      <c r="B1708" s="56">
        <v>1621</v>
      </c>
      <c r="C1708" s="56">
        <v>1621</v>
      </c>
      <c r="D1708" s="56" t="s">
        <v>2801</v>
      </c>
      <c r="F1708" s="56" t="s">
        <v>24</v>
      </c>
      <c r="G1708" s="56">
        <v>1</v>
      </c>
      <c r="H1708" s="56">
        <v>7</v>
      </c>
      <c r="I1708" s="56">
        <v>190</v>
      </c>
      <c r="J1708" s="59" t="s">
        <v>1181</v>
      </c>
      <c r="K1708" s="59">
        <v>1</v>
      </c>
      <c r="L1708" s="59">
        <f t="shared" si="26"/>
        <v>1330</v>
      </c>
      <c r="M1708" s="59"/>
    </row>
    <row r="1709" spans="1:14" ht="30">
      <c r="A1709" s="56">
        <v>1622</v>
      </c>
      <c r="B1709" s="56">
        <v>1622</v>
      </c>
      <c r="C1709" s="56">
        <v>1622</v>
      </c>
      <c r="D1709" s="56" t="s">
        <v>2802</v>
      </c>
      <c r="F1709" s="56" t="s">
        <v>24</v>
      </c>
      <c r="G1709" s="56">
        <v>1</v>
      </c>
      <c r="H1709" s="56">
        <v>7</v>
      </c>
      <c r="I1709" s="56">
        <v>230</v>
      </c>
      <c r="J1709" s="59" t="s">
        <v>1181</v>
      </c>
      <c r="K1709" s="59">
        <v>1</v>
      </c>
      <c r="L1709" s="59">
        <f t="shared" si="26"/>
        <v>1610</v>
      </c>
      <c r="M1709" s="59"/>
    </row>
    <row r="1710" spans="1:14" ht="30">
      <c r="A1710" s="56">
        <v>1624</v>
      </c>
      <c r="B1710" s="56">
        <v>1624</v>
      </c>
      <c r="C1710" s="56">
        <v>1624</v>
      </c>
      <c r="D1710" s="56" t="s">
        <v>2804</v>
      </c>
      <c r="F1710" s="56" t="s">
        <v>24</v>
      </c>
      <c r="G1710" s="56">
        <v>1</v>
      </c>
      <c r="H1710" s="56">
        <v>7</v>
      </c>
      <c r="I1710" s="56">
        <v>300</v>
      </c>
      <c r="J1710" s="59" t="s">
        <v>1181</v>
      </c>
      <c r="K1710" s="59">
        <v>1</v>
      </c>
      <c r="L1710" s="59">
        <f t="shared" si="26"/>
        <v>2100</v>
      </c>
      <c r="M1710" s="59"/>
    </row>
    <row r="1711" spans="1:14" ht="30">
      <c r="A1711" s="56">
        <v>1649</v>
      </c>
      <c r="B1711" s="56">
        <v>1649</v>
      </c>
      <c r="C1711" s="56">
        <v>1649</v>
      </c>
      <c r="D1711" s="56" t="s">
        <v>1455</v>
      </c>
      <c r="F1711" s="58" t="s">
        <v>24</v>
      </c>
      <c r="G1711" s="58">
        <v>1</v>
      </c>
      <c r="H1711" s="58">
        <v>7</v>
      </c>
      <c r="I1711" s="56">
        <v>300</v>
      </c>
      <c r="J1711" s="59" t="s">
        <v>1181</v>
      </c>
      <c r="K1711" s="59">
        <v>1</v>
      </c>
      <c r="L1711" s="59">
        <f t="shared" si="26"/>
        <v>2100</v>
      </c>
      <c r="M1711" s="59"/>
    </row>
    <row r="1712" spans="1:14" ht="30">
      <c r="A1712" s="56">
        <v>1654</v>
      </c>
      <c r="B1712" s="56">
        <v>1654</v>
      </c>
      <c r="C1712" s="56">
        <v>1654</v>
      </c>
      <c r="D1712" s="56" t="s">
        <v>1456</v>
      </c>
      <c r="F1712" s="58" t="s">
        <v>24</v>
      </c>
      <c r="G1712" s="58">
        <v>1</v>
      </c>
      <c r="H1712" s="58">
        <v>7</v>
      </c>
      <c r="I1712" s="56">
        <v>100</v>
      </c>
      <c r="J1712" s="59" t="s">
        <v>1181</v>
      </c>
      <c r="K1712" s="59">
        <v>1</v>
      </c>
      <c r="L1712" s="59">
        <f t="shared" si="26"/>
        <v>700</v>
      </c>
      <c r="M1712" s="59"/>
    </row>
    <row r="1713" spans="1:13" ht="30">
      <c r="A1713" s="56">
        <v>1660</v>
      </c>
      <c r="B1713" s="56">
        <v>1660</v>
      </c>
      <c r="C1713" s="56">
        <v>1660</v>
      </c>
      <c r="D1713" s="56" t="s">
        <v>2827</v>
      </c>
      <c r="F1713" s="56" t="s">
        <v>24</v>
      </c>
      <c r="G1713" s="56">
        <v>1</v>
      </c>
      <c r="H1713" s="56">
        <v>7</v>
      </c>
      <c r="I1713" s="56">
        <v>450</v>
      </c>
      <c r="J1713" s="59" t="s">
        <v>1181</v>
      </c>
      <c r="K1713" s="59">
        <v>1</v>
      </c>
      <c r="L1713" s="59">
        <f t="shared" si="26"/>
        <v>3150</v>
      </c>
      <c r="M1713" s="59"/>
    </row>
    <row r="1714" spans="1:13" ht="30">
      <c r="A1714" s="56">
        <v>1698</v>
      </c>
      <c r="B1714" s="56">
        <v>1698</v>
      </c>
      <c r="C1714" s="56">
        <v>1698</v>
      </c>
      <c r="D1714" s="56" t="s">
        <v>2852</v>
      </c>
      <c r="F1714" s="56" t="s">
        <v>24</v>
      </c>
      <c r="G1714" s="56">
        <v>1</v>
      </c>
      <c r="H1714" s="56">
        <v>7</v>
      </c>
      <c r="I1714" s="56">
        <v>230</v>
      </c>
      <c r="J1714" s="59" t="s">
        <v>1181</v>
      </c>
      <c r="K1714" s="59">
        <v>1</v>
      </c>
      <c r="L1714" s="59">
        <f t="shared" si="26"/>
        <v>1610</v>
      </c>
      <c r="M1714" s="59"/>
    </row>
    <row r="1715" spans="1:13" ht="30">
      <c r="A1715" s="56">
        <v>1736</v>
      </c>
      <c r="B1715" s="56">
        <v>1736</v>
      </c>
      <c r="C1715" s="56">
        <v>1736</v>
      </c>
      <c r="D1715" s="56" t="s">
        <v>2886</v>
      </c>
      <c r="F1715" s="56" t="s">
        <v>24</v>
      </c>
      <c r="G1715" s="56">
        <v>1</v>
      </c>
      <c r="H1715" s="56">
        <v>7</v>
      </c>
      <c r="I1715" s="56">
        <v>230</v>
      </c>
      <c r="J1715" s="59" t="s">
        <v>1181</v>
      </c>
      <c r="K1715" s="59">
        <v>1</v>
      </c>
      <c r="L1715" s="59">
        <f t="shared" si="26"/>
        <v>1610</v>
      </c>
      <c r="M1715" s="59"/>
    </row>
    <row r="1716" spans="1:13" ht="30">
      <c r="A1716" s="56">
        <v>1762</v>
      </c>
      <c r="B1716" s="56">
        <v>1762</v>
      </c>
      <c r="C1716" s="56">
        <v>1762</v>
      </c>
      <c r="D1716" s="56" t="s">
        <v>2906</v>
      </c>
      <c r="F1716" s="56" t="s">
        <v>24</v>
      </c>
      <c r="G1716" s="56">
        <v>1</v>
      </c>
      <c r="H1716" s="56">
        <v>7</v>
      </c>
      <c r="I1716" s="56">
        <v>400</v>
      </c>
      <c r="J1716" s="59" t="s">
        <v>1181</v>
      </c>
      <c r="K1716" s="59">
        <v>1</v>
      </c>
      <c r="L1716" s="59">
        <f t="shared" si="26"/>
        <v>2800</v>
      </c>
      <c r="M1716" s="59"/>
    </row>
    <row r="1717" spans="1:13" ht="30">
      <c r="A1717" s="56">
        <v>1804</v>
      </c>
      <c r="B1717" s="56">
        <v>1804</v>
      </c>
      <c r="C1717" s="56">
        <v>1804</v>
      </c>
      <c r="D1717" s="56" t="s">
        <v>1476</v>
      </c>
      <c r="F1717" s="58" t="s">
        <v>24</v>
      </c>
      <c r="G1717" s="58">
        <v>1</v>
      </c>
      <c r="H1717" s="58">
        <v>7</v>
      </c>
      <c r="I1717" s="56">
        <v>65.099999999999994</v>
      </c>
      <c r="J1717" s="59" t="s">
        <v>1181</v>
      </c>
      <c r="K1717" s="59">
        <v>1</v>
      </c>
      <c r="L1717" s="59">
        <f t="shared" si="26"/>
        <v>455.69999999999993</v>
      </c>
      <c r="M1717" s="59"/>
    </row>
    <row r="1718" spans="1:13" ht="30">
      <c r="A1718" s="56">
        <v>1895</v>
      </c>
      <c r="B1718" s="56">
        <v>1895</v>
      </c>
      <c r="C1718" s="56">
        <v>1895</v>
      </c>
      <c r="D1718" s="56" t="s">
        <v>3024</v>
      </c>
      <c r="F1718" s="56" t="s">
        <v>24</v>
      </c>
      <c r="G1718" s="56">
        <v>1</v>
      </c>
      <c r="H1718" s="56">
        <v>7</v>
      </c>
      <c r="I1718" s="56">
        <v>1250</v>
      </c>
      <c r="J1718" s="59" t="s">
        <v>1181</v>
      </c>
      <c r="K1718" s="59">
        <v>1</v>
      </c>
      <c r="L1718" s="59">
        <f t="shared" si="26"/>
        <v>8750</v>
      </c>
      <c r="M1718" s="59"/>
    </row>
    <row r="1719" spans="1:13" ht="30">
      <c r="A1719" s="56">
        <v>1946</v>
      </c>
      <c r="B1719" s="56">
        <v>1946</v>
      </c>
      <c r="C1719" s="56">
        <v>1946</v>
      </c>
      <c r="D1719" s="56" t="s">
        <v>3073</v>
      </c>
      <c r="F1719" s="56" t="s">
        <v>24</v>
      </c>
      <c r="G1719" s="56">
        <v>1</v>
      </c>
      <c r="H1719" s="56">
        <v>7</v>
      </c>
      <c r="I1719" s="56">
        <v>2000</v>
      </c>
      <c r="J1719" s="59" t="s">
        <v>1181</v>
      </c>
      <c r="K1719" s="59">
        <v>1</v>
      </c>
      <c r="L1719" s="59">
        <f t="shared" si="26"/>
        <v>14000</v>
      </c>
      <c r="M1719" s="59"/>
    </row>
    <row r="1720" spans="1:13" ht="30">
      <c r="A1720" s="56">
        <v>604</v>
      </c>
      <c r="B1720" s="56">
        <v>604</v>
      </c>
      <c r="C1720" s="56">
        <v>604</v>
      </c>
      <c r="D1720" s="56" t="s">
        <v>1278</v>
      </c>
      <c r="F1720" s="58" t="s">
        <v>1183</v>
      </c>
      <c r="G1720" s="58">
        <v>12</v>
      </c>
      <c r="H1720" s="56">
        <v>8</v>
      </c>
      <c r="I1720" s="56">
        <v>1920</v>
      </c>
      <c r="J1720" s="59" t="s">
        <v>1181</v>
      </c>
      <c r="K1720" s="59">
        <v>1</v>
      </c>
      <c r="L1720" s="59">
        <f t="shared" si="26"/>
        <v>15360</v>
      </c>
      <c r="M1720" s="59"/>
    </row>
    <row r="1721" spans="1:13" ht="30">
      <c r="A1721" s="56">
        <v>797</v>
      </c>
      <c r="B1721" s="56">
        <v>797</v>
      </c>
      <c r="C1721" s="56">
        <v>797</v>
      </c>
      <c r="D1721" s="56" t="s">
        <v>1290</v>
      </c>
      <c r="F1721" s="58" t="s">
        <v>1185</v>
      </c>
      <c r="G1721" s="58">
        <v>12</v>
      </c>
      <c r="H1721" s="56">
        <v>8</v>
      </c>
      <c r="I1721" s="56">
        <v>600</v>
      </c>
      <c r="J1721" s="59" t="s">
        <v>1181</v>
      </c>
      <c r="K1721" s="59">
        <v>1</v>
      </c>
      <c r="L1721" s="59">
        <f t="shared" si="26"/>
        <v>4800</v>
      </c>
      <c r="M1721" s="59"/>
    </row>
    <row r="1722" spans="1:13" ht="30">
      <c r="A1722" s="56">
        <v>807</v>
      </c>
      <c r="B1722" s="56">
        <v>807</v>
      </c>
      <c r="C1722" s="56">
        <v>807</v>
      </c>
      <c r="D1722" s="56" t="s">
        <v>1296</v>
      </c>
      <c r="F1722" s="58" t="s">
        <v>1185</v>
      </c>
      <c r="G1722" s="58">
        <v>12</v>
      </c>
      <c r="H1722" s="56">
        <v>8</v>
      </c>
      <c r="I1722" s="56">
        <v>1422</v>
      </c>
      <c r="J1722" s="59" t="s">
        <v>1181</v>
      </c>
      <c r="K1722" s="59">
        <v>1</v>
      </c>
      <c r="L1722" s="59">
        <f t="shared" si="26"/>
        <v>11376</v>
      </c>
      <c r="M1722" s="59"/>
    </row>
    <row r="1723" spans="1:13" ht="30">
      <c r="A1723" s="56">
        <v>919</v>
      </c>
      <c r="B1723" s="56">
        <v>919</v>
      </c>
      <c r="C1723" s="56">
        <v>919</v>
      </c>
      <c r="D1723" s="56" t="s">
        <v>1365</v>
      </c>
      <c r="F1723" s="58" t="s">
        <v>1185</v>
      </c>
      <c r="G1723" s="58">
        <v>12</v>
      </c>
      <c r="H1723" s="56">
        <v>8</v>
      </c>
      <c r="I1723" s="56">
        <v>1504</v>
      </c>
      <c r="J1723" s="59" t="s">
        <v>1181</v>
      </c>
      <c r="K1723" s="59">
        <v>1</v>
      </c>
      <c r="L1723" s="59">
        <f t="shared" si="26"/>
        <v>12032</v>
      </c>
      <c r="M1723" s="59"/>
    </row>
    <row r="1724" spans="1:13" ht="30">
      <c r="A1724" s="56">
        <v>1048</v>
      </c>
      <c r="B1724" s="56">
        <v>1048</v>
      </c>
      <c r="C1724" s="56">
        <v>1048</v>
      </c>
      <c r="D1724" s="56" t="s">
        <v>1401</v>
      </c>
      <c r="F1724" s="58" t="s">
        <v>1180</v>
      </c>
      <c r="G1724" s="58">
        <v>12</v>
      </c>
      <c r="H1724" s="56">
        <v>8</v>
      </c>
      <c r="I1724" s="56">
        <v>2400</v>
      </c>
      <c r="J1724" s="59" t="s">
        <v>1181</v>
      </c>
      <c r="K1724" s="59">
        <v>1</v>
      </c>
      <c r="L1724" s="59">
        <f t="shared" si="26"/>
        <v>19200</v>
      </c>
      <c r="M1724" s="59"/>
    </row>
    <row r="1725" spans="1:13" ht="30">
      <c r="A1725" s="56">
        <v>1371</v>
      </c>
      <c r="B1725" s="56">
        <v>1371</v>
      </c>
      <c r="C1725" s="56">
        <v>1371</v>
      </c>
      <c r="D1725" s="56" t="s">
        <v>1434</v>
      </c>
      <c r="F1725" s="58" t="s">
        <v>1180</v>
      </c>
      <c r="G1725" s="58">
        <v>12</v>
      </c>
      <c r="H1725" s="56">
        <v>8</v>
      </c>
      <c r="I1725" s="56">
        <v>150</v>
      </c>
      <c r="J1725" s="59" t="s">
        <v>1181</v>
      </c>
      <c r="K1725" s="59">
        <v>1</v>
      </c>
      <c r="L1725" s="59">
        <f t="shared" si="26"/>
        <v>1200</v>
      </c>
      <c r="M1725" s="59"/>
    </row>
    <row r="1726" spans="1:13" ht="30">
      <c r="A1726" s="56">
        <v>1842</v>
      </c>
      <c r="B1726" s="56">
        <v>1842</v>
      </c>
      <c r="C1726" s="56">
        <v>1842</v>
      </c>
      <c r="D1726" s="56" t="s">
        <v>1485</v>
      </c>
      <c r="F1726" s="58" t="s">
        <v>1183</v>
      </c>
      <c r="G1726" s="58">
        <v>12</v>
      </c>
      <c r="H1726" s="56">
        <v>8</v>
      </c>
      <c r="I1726" s="56">
        <v>936</v>
      </c>
      <c r="J1726" s="59" t="s">
        <v>1181</v>
      </c>
      <c r="K1726" s="59">
        <v>1</v>
      </c>
      <c r="L1726" s="59">
        <f t="shared" si="26"/>
        <v>7488</v>
      </c>
      <c r="M1726" s="59"/>
    </row>
    <row r="1727" spans="1:13" ht="30">
      <c r="A1727" s="59">
        <v>1</v>
      </c>
      <c r="B1727" s="59">
        <v>1</v>
      </c>
      <c r="C1727" s="59">
        <v>1</v>
      </c>
      <c r="D1727" s="59" t="s">
        <v>1524</v>
      </c>
      <c r="E1727" s="59"/>
      <c r="F1727" s="58" t="s">
        <v>24</v>
      </c>
      <c r="G1727" s="56">
        <v>1</v>
      </c>
      <c r="H1727" s="56">
        <v>8</v>
      </c>
      <c r="I1727" s="59">
        <v>600</v>
      </c>
      <c r="J1727" s="59" t="s">
        <v>1181</v>
      </c>
      <c r="K1727" s="59">
        <v>1</v>
      </c>
      <c r="L1727" s="59">
        <f t="shared" si="26"/>
        <v>4800</v>
      </c>
      <c r="M1727" s="59"/>
    </row>
    <row r="1728" spans="1:13" ht="30">
      <c r="A1728" s="56">
        <v>9</v>
      </c>
      <c r="B1728" s="56">
        <v>9</v>
      </c>
      <c r="C1728" s="56">
        <v>9</v>
      </c>
      <c r="D1728" s="56" t="s">
        <v>1532</v>
      </c>
      <c r="F1728" s="56" t="s">
        <v>24</v>
      </c>
      <c r="G1728" s="56">
        <v>1</v>
      </c>
      <c r="H1728" s="56">
        <v>8</v>
      </c>
      <c r="I1728" s="56">
        <v>900</v>
      </c>
      <c r="J1728" s="59" t="s">
        <v>1181</v>
      </c>
      <c r="K1728" s="59">
        <v>1</v>
      </c>
      <c r="L1728" s="59">
        <f t="shared" si="26"/>
        <v>7200</v>
      </c>
      <c r="M1728" s="59"/>
    </row>
    <row r="1729" spans="1:14" ht="30">
      <c r="A1729" s="56">
        <v>46</v>
      </c>
      <c r="B1729" s="56">
        <v>46</v>
      </c>
      <c r="C1729" s="56">
        <v>46</v>
      </c>
      <c r="D1729" s="56" t="s">
        <v>1569</v>
      </c>
      <c r="F1729" s="56" t="s">
        <v>24</v>
      </c>
      <c r="G1729" s="56">
        <v>1</v>
      </c>
      <c r="H1729" s="56">
        <v>8</v>
      </c>
      <c r="I1729" s="56">
        <v>1500</v>
      </c>
      <c r="J1729" s="59" t="s">
        <v>1181</v>
      </c>
      <c r="K1729" s="59">
        <v>1</v>
      </c>
      <c r="L1729" s="59">
        <f t="shared" si="26"/>
        <v>12000</v>
      </c>
      <c r="M1729" s="59"/>
    </row>
    <row r="1730" spans="1:14" ht="30">
      <c r="A1730" s="56">
        <v>77</v>
      </c>
      <c r="B1730" s="56">
        <v>77</v>
      </c>
      <c r="C1730" s="56">
        <v>77</v>
      </c>
      <c r="D1730" s="56" t="s">
        <v>1598</v>
      </c>
      <c r="F1730" s="56" t="s">
        <v>24</v>
      </c>
      <c r="G1730" s="56">
        <v>1</v>
      </c>
      <c r="H1730" s="56">
        <v>8</v>
      </c>
      <c r="I1730" s="56">
        <v>1000</v>
      </c>
      <c r="J1730" s="59" t="s">
        <v>1181</v>
      </c>
      <c r="K1730" s="59">
        <v>1</v>
      </c>
      <c r="L1730" s="59">
        <f t="shared" ref="L1730:L1793" si="27">H1730*I1730</f>
        <v>8000</v>
      </c>
      <c r="M1730" s="59"/>
    </row>
    <row r="1731" spans="1:14" ht="30">
      <c r="A1731" s="56">
        <v>305</v>
      </c>
      <c r="B1731" s="56">
        <v>305</v>
      </c>
      <c r="C1731" s="56">
        <v>305</v>
      </c>
      <c r="D1731" s="56" t="s">
        <v>1781</v>
      </c>
      <c r="F1731" s="56" t="s">
        <v>24</v>
      </c>
      <c r="G1731" s="56">
        <v>1</v>
      </c>
      <c r="H1731" s="56">
        <v>8</v>
      </c>
      <c r="I1731" s="56">
        <v>130</v>
      </c>
      <c r="J1731" s="59" t="s">
        <v>1181</v>
      </c>
      <c r="K1731" s="59">
        <v>1</v>
      </c>
      <c r="L1731" s="59">
        <f t="shared" si="27"/>
        <v>1040</v>
      </c>
      <c r="M1731" s="59"/>
    </row>
    <row r="1732" spans="1:14" ht="30">
      <c r="A1732" s="56">
        <v>314</v>
      </c>
      <c r="B1732" s="56">
        <v>314</v>
      </c>
      <c r="C1732" s="56">
        <v>314</v>
      </c>
      <c r="D1732" s="56" t="s">
        <v>1788</v>
      </c>
      <c r="F1732" s="56" t="s">
        <v>24</v>
      </c>
      <c r="G1732" s="56">
        <v>1</v>
      </c>
      <c r="H1732" s="56">
        <v>8</v>
      </c>
      <c r="I1732" s="56">
        <v>200</v>
      </c>
      <c r="J1732" s="59" t="s">
        <v>1181</v>
      </c>
      <c r="K1732" s="59">
        <v>1</v>
      </c>
      <c r="L1732" s="59">
        <f t="shared" si="27"/>
        <v>1600</v>
      </c>
      <c r="M1732" s="59"/>
    </row>
    <row r="1733" spans="1:14" ht="30">
      <c r="A1733" s="56">
        <v>318</v>
      </c>
      <c r="B1733" s="56">
        <v>318</v>
      </c>
      <c r="C1733" s="56">
        <v>318</v>
      </c>
      <c r="D1733" s="56" t="s">
        <v>1792</v>
      </c>
      <c r="F1733" s="56" t="s">
        <v>24</v>
      </c>
      <c r="G1733" s="56">
        <v>1</v>
      </c>
      <c r="H1733" s="56">
        <v>8</v>
      </c>
      <c r="I1733" s="56">
        <v>390</v>
      </c>
      <c r="J1733" s="59" t="s">
        <v>1181</v>
      </c>
      <c r="K1733" s="59">
        <v>1</v>
      </c>
      <c r="L1733" s="59">
        <f t="shared" si="27"/>
        <v>3120</v>
      </c>
      <c r="M1733" s="59"/>
    </row>
    <row r="1734" spans="1:14" ht="30">
      <c r="A1734" s="56">
        <v>410</v>
      </c>
      <c r="B1734" s="56">
        <v>410</v>
      </c>
      <c r="C1734" s="56">
        <v>410</v>
      </c>
      <c r="D1734" s="56" t="s">
        <v>1883</v>
      </c>
      <c r="F1734" s="56" t="s">
        <v>24</v>
      </c>
      <c r="G1734" s="56">
        <v>1</v>
      </c>
      <c r="H1734" s="56">
        <v>8</v>
      </c>
      <c r="I1734" s="56">
        <v>300</v>
      </c>
      <c r="J1734" s="59" t="s">
        <v>1181</v>
      </c>
      <c r="K1734" s="59">
        <v>1</v>
      </c>
      <c r="L1734" s="59">
        <f t="shared" si="27"/>
        <v>2400</v>
      </c>
      <c r="M1734" s="59"/>
    </row>
    <row r="1735" spans="1:14" ht="30">
      <c r="A1735" s="56">
        <v>411</v>
      </c>
      <c r="B1735" s="56">
        <v>411</v>
      </c>
      <c r="C1735" s="56">
        <v>411</v>
      </c>
      <c r="D1735" s="56" t="s">
        <v>1245</v>
      </c>
      <c r="F1735" s="58" t="s">
        <v>24</v>
      </c>
      <c r="G1735" s="58">
        <v>1</v>
      </c>
      <c r="H1735" s="58">
        <v>8</v>
      </c>
      <c r="I1735" s="56">
        <v>250</v>
      </c>
      <c r="J1735" s="59" t="s">
        <v>1181</v>
      </c>
      <c r="K1735" s="59">
        <v>1</v>
      </c>
      <c r="L1735" s="59">
        <f t="shared" si="27"/>
        <v>2000</v>
      </c>
      <c r="M1735" s="59"/>
      <c r="N1735" s="58"/>
    </row>
    <row r="1736" spans="1:14" ht="30">
      <c r="A1736" s="56">
        <v>479</v>
      </c>
      <c r="B1736" s="56">
        <v>479</v>
      </c>
      <c r="C1736" s="56">
        <v>479</v>
      </c>
      <c r="D1736" s="56" t="s">
        <v>1945</v>
      </c>
      <c r="F1736" s="56" t="s">
        <v>24</v>
      </c>
      <c r="G1736" s="56">
        <v>1</v>
      </c>
      <c r="H1736" s="56">
        <v>8</v>
      </c>
      <c r="I1736" s="56">
        <v>420</v>
      </c>
      <c r="J1736" s="59" t="s">
        <v>1181</v>
      </c>
      <c r="K1736" s="59">
        <v>1</v>
      </c>
      <c r="L1736" s="59">
        <f t="shared" si="27"/>
        <v>3360</v>
      </c>
      <c r="M1736" s="59"/>
    </row>
    <row r="1737" spans="1:14" ht="30">
      <c r="A1737" s="56">
        <v>484</v>
      </c>
      <c r="B1737" s="56">
        <v>484</v>
      </c>
      <c r="C1737" s="56">
        <v>484</v>
      </c>
      <c r="D1737" s="56" t="s">
        <v>1949</v>
      </c>
      <c r="F1737" s="56" t="s">
        <v>24</v>
      </c>
      <c r="G1737" s="56">
        <v>1</v>
      </c>
      <c r="H1737" s="56">
        <v>8</v>
      </c>
      <c r="I1737" s="56">
        <v>410</v>
      </c>
      <c r="J1737" s="59" t="s">
        <v>1181</v>
      </c>
      <c r="K1737" s="59">
        <v>1</v>
      </c>
      <c r="L1737" s="59">
        <f t="shared" si="27"/>
        <v>3280</v>
      </c>
      <c r="M1737" s="59"/>
    </row>
    <row r="1738" spans="1:14" ht="30">
      <c r="A1738" s="56">
        <v>491</v>
      </c>
      <c r="B1738" s="56">
        <v>491</v>
      </c>
      <c r="C1738" s="56">
        <v>491</v>
      </c>
      <c r="D1738" s="56" t="s">
        <v>1956</v>
      </c>
      <c r="F1738" s="56" t="s">
        <v>24</v>
      </c>
      <c r="G1738" s="56">
        <v>1</v>
      </c>
      <c r="H1738" s="56">
        <v>8</v>
      </c>
      <c r="I1738" s="56">
        <v>68</v>
      </c>
      <c r="J1738" s="59" t="s">
        <v>1181</v>
      </c>
      <c r="K1738" s="59">
        <v>1</v>
      </c>
      <c r="L1738" s="59">
        <f t="shared" si="27"/>
        <v>544</v>
      </c>
      <c r="M1738" s="59"/>
    </row>
    <row r="1739" spans="1:14" ht="30">
      <c r="A1739" s="56">
        <v>567</v>
      </c>
      <c r="B1739" s="56">
        <v>567</v>
      </c>
      <c r="C1739" s="56">
        <v>567</v>
      </c>
      <c r="D1739" s="56" t="s">
        <v>2026</v>
      </c>
      <c r="F1739" s="56" t="s">
        <v>24</v>
      </c>
      <c r="G1739" s="56">
        <v>1</v>
      </c>
      <c r="H1739" s="56">
        <v>8</v>
      </c>
      <c r="I1739" s="56">
        <v>100</v>
      </c>
      <c r="J1739" s="59" t="s">
        <v>1181</v>
      </c>
      <c r="K1739" s="59">
        <v>1</v>
      </c>
      <c r="L1739" s="59">
        <f t="shared" si="27"/>
        <v>800</v>
      </c>
      <c r="M1739" s="59"/>
    </row>
    <row r="1740" spans="1:14" ht="30">
      <c r="A1740" s="56">
        <v>574</v>
      </c>
      <c r="B1740" s="56">
        <v>574</v>
      </c>
      <c r="C1740" s="56">
        <v>574</v>
      </c>
      <c r="D1740" s="56" t="s">
        <v>2033</v>
      </c>
      <c r="F1740" s="56" t="s">
        <v>24</v>
      </c>
      <c r="G1740" s="56">
        <v>1</v>
      </c>
      <c r="H1740" s="56">
        <v>8</v>
      </c>
      <c r="I1740" s="56">
        <v>350</v>
      </c>
      <c r="J1740" s="59" t="s">
        <v>1181</v>
      </c>
      <c r="K1740" s="59">
        <v>1</v>
      </c>
      <c r="L1740" s="59">
        <f t="shared" si="27"/>
        <v>2800</v>
      </c>
      <c r="M1740" s="59"/>
    </row>
    <row r="1741" spans="1:14" ht="30">
      <c r="A1741" s="56">
        <v>610</v>
      </c>
      <c r="B1741" s="56">
        <v>610</v>
      </c>
      <c r="C1741" s="56">
        <v>610</v>
      </c>
      <c r="D1741" s="56" t="s">
        <v>2058</v>
      </c>
      <c r="F1741" s="56" t="s">
        <v>24</v>
      </c>
      <c r="G1741" s="56">
        <v>1</v>
      </c>
      <c r="H1741" s="56">
        <v>8</v>
      </c>
      <c r="I1741" s="56">
        <v>80</v>
      </c>
      <c r="J1741" s="59" t="s">
        <v>1181</v>
      </c>
      <c r="K1741" s="59">
        <v>1</v>
      </c>
      <c r="L1741" s="59">
        <f t="shared" si="27"/>
        <v>640</v>
      </c>
      <c r="M1741" s="59"/>
    </row>
    <row r="1742" spans="1:14" ht="30">
      <c r="A1742" s="56">
        <v>621</v>
      </c>
      <c r="B1742" s="56">
        <v>621</v>
      </c>
      <c r="C1742" s="56">
        <v>621</v>
      </c>
      <c r="D1742" s="56" t="s">
        <v>2068</v>
      </c>
      <c r="F1742" s="56" t="s">
        <v>24</v>
      </c>
      <c r="G1742" s="56">
        <v>1</v>
      </c>
      <c r="H1742" s="56">
        <v>8</v>
      </c>
      <c r="I1742" s="56">
        <v>400</v>
      </c>
      <c r="J1742" s="59" t="s">
        <v>1181</v>
      </c>
      <c r="K1742" s="59">
        <v>1</v>
      </c>
      <c r="L1742" s="59">
        <f t="shared" si="27"/>
        <v>3200</v>
      </c>
      <c r="M1742" s="59"/>
    </row>
    <row r="1743" spans="1:14" ht="30">
      <c r="A1743" s="56">
        <v>623</v>
      </c>
      <c r="B1743" s="56">
        <v>623</v>
      </c>
      <c r="C1743" s="56">
        <v>623</v>
      </c>
      <c r="D1743" s="56" t="s">
        <v>2070</v>
      </c>
      <c r="F1743" s="56" t="s">
        <v>24</v>
      </c>
      <c r="G1743" s="56">
        <v>1</v>
      </c>
      <c r="H1743" s="56">
        <v>8</v>
      </c>
      <c r="I1743" s="56">
        <v>130</v>
      </c>
      <c r="J1743" s="59" t="s">
        <v>1181</v>
      </c>
      <c r="K1743" s="59">
        <v>1</v>
      </c>
      <c r="L1743" s="59">
        <f t="shared" si="27"/>
        <v>1040</v>
      </c>
      <c r="M1743" s="59"/>
    </row>
    <row r="1744" spans="1:14" ht="30">
      <c r="A1744" s="56">
        <v>676</v>
      </c>
      <c r="B1744" s="56">
        <v>676</v>
      </c>
      <c r="C1744" s="56">
        <v>676</v>
      </c>
      <c r="D1744" s="56" t="s">
        <v>2120</v>
      </c>
      <c r="F1744" s="56" t="s">
        <v>24</v>
      </c>
      <c r="G1744" s="56">
        <v>1</v>
      </c>
      <c r="H1744" s="56">
        <v>8</v>
      </c>
      <c r="I1744" s="56">
        <v>2700</v>
      </c>
      <c r="J1744" s="59" t="s">
        <v>1181</v>
      </c>
      <c r="K1744" s="59">
        <v>1</v>
      </c>
      <c r="L1744" s="59">
        <f t="shared" si="27"/>
        <v>21600</v>
      </c>
      <c r="M1744" s="59"/>
    </row>
    <row r="1745" spans="1:14" ht="30">
      <c r="A1745" s="56">
        <v>731</v>
      </c>
      <c r="B1745" s="56">
        <v>731</v>
      </c>
      <c r="C1745" s="56">
        <v>731</v>
      </c>
      <c r="D1745" s="56" t="s">
        <v>2174</v>
      </c>
      <c r="F1745" s="56" t="s">
        <v>24</v>
      </c>
      <c r="G1745" s="56">
        <v>1</v>
      </c>
      <c r="H1745" s="56">
        <v>8</v>
      </c>
      <c r="I1745" s="56">
        <v>2400</v>
      </c>
      <c r="J1745" s="59" t="s">
        <v>1181</v>
      </c>
      <c r="K1745" s="59">
        <v>1</v>
      </c>
      <c r="L1745" s="59">
        <f t="shared" si="27"/>
        <v>19200</v>
      </c>
      <c r="M1745" s="59"/>
    </row>
    <row r="1746" spans="1:14" ht="30">
      <c r="A1746" s="56">
        <v>751</v>
      </c>
      <c r="B1746" s="56">
        <v>751</v>
      </c>
      <c r="C1746" s="56">
        <v>751</v>
      </c>
      <c r="D1746" s="56" t="s">
        <v>2193</v>
      </c>
      <c r="F1746" s="56" t="s">
        <v>24</v>
      </c>
      <c r="G1746" s="56">
        <v>1</v>
      </c>
      <c r="H1746" s="56">
        <v>8</v>
      </c>
      <c r="I1746" s="56">
        <v>1500</v>
      </c>
      <c r="J1746" s="59" t="s">
        <v>1181</v>
      </c>
      <c r="K1746" s="59">
        <v>1</v>
      </c>
      <c r="L1746" s="59">
        <f t="shared" si="27"/>
        <v>12000</v>
      </c>
      <c r="M1746" s="59"/>
    </row>
    <row r="1747" spans="1:14" ht="30">
      <c r="A1747" s="56">
        <v>775</v>
      </c>
      <c r="B1747" s="56">
        <v>775</v>
      </c>
      <c r="C1747" s="56">
        <v>775</v>
      </c>
      <c r="D1747" s="56" t="s">
        <v>2217</v>
      </c>
      <c r="F1747" s="56" t="s">
        <v>24</v>
      </c>
      <c r="G1747" s="56">
        <v>1</v>
      </c>
      <c r="H1747" s="56">
        <v>8</v>
      </c>
      <c r="I1747" s="56">
        <v>170</v>
      </c>
      <c r="J1747" s="59" t="s">
        <v>1181</v>
      </c>
      <c r="K1747" s="59">
        <v>1</v>
      </c>
      <c r="L1747" s="59">
        <f t="shared" si="27"/>
        <v>1360</v>
      </c>
      <c r="M1747" s="59"/>
    </row>
    <row r="1748" spans="1:14" ht="30">
      <c r="A1748" s="56">
        <v>778</v>
      </c>
      <c r="B1748" s="56">
        <v>778</v>
      </c>
      <c r="C1748" s="56">
        <v>778</v>
      </c>
      <c r="D1748" s="56" t="s">
        <v>1284</v>
      </c>
      <c r="F1748" s="58" t="s">
        <v>24</v>
      </c>
      <c r="G1748" s="58">
        <v>1</v>
      </c>
      <c r="H1748" s="58">
        <v>8</v>
      </c>
      <c r="I1748" s="56">
        <v>200</v>
      </c>
      <c r="J1748" s="59" t="s">
        <v>1181</v>
      </c>
      <c r="K1748" s="59">
        <v>1</v>
      </c>
      <c r="L1748" s="59">
        <f t="shared" si="27"/>
        <v>1600</v>
      </c>
      <c r="M1748" s="59"/>
      <c r="N1748" s="58"/>
    </row>
    <row r="1749" spans="1:14" ht="30">
      <c r="A1749" s="56">
        <v>796</v>
      </c>
      <c r="B1749" s="56">
        <v>796</v>
      </c>
      <c r="C1749" s="56">
        <v>796</v>
      </c>
      <c r="D1749" s="56" t="s">
        <v>1289</v>
      </c>
      <c r="F1749" s="58" t="s">
        <v>24</v>
      </c>
      <c r="G1749" s="58">
        <v>1</v>
      </c>
      <c r="H1749" s="58">
        <v>8</v>
      </c>
      <c r="I1749" s="56">
        <v>51</v>
      </c>
      <c r="J1749" s="59" t="s">
        <v>1181</v>
      </c>
      <c r="K1749" s="59">
        <v>1</v>
      </c>
      <c r="L1749" s="59">
        <f t="shared" si="27"/>
        <v>408</v>
      </c>
      <c r="M1749" s="59"/>
      <c r="N1749" s="58"/>
    </row>
    <row r="1750" spans="1:14" ht="30">
      <c r="A1750" s="56">
        <v>822</v>
      </c>
      <c r="B1750" s="56">
        <v>822</v>
      </c>
      <c r="C1750" s="56">
        <v>822</v>
      </c>
      <c r="D1750" s="56" t="s">
        <v>1310</v>
      </c>
      <c r="F1750" s="58" t="s">
        <v>24</v>
      </c>
      <c r="G1750" s="58">
        <v>1</v>
      </c>
      <c r="H1750" s="58">
        <v>8</v>
      </c>
      <c r="I1750" s="56">
        <v>95.82</v>
      </c>
      <c r="J1750" s="59" t="s">
        <v>1181</v>
      </c>
      <c r="K1750" s="59">
        <v>1</v>
      </c>
      <c r="L1750" s="59">
        <f t="shared" si="27"/>
        <v>766.56</v>
      </c>
      <c r="M1750" s="59"/>
      <c r="N1750" s="58"/>
    </row>
    <row r="1751" spans="1:14" ht="30">
      <c r="A1751" s="56">
        <v>886</v>
      </c>
      <c r="B1751" s="56">
        <v>886</v>
      </c>
      <c r="C1751" s="56">
        <v>886</v>
      </c>
      <c r="D1751" s="56" t="s">
        <v>2229</v>
      </c>
      <c r="F1751" s="56" t="s">
        <v>24</v>
      </c>
      <c r="G1751" s="56">
        <v>1</v>
      </c>
      <c r="H1751" s="56">
        <v>8</v>
      </c>
      <c r="I1751" s="56">
        <v>100</v>
      </c>
      <c r="J1751" s="59" t="s">
        <v>1181</v>
      </c>
      <c r="K1751" s="59">
        <v>1</v>
      </c>
      <c r="L1751" s="59">
        <f t="shared" si="27"/>
        <v>800</v>
      </c>
      <c r="M1751" s="59"/>
    </row>
    <row r="1752" spans="1:14" ht="30">
      <c r="A1752" s="56">
        <v>902</v>
      </c>
      <c r="B1752" s="56">
        <v>902</v>
      </c>
      <c r="C1752" s="56">
        <v>902</v>
      </c>
      <c r="D1752" s="56" t="s">
        <v>2245</v>
      </c>
      <c r="F1752" s="56" t="s">
        <v>24</v>
      </c>
      <c r="G1752" s="56">
        <v>1</v>
      </c>
      <c r="H1752" s="56">
        <v>8</v>
      </c>
      <c r="I1752" s="56">
        <v>100</v>
      </c>
      <c r="J1752" s="59" t="s">
        <v>1181</v>
      </c>
      <c r="K1752" s="59">
        <v>1</v>
      </c>
      <c r="L1752" s="59">
        <f t="shared" si="27"/>
        <v>800</v>
      </c>
      <c r="M1752" s="59"/>
    </row>
    <row r="1753" spans="1:14" ht="30">
      <c r="A1753" s="56">
        <v>909</v>
      </c>
      <c r="B1753" s="56">
        <v>909</v>
      </c>
      <c r="C1753" s="56">
        <v>909</v>
      </c>
      <c r="D1753" s="56" t="s">
        <v>2252</v>
      </c>
      <c r="F1753" s="56" t="s">
        <v>24</v>
      </c>
      <c r="G1753" s="56">
        <v>1</v>
      </c>
      <c r="H1753" s="56">
        <v>8</v>
      </c>
      <c r="I1753" s="56">
        <v>100</v>
      </c>
      <c r="J1753" s="59" t="s">
        <v>1181</v>
      </c>
      <c r="K1753" s="59">
        <v>1</v>
      </c>
      <c r="L1753" s="59">
        <f t="shared" si="27"/>
        <v>800</v>
      </c>
      <c r="M1753" s="59"/>
    </row>
    <row r="1754" spans="1:14" ht="30">
      <c r="A1754" s="56">
        <v>977</v>
      </c>
      <c r="B1754" s="56">
        <v>977</v>
      </c>
      <c r="C1754" s="56">
        <v>977</v>
      </c>
      <c r="D1754" s="56" t="s">
        <v>2278</v>
      </c>
      <c r="F1754" s="56" t="s">
        <v>24</v>
      </c>
      <c r="G1754" s="56">
        <v>1</v>
      </c>
      <c r="H1754" s="56">
        <v>8</v>
      </c>
      <c r="I1754" s="56">
        <v>189</v>
      </c>
      <c r="J1754" s="59" t="s">
        <v>1181</v>
      </c>
      <c r="K1754" s="59">
        <v>1</v>
      </c>
      <c r="L1754" s="59">
        <f t="shared" si="27"/>
        <v>1512</v>
      </c>
      <c r="M1754" s="59"/>
    </row>
    <row r="1755" spans="1:14" ht="30">
      <c r="A1755" s="56">
        <v>978</v>
      </c>
      <c r="B1755" s="56">
        <v>978</v>
      </c>
      <c r="C1755" s="56">
        <v>978</v>
      </c>
      <c r="D1755" s="56" t="s">
        <v>1393</v>
      </c>
      <c r="F1755" s="58" t="s">
        <v>24</v>
      </c>
      <c r="G1755" s="58">
        <v>1</v>
      </c>
      <c r="H1755" s="58">
        <v>8</v>
      </c>
      <c r="I1755" s="56">
        <v>375</v>
      </c>
      <c r="J1755" s="59" t="s">
        <v>1181</v>
      </c>
      <c r="K1755" s="59">
        <v>1</v>
      </c>
      <c r="L1755" s="59">
        <f t="shared" si="27"/>
        <v>3000</v>
      </c>
      <c r="M1755" s="59"/>
      <c r="N1755" s="58"/>
    </row>
    <row r="1756" spans="1:14" ht="30">
      <c r="A1756" s="56">
        <v>987</v>
      </c>
      <c r="B1756" s="56">
        <v>987</v>
      </c>
      <c r="C1756" s="56">
        <v>987</v>
      </c>
      <c r="D1756" s="56" t="s">
        <v>2284</v>
      </c>
      <c r="F1756" s="56" t="s">
        <v>24</v>
      </c>
      <c r="G1756" s="56">
        <v>1</v>
      </c>
      <c r="H1756" s="56">
        <v>8</v>
      </c>
      <c r="I1756" s="56">
        <v>250</v>
      </c>
      <c r="J1756" s="59" t="s">
        <v>1181</v>
      </c>
      <c r="K1756" s="59">
        <v>1</v>
      </c>
      <c r="L1756" s="59">
        <f t="shared" si="27"/>
        <v>2000</v>
      </c>
      <c r="M1756" s="59"/>
    </row>
    <row r="1757" spans="1:14" ht="30">
      <c r="A1757" s="56">
        <v>988</v>
      </c>
      <c r="B1757" s="56">
        <v>988</v>
      </c>
      <c r="C1757" s="56">
        <v>988</v>
      </c>
      <c r="D1757" s="56" t="s">
        <v>2285</v>
      </c>
      <c r="F1757" s="56" t="s">
        <v>24</v>
      </c>
      <c r="G1757" s="56">
        <v>1</v>
      </c>
      <c r="H1757" s="56">
        <v>8</v>
      </c>
      <c r="I1757" s="56">
        <v>550</v>
      </c>
      <c r="J1757" s="59" t="s">
        <v>1181</v>
      </c>
      <c r="K1757" s="59">
        <v>1</v>
      </c>
      <c r="L1757" s="59">
        <f t="shared" si="27"/>
        <v>4400</v>
      </c>
      <c r="M1757" s="59"/>
    </row>
    <row r="1758" spans="1:14" ht="30">
      <c r="A1758" s="56">
        <v>1019</v>
      </c>
      <c r="B1758" s="56">
        <v>1019</v>
      </c>
      <c r="C1758" s="56">
        <v>1019</v>
      </c>
      <c r="D1758" s="56" t="s">
        <v>2311</v>
      </c>
      <c r="F1758" s="56" t="s">
        <v>24</v>
      </c>
      <c r="G1758" s="56">
        <v>1</v>
      </c>
      <c r="H1758" s="56">
        <v>8</v>
      </c>
      <c r="I1758" s="56">
        <v>130</v>
      </c>
      <c r="J1758" s="59" t="s">
        <v>1181</v>
      </c>
      <c r="K1758" s="59">
        <v>1</v>
      </c>
      <c r="L1758" s="59">
        <f t="shared" si="27"/>
        <v>1040</v>
      </c>
      <c r="M1758" s="59"/>
    </row>
    <row r="1759" spans="1:14" ht="30">
      <c r="A1759" s="56">
        <v>1020</v>
      </c>
      <c r="B1759" s="56">
        <v>1020</v>
      </c>
      <c r="C1759" s="56">
        <v>1020</v>
      </c>
      <c r="D1759" s="56" t="s">
        <v>2312</v>
      </c>
      <c r="F1759" s="56" t="s">
        <v>24</v>
      </c>
      <c r="G1759" s="56">
        <v>1</v>
      </c>
      <c r="H1759" s="56">
        <v>8</v>
      </c>
      <c r="I1759" s="56">
        <v>230</v>
      </c>
      <c r="J1759" s="59" t="s">
        <v>1181</v>
      </c>
      <c r="K1759" s="59">
        <v>1</v>
      </c>
      <c r="L1759" s="59">
        <f t="shared" si="27"/>
        <v>1840</v>
      </c>
      <c r="M1759" s="59"/>
    </row>
    <row r="1760" spans="1:14" ht="30">
      <c r="A1760" s="56">
        <v>1026</v>
      </c>
      <c r="B1760" s="56">
        <v>1026</v>
      </c>
      <c r="C1760" s="56">
        <v>1026</v>
      </c>
      <c r="D1760" s="56" t="s">
        <v>2318</v>
      </c>
      <c r="F1760" s="56" t="s">
        <v>24</v>
      </c>
      <c r="G1760" s="56">
        <v>1</v>
      </c>
      <c r="H1760" s="56">
        <v>8</v>
      </c>
      <c r="I1760" s="56">
        <v>170</v>
      </c>
      <c r="J1760" s="59" t="s">
        <v>1181</v>
      </c>
      <c r="K1760" s="59">
        <v>1</v>
      </c>
      <c r="L1760" s="59">
        <f t="shared" si="27"/>
        <v>1360</v>
      </c>
      <c r="M1760" s="59"/>
    </row>
    <row r="1761" spans="1:13" ht="30">
      <c r="A1761" s="56">
        <v>1027</v>
      </c>
      <c r="B1761" s="56">
        <v>1027</v>
      </c>
      <c r="C1761" s="56">
        <v>1027</v>
      </c>
      <c r="D1761" s="56" t="s">
        <v>2319</v>
      </c>
      <c r="F1761" s="56" t="s">
        <v>24</v>
      </c>
      <c r="G1761" s="56">
        <v>1</v>
      </c>
      <c r="H1761" s="56">
        <v>8</v>
      </c>
      <c r="I1761" s="56">
        <v>230</v>
      </c>
      <c r="J1761" s="59" t="s">
        <v>1181</v>
      </c>
      <c r="K1761" s="59">
        <v>1</v>
      </c>
      <c r="L1761" s="59">
        <f t="shared" si="27"/>
        <v>1840</v>
      </c>
      <c r="M1761" s="59"/>
    </row>
    <row r="1762" spans="1:13" ht="30">
      <c r="A1762" s="56">
        <v>1029</v>
      </c>
      <c r="B1762" s="56">
        <v>1029</v>
      </c>
      <c r="C1762" s="56">
        <v>1029</v>
      </c>
      <c r="D1762" s="56" t="s">
        <v>2321</v>
      </c>
      <c r="F1762" s="56" t="s">
        <v>24</v>
      </c>
      <c r="G1762" s="56">
        <v>1</v>
      </c>
      <c r="H1762" s="56">
        <v>8</v>
      </c>
      <c r="I1762" s="56">
        <v>160</v>
      </c>
      <c r="J1762" s="59" t="s">
        <v>1181</v>
      </c>
      <c r="K1762" s="59">
        <v>1</v>
      </c>
      <c r="L1762" s="59">
        <f t="shared" si="27"/>
        <v>1280</v>
      </c>
      <c r="M1762" s="59"/>
    </row>
    <row r="1763" spans="1:13" ht="30">
      <c r="A1763" s="56">
        <v>1062</v>
      </c>
      <c r="B1763" s="56">
        <v>1062</v>
      </c>
      <c r="C1763" s="56">
        <v>1062</v>
      </c>
      <c r="D1763" s="56" t="s">
        <v>2341</v>
      </c>
      <c r="F1763" s="56" t="s">
        <v>24</v>
      </c>
      <c r="G1763" s="56">
        <v>1</v>
      </c>
      <c r="H1763" s="56">
        <v>8</v>
      </c>
      <c r="I1763" s="56">
        <v>380</v>
      </c>
      <c r="J1763" s="59" t="s">
        <v>1181</v>
      </c>
      <c r="K1763" s="59">
        <v>1</v>
      </c>
      <c r="L1763" s="59">
        <f t="shared" si="27"/>
        <v>3040</v>
      </c>
      <c r="M1763" s="59"/>
    </row>
    <row r="1764" spans="1:13" ht="30">
      <c r="A1764" s="56">
        <v>1147</v>
      </c>
      <c r="B1764" s="56">
        <v>1147</v>
      </c>
      <c r="C1764" s="56">
        <v>1147</v>
      </c>
      <c r="D1764" s="56" t="s">
        <v>2411</v>
      </c>
      <c r="F1764" s="56" t="s">
        <v>24</v>
      </c>
      <c r="G1764" s="56">
        <v>1</v>
      </c>
      <c r="H1764" s="56">
        <v>8</v>
      </c>
      <c r="I1764" s="56">
        <v>250</v>
      </c>
      <c r="J1764" s="59" t="s">
        <v>1181</v>
      </c>
      <c r="K1764" s="59">
        <v>1</v>
      </c>
      <c r="L1764" s="59">
        <f t="shared" si="27"/>
        <v>2000</v>
      </c>
      <c r="M1764" s="59"/>
    </row>
    <row r="1765" spans="1:13" ht="30">
      <c r="A1765" s="56">
        <v>1150</v>
      </c>
      <c r="B1765" s="56">
        <v>1150</v>
      </c>
      <c r="C1765" s="56">
        <v>1150</v>
      </c>
      <c r="D1765" s="56" t="s">
        <v>2414</v>
      </c>
      <c r="F1765" s="56" t="s">
        <v>24</v>
      </c>
      <c r="G1765" s="56">
        <v>1</v>
      </c>
      <c r="H1765" s="56">
        <v>8</v>
      </c>
      <c r="I1765" s="56">
        <v>300</v>
      </c>
      <c r="J1765" s="59" t="s">
        <v>1181</v>
      </c>
      <c r="K1765" s="59">
        <v>1</v>
      </c>
      <c r="L1765" s="59">
        <f t="shared" si="27"/>
        <v>2400</v>
      </c>
      <c r="M1765" s="59"/>
    </row>
    <row r="1766" spans="1:13" ht="30">
      <c r="A1766" s="56">
        <v>1181</v>
      </c>
      <c r="B1766" s="56">
        <v>1181</v>
      </c>
      <c r="C1766" s="56">
        <v>1181</v>
      </c>
      <c r="D1766" s="56" t="s">
        <v>1284</v>
      </c>
      <c r="F1766" s="56" t="s">
        <v>24</v>
      </c>
      <c r="G1766" s="56">
        <v>1</v>
      </c>
      <c r="H1766" s="56">
        <v>8</v>
      </c>
      <c r="I1766" s="56">
        <v>300</v>
      </c>
      <c r="J1766" s="59" t="s">
        <v>1181</v>
      </c>
      <c r="K1766" s="59">
        <v>1</v>
      </c>
      <c r="L1766" s="59">
        <f t="shared" si="27"/>
        <v>2400</v>
      </c>
      <c r="M1766" s="59"/>
    </row>
    <row r="1767" spans="1:13" ht="30">
      <c r="A1767" s="56">
        <v>1294</v>
      </c>
      <c r="B1767" s="56">
        <v>1294</v>
      </c>
      <c r="C1767" s="56">
        <v>1294</v>
      </c>
      <c r="D1767" s="56" t="s">
        <v>2519</v>
      </c>
      <c r="F1767" s="56" t="s">
        <v>24</v>
      </c>
      <c r="G1767" s="56">
        <v>1</v>
      </c>
      <c r="H1767" s="56">
        <v>8</v>
      </c>
      <c r="I1767" s="56">
        <v>450</v>
      </c>
      <c r="J1767" s="59" t="s">
        <v>1181</v>
      </c>
      <c r="K1767" s="59">
        <v>1</v>
      </c>
      <c r="L1767" s="59">
        <f t="shared" si="27"/>
        <v>3600</v>
      </c>
      <c r="M1767" s="59"/>
    </row>
    <row r="1768" spans="1:13" ht="30">
      <c r="A1768" s="56">
        <v>1297</v>
      </c>
      <c r="B1768" s="56">
        <v>1297</v>
      </c>
      <c r="C1768" s="56">
        <v>1297</v>
      </c>
      <c r="D1768" s="56" t="s">
        <v>2522</v>
      </c>
      <c r="F1768" s="56" t="s">
        <v>24</v>
      </c>
      <c r="G1768" s="56">
        <v>1</v>
      </c>
      <c r="H1768" s="56">
        <v>8</v>
      </c>
      <c r="I1768" s="56">
        <v>250</v>
      </c>
      <c r="J1768" s="59" t="s">
        <v>1181</v>
      </c>
      <c r="K1768" s="59">
        <v>1</v>
      </c>
      <c r="L1768" s="59">
        <f t="shared" si="27"/>
        <v>2000</v>
      </c>
      <c r="M1768" s="59"/>
    </row>
    <row r="1769" spans="1:13" ht="30">
      <c r="A1769" s="56">
        <v>1305</v>
      </c>
      <c r="B1769" s="56">
        <v>1305</v>
      </c>
      <c r="C1769" s="56">
        <v>1305</v>
      </c>
      <c r="D1769" s="56" t="s">
        <v>2529</v>
      </c>
      <c r="F1769" s="56" t="s">
        <v>24</v>
      </c>
      <c r="G1769" s="56">
        <v>1</v>
      </c>
      <c r="H1769" s="56">
        <v>8</v>
      </c>
      <c r="I1769" s="56">
        <v>118</v>
      </c>
      <c r="J1769" s="59" t="s">
        <v>1181</v>
      </c>
      <c r="K1769" s="59">
        <v>1</v>
      </c>
      <c r="L1769" s="59">
        <f t="shared" si="27"/>
        <v>944</v>
      </c>
      <c r="M1769" s="59"/>
    </row>
    <row r="1770" spans="1:13" ht="30">
      <c r="A1770" s="56">
        <v>1316</v>
      </c>
      <c r="B1770" s="56">
        <v>1316</v>
      </c>
      <c r="C1770" s="56">
        <v>1316</v>
      </c>
      <c r="D1770" s="56" t="s">
        <v>2539</v>
      </c>
      <c r="F1770" s="56" t="s">
        <v>24</v>
      </c>
      <c r="G1770" s="56">
        <v>1</v>
      </c>
      <c r="H1770" s="56">
        <v>8</v>
      </c>
      <c r="I1770" s="56">
        <v>89</v>
      </c>
      <c r="J1770" s="59" t="s">
        <v>1181</v>
      </c>
      <c r="K1770" s="59">
        <v>1</v>
      </c>
      <c r="L1770" s="59">
        <f t="shared" si="27"/>
        <v>712</v>
      </c>
      <c r="M1770" s="59"/>
    </row>
    <row r="1771" spans="1:13" ht="30">
      <c r="A1771" s="56">
        <v>1336</v>
      </c>
      <c r="B1771" s="56">
        <v>1336</v>
      </c>
      <c r="C1771" s="56">
        <v>1336</v>
      </c>
      <c r="D1771" s="56" t="s">
        <v>2559</v>
      </c>
      <c r="F1771" s="56" t="s">
        <v>24</v>
      </c>
      <c r="G1771" s="56">
        <v>1</v>
      </c>
      <c r="H1771" s="56">
        <v>8</v>
      </c>
      <c r="I1771" s="56">
        <v>200</v>
      </c>
      <c r="J1771" s="59" t="s">
        <v>1181</v>
      </c>
      <c r="K1771" s="59">
        <v>1</v>
      </c>
      <c r="L1771" s="59">
        <f t="shared" si="27"/>
        <v>1600</v>
      </c>
      <c r="M1771" s="59"/>
    </row>
    <row r="1772" spans="1:13" ht="30">
      <c r="A1772" s="56">
        <v>1382</v>
      </c>
      <c r="B1772" s="56">
        <v>1382</v>
      </c>
      <c r="C1772" s="56">
        <v>1382</v>
      </c>
      <c r="D1772" s="56" t="s">
        <v>2596</v>
      </c>
      <c r="F1772" s="56" t="s">
        <v>24</v>
      </c>
      <c r="G1772" s="56">
        <v>1</v>
      </c>
      <c r="H1772" s="56">
        <v>8</v>
      </c>
      <c r="I1772" s="56">
        <v>210</v>
      </c>
      <c r="J1772" s="59" t="s">
        <v>1181</v>
      </c>
      <c r="K1772" s="59">
        <v>1</v>
      </c>
      <c r="L1772" s="59">
        <f t="shared" si="27"/>
        <v>1680</v>
      </c>
      <c r="M1772" s="59"/>
    </row>
    <row r="1773" spans="1:13" ht="30">
      <c r="A1773" s="56">
        <v>1383</v>
      </c>
      <c r="B1773" s="56">
        <v>1383</v>
      </c>
      <c r="C1773" s="56">
        <v>1383</v>
      </c>
      <c r="D1773" s="56" t="s">
        <v>2597</v>
      </c>
      <c r="F1773" s="56" t="s">
        <v>24</v>
      </c>
      <c r="G1773" s="56">
        <v>1</v>
      </c>
      <c r="H1773" s="56">
        <v>8</v>
      </c>
      <c r="I1773" s="56">
        <v>190</v>
      </c>
      <c r="J1773" s="59" t="s">
        <v>1181</v>
      </c>
      <c r="K1773" s="59">
        <v>1</v>
      </c>
      <c r="L1773" s="59">
        <f t="shared" si="27"/>
        <v>1520</v>
      </c>
      <c r="M1773" s="59"/>
    </row>
    <row r="1774" spans="1:13" ht="30">
      <c r="A1774" s="56">
        <v>1408</v>
      </c>
      <c r="B1774" s="56">
        <v>1408</v>
      </c>
      <c r="C1774" s="56">
        <v>1408</v>
      </c>
      <c r="D1774" s="56" t="s">
        <v>2619</v>
      </c>
      <c r="F1774" s="56" t="s">
        <v>24</v>
      </c>
      <c r="G1774" s="56">
        <v>1</v>
      </c>
      <c r="H1774" s="56">
        <v>8</v>
      </c>
      <c r="I1774" s="56">
        <v>500</v>
      </c>
      <c r="J1774" s="59" t="s">
        <v>1181</v>
      </c>
      <c r="K1774" s="59">
        <v>1</v>
      </c>
      <c r="L1774" s="59">
        <f t="shared" si="27"/>
        <v>4000</v>
      </c>
      <c r="M1774" s="59"/>
    </row>
    <row r="1775" spans="1:13" ht="30">
      <c r="A1775" s="56">
        <v>1451</v>
      </c>
      <c r="B1775" s="56">
        <v>1451</v>
      </c>
      <c r="C1775" s="56">
        <v>1451</v>
      </c>
      <c r="D1775" s="56" t="s">
        <v>2647</v>
      </c>
      <c r="F1775" s="56" t="s">
        <v>24</v>
      </c>
      <c r="G1775" s="56">
        <v>1</v>
      </c>
      <c r="H1775" s="56">
        <v>8</v>
      </c>
      <c r="I1775" s="56">
        <v>130</v>
      </c>
      <c r="J1775" s="59" t="s">
        <v>1181</v>
      </c>
      <c r="K1775" s="59">
        <v>1</v>
      </c>
      <c r="L1775" s="59">
        <f t="shared" si="27"/>
        <v>1040</v>
      </c>
      <c r="M1775" s="59"/>
    </row>
    <row r="1776" spans="1:13" ht="30">
      <c r="A1776" s="56">
        <v>1463</v>
      </c>
      <c r="B1776" s="56">
        <v>1463</v>
      </c>
      <c r="C1776" s="56">
        <v>1463</v>
      </c>
      <c r="D1776" s="56" t="s">
        <v>2659</v>
      </c>
      <c r="F1776" s="56" t="s">
        <v>24</v>
      </c>
      <c r="G1776" s="56">
        <v>1</v>
      </c>
      <c r="H1776" s="56">
        <v>8</v>
      </c>
      <c r="I1776" s="56">
        <v>900</v>
      </c>
      <c r="J1776" s="59" t="s">
        <v>1181</v>
      </c>
      <c r="K1776" s="59">
        <v>1</v>
      </c>
      <c r="L1776" s="59">
        <f t="shared" si="27"/>
        <v>7200</v>
      </c>
      <c r="M1776" s="59"/>
    </row>
    <row r="1777" spans="1:13" ht="30">
      <c r="A1777" s="56">
        <v>1597</v>
      </c>
      <c r="B1777" s="56">
        <v>1597</v>
      </c>
      <c r="C1777" s="56">
        <v>1597</v>
      </c>
      <c r="D1777" s="56" t="s">
        <v>1443</v>
      </c>
      <c r="F1777" s="58" t="s">
        <v>24</v>
      </c>
      <c r="G1777" s="58">
        <v>1</v>
      </c>
      <c r="H1777" s="58">
        <v>8</v>
      </c>
      <c r="I1777" s="56">
        <v>200</v>
      </c>
      <c r="J1777" s="59" t="s">
        <v>1181</v>
      </c>
      <c r="K1777" s="59">
        <v>1</v>
      </c>
      <c r="L1777" s="59">
        <f t="shared" si="27"/>
        <v>1600</v>
      </c>
      <c r="M1777" s="59"/>
    </row>
    <row r="1778" spans="1:13" ht="30">
      <c r="A1778" s="56">
        <v>1599</v>
      </c>
      <c r="B1778" s="56">
        <v>1599</v>
      </c>
      <c r="C1778" s="56">
        <v>1599</v>
      </c>
      <c r="D1778" s="56" t="s">
        <v>2782</v>
      </c>
      <c r="F1778" s="56" t="s">
        <v>24</v>
      </c>
      <c r="G1778" s="56">
        <v>1</v>
      </c>
      <c r="H1778" s="56">
        <v>8</v>
      </c>
      <c r="I1778" s="56">
        <v>150</v>
      </c>
      <c r="J1778" s="59" t="s">
        <v>1181</v>
      </c>
      <c r="K1778" s="59">
        <v>1</v>
      </c>
      <c r="L1778" s="59">
        <f t="shared" si="27"/>
        <v>1200</v>
      </c>
      <c r="M1778" s="59"/>
    </row>
    <row r="1779" spans="1:13" ht="30">
      <c r="A1779" s="56">
        <v>1600</v>
      </c>
      <c r="B1779" s="56">
        <v>1600</v>
      </c>
      <c r="C1779" s="56">
        <v>1600</v>
      </c>
      <c r="D1779" s="56" t="s">
        <v>2783</v>
      </c>
      <c r="F1779" s="56" t="s">
        <v>24</v>
      </c>
      <c r="G1779" s="56">
        <v>1</v>
      </c>
      <c r="H1779" s="56">
        <v>8</v>
      </c>
      <c r="I1779" s="56">
        <v>120</v>
      </c>
      <c r="J1779" s="59" t="s">
        <v>1181</v>
      </c>
      <c r="K1779" s="59">
        <v>1</v>
      </c>
      <c r="L1779" s="59">
        <f t="shared" si="27"/>
        <v>960</v>
      </c>
      <c r="M1779" s="59"/>
    </row>
    <row r="1780" spans="1:13" ht="30">
      <c r="A1780" s="56">
        <v>1617</v>
      </c>
      <c r="B1780" s="56">
        <v>1617</v>
      </c>
      <c r="C1780" s="56">
        <v>1617</v>
      </c>
      <c r="D1780" s="56" t="s">
        <v>2798</v>
      </c>
      <c r="F1780" s="56" t="s">
        <v>24</v>
      </c>
      <c r="G1780" s="56">
        <v>1</v>
      </c>
      <c r="H1780" s="56">
        <v>8</v>
      </c>
      <c r="I1780" s="56">
        <v>300</v>
      </c>
      <c r="J1780" s="59" t="s">
        <v>1181</v>
      </c>
      <c r="K1780" s="59">
        <v>1</v>
      </c>
      <c r="L1780" s="59">
        <f t="shared" si="27"/>
        <v>2400</v>
      </c>
      <c r="M1780" s="59"/>
    </row>
    <row r="1781" spans="1:13" ht="30">
      <c r="A1781" s="56">
        <v>1645</v>
      </c>
      <c r="B1781" s="56">
        <v>1645</v>
      </c>
      <c r="C1781" s="56">
        <v>1645</v>
      </c>
      <c r="D1781" s="56" t="s">
        <v>1452</v>
      </c>
      <c r="F1781" s="58" t="s">
        <v>24</v>
      </c>
      <c r="G1781" s="58">
        <v>1</v>
      </c>
      <c r="H1781" s="58">
        <v>8</v>
      </c>
      <c r="I1781" s="56">
        <v>250</v>
      </c>
      <c r="J1781" s="59" t="s">
        <v>1181</v>
      </c>
      <c r="K1781" s="59">
        <v>1</v>
      </c>
      <c r="L1781" s="59">
        <f t="shared" si="27"/>
        <v>2000</v>
      </c>
      <c r="M1781" s="59"/>
    </row>
    <row r="1782" spans="1:13" ht="30">
      <c r="A1782" s="56">
        <v>1665</v>
      </c>
      <c r="B1782" s="56">
        <v>1665</v>
      </c>
      <c r="C1782" s="56">
        <v>1665</v>
      </c>
      <c r="D1782" s="56" t="s">
        <v>2831</v>
      </c>
      <c r="F1782" s="56" t="s">
        <v>24</v>
      </c>
      <c r="G1782" s="56">
        <v>1</v>
      </c>
      <c r="H1782" s="56">
        <v>8</v>
      </c>
      <c r="I1782" s="56">
        <v>230</v>
      </c>
      <c r="J1782" s="59" t="s">
        <v>1181</v>
      </c>
      <c r="K1782" s="59">
        <v>1</v>
      </c>
      <c r="L1782" s="59">
        <f t="shared" si="27"/>
        <v>1840</v>
      </c>
      <c r="M1782" s="59"/>
    </row>
    <row r="1783" spans="1:13" ht="30">
      <c r="A1783" s="56">
        <v>1668</v>
      </c>
      <c r="B1783" s="56">
        <v>1668</v>
      </c>
      <c r="C1783" s="56">
        <v>1668</v>
      </c>
      <c r="D1783" s="56" t="s">
        <v>2834</v>
      </c>
      <c r="F1783" s="56" t="s">
        <v>24</v>
      </c>
      <c r="G1783" s="56">
        <v>1</v>
      </c>
      <c r="H1783" s="56">
        <v>8</v>
      </c>
      <c r="I1783" s="56">
        <v>230</v>
      </c>
      <c r="J1783" s="59" t="s">
        <v>1181</v>
      </c>
      <c r="K1783" s="59">
        <v>1</v>
      </c>
      <c r="L1783" s="59">
        <f t="shared" si="27"/>
        <v>1840</v>
      </c>
      <c r="M1783" s="59"/>
    </row>
    <row r="1784" spans="1:13" ht="30">
      <c r="A1784" s="56">
        <v>1701</v>
      </c>
      <c r="B1784" s="56">
        <v>1701</v>
      </c>
      <c r="C1784" s="56">
        <v>1701</v>
      </c>
      <c r="D1784" s="56" t="s">
        <v>2855</v>
      </c>
      <c r="F1784" s="56" t="s">
        <v>24</v>
      </c>
      <c r="G1784" s="56">
        <v>1</v>
      </c>
      <c r="H1784" s="56">
        <v>8</v>
      </c>
      <c r="I1784" s="56">
        <v>420</v>
      </c>
      <c r="J1784" s="59" t="s">
        <v>1181</v>
      </c>
      <c r="K1784" s="59">
        <v>1</v>
      </c>
      <c r="L1784" s="59">
        <f t="shared" si="27"/>
        <v>3360</v>
      </c>
      <c r="M1784" s="59"/>
    </row>
    <row r="1785" spans="1:13" ht="30">
      <c r="A1785" s="56">
        <v>1710</v>
      </c>
      <c r="B1785" s="56">
        <v>1710</v>
      </c>
      <c r="C1785" s="56">
        <v>1710</v>
      </c>
      <c r="D1785" s="56" t="s">
        <v>1468</v>
      </c>
      <c r="F1785" s="58" t="s">
        <v>24</v>
      </c>
      <c r="G1785" s="58">
        <v>1</v>
      </c>
      <c r="H1785" s="58">
        <v>8</v>
      </c>
      <c r="I1785" s="56">
        <v>210</v>
      </c>
      <c r="J1785" s="59" t="s">
        <v>1181</v>
      </c>
      <c r="K1785" s="59">
        <v>1</v>
      </c>
      <c r="L1785" s="59">
        <f t="shared" si="27"/>
        <v>1680</v>
      </c>
      <c r="M1785" s="59"/>
    </row>
    <row r="1786" spans="1:13" ht="30">
      <c r="A1786" s="56">
        <v>1715</v>
      </c>
      <c r="B1786" s="56">
        <v>1715</v>
      </c>
      <c r="C1786" s="56">
        <v>1715</v>
      </c>
      <c r="D1786" s="56" t="s">
        <v>2868</v>
      </c>
      <c r="F1786" s="56" t="s">
        <v>24</v>
      </c>
      <c r="G1786" s="56">
        <v>1</v>
      </c>
      <c r="H1786" s="56">
        <v>8</v>
      </c>
      <c r="I1786" s="56">
        <v>170</v>
      </c>
      <c r="J1786" s="59" t="s">
        <v>1181</v>
      </c>
      <c r="K1786" s="59">
        <v>1</v>
      </c>
      <c r="L1786" s="59">
        <f t="shared" si="27"/>
        <v>1360</v>
      </c>
      <c r="M1786" s="59"/>
    </row>
    <row r="1787" spans="1:13" ht="30">
      <c r="A1787" s="56">
        <v>1719</v>
      </c>
      <c r="B1787" s="56">
        <v>1719</v>
      </c>
      <c r="C1787" s="56">
        <v>1719</v>
      </c>
      <c r="D1787" s="56" t="s">
        <v>2871</v>
      </c>
      <c r="F1787" s="56" t="s">
        <v>24</v>
      </c>
      <c r="G1787" s="56">
        <v>1</v>
      </c>
      <c r="H1787" s="56">
        <v>8</v>
      </c>
      <c r="I1787" s="56">
        <v>156</v>
      </c>
      <c r="J1787" s="59" t="s">
        <v>1181</v>
      </c>
      <c r="K1787" s="59">
        <v>1</v>
      </c>
      <c r="L1787" s="59">
        <f t="shared" si="27"/>
        <v>1248</v>
      </c>
      <c r="M1787" s="59"/>
    </row>
    <row r="1788" spans="1:13" ht="30">
      <c r="A1788" s="56">
        <v>1803</v>
      </c>
      <c r="B1788" s="56">
        <v>1803</v>
      </c>
      <c r="C1788" s="56">
        <v>1803</v>
      </c>
      <c r="D1788" s="56" t="s">
        <v>1475</v>
      </c>
      <c r="F1788" s="58" t="s">
        <v>24</v>
      </c>
      <c r="G1788" s="58">
        <v>1</v>
      </c>
      <c r="H1788" s="58">
        <v>8</v>
      </c>
      <c r="I1788" s="56">
        <v>180</v>
      </c>
      <c r="J1788" s="59" t="s">
        <v>1181</v>
      </c>
      <c r="K1788" s="59">
        <v>1</v>
      </c>
      <c r="L1788" s="59">
        <f t="shared" si="27"/>
        <v>1440</v>
      </c>
      <c r="M1788" s="59"/>
    </row>
    <row r="1789" spans="1:13" ht="30">
      <c r="A1789" s="56">
        <v>1812</v>
      </c>
      <c r="B1789" s="56">
        <v>1812</v>
      </c>
      <c r="C1789" s="56">
        <v>1812</v>
      </c>
      <c r="D1789" s="56" t="s">
        <v>2949</v>
      </c>
      <c r="F1789" s="56" t="s">
        <v>24</v>
      </c>
      <c r="G1789" s="56">
        <v>1</v>
      </c>
      <c r="H1789" s="56">
        <v>8</v>
      </c>
      <c r="I1789" s="56">
        <v>150</v>
      </c>
      <c r="J1789" s="59" t="s">
        <v>1181</v>
      </c>
      <c r="K1789" s="59">
        <v>1</v>
      </c>
      <c r="L1789" s="59">
        <f t="shared" si="27"/>
        <v>1200</v>
      </c>
      <c r="M1789" s="59"/>
    </row>
    <row r="1790" spans="1:13" ht="30">
      <c r="A1790" s="56">
        <v>1844</v>
      </c>
      <c r="B1790" s="56">
        <v>1844</v>
      </c>
      <c r="C1790" s="56">
        <v>1844</v>
      </c>
      <c r="D1790" s="56" t="s">
        <v>2973</v>
      </c>
      <c r="F1790" s="56" t="s">
        <v>24</v>
      </c>
      <c r="G1790" s="56">
        <v>1</v>
      </c>
      <c r="H1790" s="56">
        <v>8</v>
      </c>
      <c r="I1790" s="56">
        <v>188</v>
      </c>
      <c r="J1790" s="59" t="s">
        <v>1181</v>
      </c>
      <c r="K1790" s="59">
        <v>1</v>
      </c>
      <c r="L1790" s="59">
        <f t="shared" si="27"/>
        <v>1504</v>
      </c>
      <c r="M1790" s="59"/>
    </row>
    <row r="1791" spans="1:13" ht="30">
      <c r="A1791" s="56">
        <v>1845</v>
      </c>
      <c r="B1791" s="56">
        <v>1845</v>
      </c>
      <c r="C1791" s="56">
        <v>1845</v>
      </c>
      <c r="D1791" s="56" t="s">
        <v>2974</v>
      </c>
      <c r="F1791" s="56" t="s">
        <v>24</v>
      </c>
      <c r="G1791" s="56">
        <v>1</v>
      </c>
      <c r="H1791" s="56">
        <v>8</v>
      </c>
      <c r="I1791" s="56">
        <v>120</v>
      </c>
      <c r="J1791" s="59" t="s">
        <v>1181</v>
      </c>
      <c r="K1791" s="59">
        <v>1</v>
      </c>
      <c r="L1791" s="59">
        <f t="shared" si="27"/>
        <v>960</v>
      </c>
      <c r="M1791" s="59"/>
    </row>
    <row r="1792" spans="1:13" ht="30">
      <c r="A1792" s="56">
        <v>1883</v>
      </c>
      <c r="B1792" s="56">
        <v>1883</v>
      </c>
      <c r="C1792" s="56">
        <v>1883</v>
      </c>
      <c r="D1792" s="56" t="s">
        <v>3012</v>
      </c>
      <c r="F1792" s="56" t="s">
        <v>24</v>
      </c>
      <c r="G1792" s="56">
        <v>1</v>
      </c>
      <c r="H1792" s="56">
        <v>8</v>
      </c>
      <c r="I1792" s="56">
        <v>600</v>
      </c>
      <c r="J1792" s="59" t="s">
        <v>1181</v>
      </c>
      <c r="K1792" s="59">
        <v>1</v>
      </c>
      <c r="L1792" s="59">
        <f t="shared" si="27"/>
        <v>4800</v>
      </c>
      <c r="M1792" s="59"/>
    </row>
    <row r="1793" spans="1:14" ht="30">
      <c r="A1793" s="56">
        <v>803</v>
      </c>
      <c r="B1793" s="56">
        <v>803</v>
      </c>
      <c r="C1793" s="56">
        <v>803</v>
      </c>
      <c r="D1793" s="56" t="s">
        <v>1292</v>
      </c>
      <c r="F1793" s="58" t="s">
        <v>1185</v>
      </c>
      <c r="G1793" s="58">
        <v>12</v>
      </c>
      <c r="H1793" s="56">
        <v>9</v>
      </c>
      <c r="I1793" s="56">
        <v>1504</v>
      </c>
      <c r="J1793" s="59" t="s">
        <v>1181</v>
      </c>
      <c r="K1793" s="59">
        <v>1</v>
      </c>
      <c r="L1793" s="59">
        <f t="shared" si="27"/>
        <v>13536</v>
      </c>
      <c r="M1793" s="59"/>
    </row>
    <row r="1794" spans="1:14" ht="30">
      <c r="A1794" s="56">
        <v>809</v>
      </c>
      <c r="B1794" s="56">
        <v>809</v>
      </c>
      <c r="C1794" s="56">
        <v>809</v>
      </c>
      <c r="D1794" s="56" t="s">
        <v>1298</v>
      </c>
      <c r="F1794" s="58" t="s">
        <v>1183</v>
      </c>
      <c r="G1794" s="58">
        <v>12</v>
      </c>
      <c r="H1794" s="56">
        <v>9</v>
      </c>
      <c r="I1794" s="56">
        <v>800</v>
      </c>
      <c r="J1794" s="59" t="s">
        <v>1181</v>
      </c>
      <c r="K1794" s="59">
        <v>1</v>
      </c>
      <c r="L1794" s="59">
        <f t="shared" ref="L1794:L1857" si="28">H1794*I1794</f>
        <v>7200</v>
      </c>
      <c r="M1794" s="59"/>
    </row>
    <row r="1795" spans="1:14" ht="30">
      <c r="A1795" s="56">
        <v>825</v>
      </c>
      <c r="B1795" s="56">
        <v>825</v>
      </c>
      <c r="C1795" s="56">
        <v>825</v>
      </c>
      <c r="D1795" s="56" t="s">
        <v>1313</v>
      </c>
      <c r="F1795" s="58" t="s">
        <v>1185</v>
      </c>
      <c r="G1795" s="58">
        <v>12</v>
      </c>
      <c r="H1795" s="56">
        <v>9</v>
      </c>
      <c r="I1795" s="56">
        <v>652</v>
      </c>
      <c r="J1795" s="59" t="s">
        <v>1181</v>
      </c>
      <c r="K1795" s="59">
        <v>1</v>
      </c>
      <c r="L1795" s="59">
        <f t="shared" si="28"/>
        <v>5868</v>
      </c>
      <c r="M1795" s="59"/>
    </row>
    <row r="1796" spans="1:14" ht="30">
      <c r="A1796" s="56">
        <v>1721</v>
      </c>
      <c r="B1796" s="56">
        <v>1721</v>
      </c>
      <c r="C1796" s="56">
        <v>1721</v>
      </c>
      <c r="D1796" s="56" t="s">
        <v>1470</v>
      </c>
      <c r="F1796" s="58" t="s">
        <v>1183</v>
      </c>
      <c r="G1796" s="58">
        <v>12</v>
      </c>
      <c r="H1796" s="56">
        <v>9</v>
      </c>
      <c r="I1796" s="56">
        <v>200</v>
      </c>
      <c r="J1796" s="59" t="s">
        <v>1181</v>
      </c>
      <c r="K1796" s="59">
        <v>1</v>
      </c>
      <c r="L1796" s="59">
        <f t="shared" si="28"/>
        <v>1800</v>
      </c>
      <c r="M1796" s="59"/>
    </row>
    <row r="1797" spans="1:14" ht="30">
      <c r="A1797" s="56">
        <v>815</v>
      </c>
      <c r="B1797" s="56">
        <v>815</v>
      </c>
      <c r="C1797" s="56">
        <v>815</v>
      </c>
      <c r="D1797" s="56" t="s">
        <v>1497</v>
      </c>
      <c r="F1797" s="58" t="s">
        <v>1185</v>
      </c>
      <c r="G1797" s="58">
        <v>10</v>
      </c>
      <c r="H1797" s="56">
        <v>9</v>
      </c>
      <c r="I1797" s="56">
        <v>720</v>
      </c>
      <c r="J1797" s="59" t="s">
        <v>1181</v>
      </c>
      <c r="K1797" s="59">
        <v>1</v>
      </c>
      <c r="L1797" s="59">
        <f t="shared" si="28"/>
        <v>6480</v>
      </c>
      <c r="M1797" s="59"/>
    </row>
    <row r="1798" spans="1:14" ht="30">
      <c r="A1798" s="56">
        <v>833</v>
      </c>
      <c r="B1798" s="56">
        <v>833</v>
      </c>
      <c r="C1798" s="56">
        <v>833</v>
      </c>
      <c r="D1798" s="56" t="s">
        <v>1499</v>
      </c>
      <c r="F1798" s="58" t="s">
        <v>1185</v>
      </c>
      <c r="G1798" s="58">
        <v>10</v>
      </c>
      <c r="H1798" s="56">
        <v>9</v>
      </c>
      <c r="I1798" s="56">
        <v>789</v>
      </c>
      <c r="J1798" s="59" t="s">
        <v>1181</v>
      </c>
      <c r="K1798" s="59">
        <v>1</v>
      </c>
      <c r="L1798" s="59">
        <f t="shared" si="28"/>
        <v>7101</v>
      </c>
      <c r="M1798" s="59"/>
    </row>
    <row r="1799" spans="1:14" ht="30">
      <c r="A1799" s="56">
        <v>257</v>
      </c>
      <c r="B1799" s="56">
        <v>257</v>
      </c>
      <c r="C1799" s="56">
        <v>257</v>
      </c>
      <c r="D1799" s="56" t="s">
        <v>1747</v>
      </c>
      <c r="F1799" s="56" t="s">
        <v>24</v>
      </c>
      <c r="G1799" s="56">
        <v>1</v>
      </c>
      <c r="H1799" s="56">
        <v>9</v>
      </c>
      <c r="I1799" s="56">
        <v>250</v>
      </c>
      <c r="J1799" s="59" t="s">
        <v>1181</v>
      </c>
      <c r="K1799" s="59">
        <v>1</v>
      </c>
      <c r="L1799" s="59">
        <f t="shared" si="28"/>
        <v>2250</v>
      </c>
      <c r="M1799" s="59"/>
    </row>
    <row r="1800" spans="1:14" ht="30">
      <c r="A1800" s="56">
        <v>268</v>
      </c>
      <c r="B1800" s="56">
        <v>268</v>
      </c>
      <c r="C1800" s="56">
        <v>268</v>
      </c>
      <c r="D1800" s="56" t="s">
        <v>1753</v>
      </c>
      <c r="F1800" s="56" t="s">
        <v>24</v>
      </c>
      <c r="G1800" s="56">
        <v>1</v>
      </c>
      <c r="H1800" s="56">
        <v>9</v>
      </c>
      <c r="I1800" s="56">
        <v>420</v>
      </c>
      <c r="J1800" s="59" t="s">
        <v>1181</v>
      </c>
      <c r="K1800" s="59">
        <v>1</v>
      </c>
      <c r="L1800" s="59">
        <f t="shared" si="28"/>
        <v>3780</v>
      </c>
      <c r="M1800" s="59"/>
    </row>
    <row r="1801" spans="1:14" ht="30">
      <c r="A1801" s="56">
        <v>269</v>
      </c>
      <c r="B1801" s="56">
        <v>269</v>
      </c>
      <c r="C1801" s="56">
        <v>269</v>
      </c>
      <c r="D1801" s="56" t="s">
        <v>1754</v>
      </c>
      <c r="F1801" s="56" t="s">
        <v>24</v>
      </c>
      <c r="G1801" s="56">
        <v>1</v>
      </c>
      <c r="H1801" s="56">
        <v>9</v>
      </c>
      <c r="I1801" s="56">
        <v>400</v>
      </c>
      <c r="J1801" s="59" t="s">
        <v>1181</v>
      </c>
      <c r="K1801" s="59">
        <v>1</v>
      </c>
      <c r="L1801" s="59">
        <f t="shared" si="28"/>
        <v>3600</v>
      </c>
      <c r="M1801" s="59"/>
    </row>
    <row r="1802" spans="1:14" ht="30">
      <c r="A1802" s="56">
        <v>291</v>
      </c>
      <c r="B1802" s="56">
        <v>291</v>
      </c>
      <c r="C1802" s="56">
        <v>291</v>
      </c>
      <c r="D1802" s="56" t="s">
        <v>1770</v>
      </c>
      <c r="F1802" s="56" t="s">
        <v>24</v>
      </c>
      <c r="G1802" s="56">
        <v>1</v>
      </c>
      <c r="H1802" s="56">
        <v>9</v>
      </c>
      <c r="I1802" s="56">
        <v>275</v>
      </c>
      <c r="J1802" s="59" t="s">
        <v>1181</v>
      </c>
      <c r="K1802" s="59">
        <v>1</v>
      </c>
      <c r="L1802" s="59">
        <f t="shared" si="28"/>
        <v>2475</v>
      </c>
      <c r="M1802" s="59"/>
    </row>
    <row r="1803" spans="1:14" ht="30">
      <c r="A1803" s="56">
        <v>317</v>
      </c>
      <c r="B1803" s="56">
        <v>317</v>
      </c>
      <c r="C1803" s="56">
        <v>317</v>
      </c>
      <c r="D1803" s="56" t="s">
        <v>1791</v>
      </c>
      <c r="F1803" s="56" t="s">
        <v>24</v>
      </c>
      <c r="G1803" s="56">
        <v>1</v>
      </c>
      <c r="H1803" s="56">
        <v>9</v>
      </c>
      <c r="I1803" s="56">
        <v>290</v>
      </c>
      <c r="J1803" s="59" t="s">
        <v>1181</v>
      </c>
      <c r="K1803" s="59">
        <v>1</v>
      </c>
      <c r="L1803" s="59">
        <f t="shared" si="28"/>
        <v>2610</v>
      </c>
      <c r="M1803" s="59"/>
    </row>
    <row r="1804" spans="1:14" ht="30">
      <c r="A1804" s="56">
        <v>387</v>
      </c>
      <c r="B1804" s="56">
        <v>387</v>
      </c>
      <c r="C1804" s="56">
        <v>387</v>
      </c>
      <c r="D1804" s="56" t="s">
        <v>1860</v>
      </c>
      <c r="F1804" s="56" t="s">
        <v>24</v>
      </c>
      <c r="G1804" s="56">
        <v>1</v>
      </c>
      <c r="H1804" s="56">
        <v>9</v>
      </c>
      <c r="I1804" s="56">
        <v>200</v>
      </c>
      <c r="J1804" s="59" t="s">
        <v>1181</v>
      </c>
      <c r="K1804" s="59">
        <v>1</v>
      </c>
      <c r="L1804" s="59">
        <f t="shared" si="28"/>
        <v>1800</v>
      </c>
      <c r="M1804" s="59"/>
    </row>
    <row r="1805" spans="1:14" ht="30">
      <c r="A1805" s="56">
        <v>392</v>
      </c>
      <c r="B1805" s="56">
        <v>392</v>
      </c>
      <c r="C1805" s="56">
        <v>392</v>
      </c>
      <c r="D1805" s="56" t="s">
        <v>1865</v>
      </c>
      <c r="F1805" s="56" t="s">
        <v>24</v>
      </c>
      <c r="G1805" s="56">
        <v>1</v>
      </c>
      <c r="H1805" s="56">
        <v>9</v>
      </c>
      <c r="I1805" s="56">
        <v>250</v>
      </c>
      <c r="J1805" s="59" t="s">
        <v>1181</v>
      </c>
      <c r="K1805" s="59">
        <v>1</v>
      </c>
      <c r="L1805" s="59">
        <f t="shared" si="28"/>
        <v>2250</v>
      </c>
      <c r="M1805" s="59"/>
    </row>
    <row r="1806" spans="1:14" ht="30">
      <c r="A1806" s="56">
        <v>481</v>
      </c>
      <c r="B1806" s="56">
        <v>481</v>
      </c>
      <c r="C1806" s="56">
        <v>481</v>
      </c>
      <c r="D1806" s="56" t="s">
        <v>1946</v>
      </c>
      <c r="F1806" s="56" t="s">
        <v>24</v>
      </c>
      <c r="G1806" s="56">
        <v>1</v>
      </c>
      <c r="H1806" s="56">
        <v>9</v>
      </c>
      <c r="I1806" s="56">
        <v>300</v>
      </c>
      <c r="J1806" s="59" t="s">
        <v>1181</v>
      </c>
      <c r="K1806" s="59">
        <v>1</v>
      </c>
      <c r="L1806" s="59">
        <f t="shared" si="28"/>
        <v>2700</v>
      </c>
      <c r="M1806" s="59"/>
    </row>
    <row r="1807" spans="1:14" ht="30">
      <c r="A1807" s="56">
        <v>573</v>
      </c>
      <c r="B1807" s="56">
        <v>573</v>
      </c>
      <c r="C1807" s="56">
        <v>573</v>
      </c>
      <c r="D1807" s="56" t="s">
        <v>2032</v>
      </c>
      <c r="F1807" s="56" t="s">
        <v>24</v>
      </c>
      <c r="G1807" s="56">
        <v>1</v>
      </c>
      <c r="H1807" s="56">
        <v>9</v>
      </c>
      <c r="I1807" s="56">
        <v>270</v>
      </c>
      <c r="J1807" s="59" t="s">
        <v>1181</v>
      </c>
      <c r="K1807" s="59">
        <v>1</v>
      </c>
      <c r="L1807" s="59">
        <f t="shared" si="28"/>
        <v>2430</v>
      </c>
      <c r="M1807" s="59"/>
    </row>
    <row r="1808" spans="1:14" ht="30">
      <c r="A1808" s="56">
        <v>582</v>
      </c>
      <c r="B1808" s="56">
        <v>582</v>
      </c>
      <c r="C1808" s="56">
        <v>582</v>
      </c>
      <c r="D1808" s="56" t="s">
        <v>1223</v>
      </c>
      <c r="F1808" s="58" t="s">
        <v>24</v>
      </c>
      <c r="G1808" s="58">
        <v>1</v>
      </c>
      <c r="H1808" s="58">
        <v>9</v>
      </c>
      <c r="I1808" s="56">
        <v>52</v>
      </c>
      <c r="J1808" s="59" t="s">
        <v>1181</v>
      </c>
      <c r="K1808" s="59">
        <v>1</v>
      </c>
      <c r="L1808" s="59">
        <f t="shared" si="28"/>
        <v>468</v>
      </c>
      <c r="M1808" s="59"/>
      <c r="N1808" s="58"/>
    </row>
    <row r="1809" spans="1:14" ht="30">
      <c r="A1809" s="56">
        <v>627</v>
      </c>
      <c r="B1809" s="56">
        <v>627</v>
      </c>
      <c r="C1809" s="56">
        <v>627</v>
      </c>
      <c r="D1809" s="56" t="s">
        <v>2071</v>
      </c>
      <c r="F1809" s="56" t="s">
        <v>24</v>
      </c>
      <c r="G1809" s="56">
        <v>1</v>
      </c>
      <c r="H1809" s="56">
        <v>9</v>
      </c>
      <c r="I1809" s="56">
        <v>150</v>
      </c>
      <c r="J1809" s="59" t="s">
        <v>1181</v>
      </c>
      <c r="K1809" s="59">
        <v>1</v>
      </c>
      <c r="L1809" s="59">
        <f t="shared" si="28"/>
        <v>1350</v>
      </c>
      <c r="M1809" s="59"/>
    </row>
    <row r="1810" spans="1:14" ht="30">
      <c r="A1810" s="56">
        <v>640</v>
      </c>
      <c r="B1810" s="56">
        <v>640</v>
      </c>
      <c r="C1810" s="56">
        <v>640</v>
      </c>
      <c r="D1810" s="56" t="s">
        <v>2084</v>
      </c>
      <c r="F1810" s="56" t="s">
        <v>24</v>
      </c>
      <c r="G1810" s="56">
        <v>1</v>
      </c>
      <c r="H1810" s="56">
        <v>9</v>
      </c>
      <c r="I1810" s="56">
        <v>900</v>
      </c>
      <c r="J1810" s="59" t="s">
        <v>1181</v>
      </c>
      <c r="K1810" s="59">
        <v>1</v>
      </c>
      <c r="L1810" s="59">
        <f t="shared" si="28"/>
        <v>8100</v>
      </c>
      <c r="M1810" s="59"/>
    </row>
    <row r="1811" spans="1:14" ht="30">
      <c r="A1811" s="56">
        <v>672</v>
      </c>
      <c r="B1811" s="56">
        <v>672</v>
      </c>
      <c r="C1811" s="56">
        <v>672</v>
      </c>
      <c r="D1811" s="56" t="s">
        <v>2116</v>
      </c>
      <c r="F1811" s="56" t="s">
        <v>24</v>
      </c>
      <c r="G1811" s="56">
        <v>1</v>
      </c>
      <c r="H1811" s="56">
        <v>9</v>
      </c>
      <c r="I1811" s="56">
        <v>2200</v>
      </c>
      <c r="J1811" s="59" t="s">
        <v>1181</v>
      </c>
      <c r="K1811" s="59">
        <v>1</v>
      </c>
      <c r="L1811" s="59">
        <f t="shared" si="28"/>
        <v>19800</v>
      </c>
      <c r="M1811" s="59"/>
    </row>
    <row r="1812" spans="1:14" ht="30">
      <c r="A1812" s="56">
        <v>772</v>
      </c>
      <c r="B1812" s="56">
        <v>772</v>
      </c>
      <c r="C1812" s="56">
        <v>772</v>
      </c>
      <c r="D1812" s="56" t="s">
        <v>2214</v>
      </c>
      <c r="F1812" s="56" t="s">
        <v>24</v>
      </c>
      <c r="G1812" s="56">
        <v>1</v>
      </c>
      <c r="H1812" s="56">
        <v>9</v>
      </c>
      <c r="I1812" s="56">
        <v>800</v>
      </c>
      <c r="J1812" s="59" t="s">
        <v>1181</v>
      </c>
      <c r="K1812" s="59">
        <v>1</v>
      </c>
      <c r="L1812" s="59">
        <f t="shared" si="28"/>
        <v>7200</v>
      </c>
      <c r="M1812" s="59"/>
    </row>
    <row r="1813" spans="1:14" ht="30">
      <c r="A1813" s="56">
        <v>797</v>
      </c>
      <c r="B1813" s="56">
        <v>797</v>
      </c>
      <c r="C1813" s="56">
        <v>797</v>
      </c>
      <c r="D1813" s="56" t="s">
        <v>1290</v>
      </c>
      <c r="F1813" s="58" t="s">
        <v>24</v>
      </c>
      <c r="G1813" s="58">
        <v>1</v>
      </c>
      <c r="H1813" s="58">
        <v>9</v>
      </c>
      <c r="I1813" s="56">
        <v>50</v>
      </c>
      <c r="J1813" s="59" t="s">
        <v>1181</v>
      </c>
      <c r="K1813" s="59">
        <v>1</v>
      </c>
      <c r="L1813" s="59">
        <f t="shared" si="28"/>
        <v>450</v>
      </c>
      <c r="M1813" s="59"/>
      <c r="N1813" s="58"/>
    </row>
    <row r="1814" spans="1:14" ht="30">
      <c r="A1814" s="56">
        <v>809</v>
      </c>
      <c r="B1814" s="56">
        <v>809</v>
      </c>
      <c r="C1814" s="56">
        <v>809</v>
      </c>
      <c r="D1814" s="56" t="s">
        <v>1298</v>
      </c>
      <c r="F1814" s="58" t="s">
        <v>24</v>
      </c>
      <c r="G1814" s="58">
        <v>1</v>
      </c>
      <c r="H1814" s="58">
        <v>9</v>
      </c>
      <c r="I1814" s="56">
        <v>66.7</v>
      </c>
      <c r="J1814" s="59" t="s">
        <v>1181</v>
      </c>
      <c r="K1814" s="59">
        <v>1</v>
      </c>
      <c r="L1814" s="59">
        <f t="shared" si="28"/>
        <v>600.30000000000007</v>
      </c>
      <c r="M1814" s="59"/>
      <c r="N1814" s="58"/>
    </row>
    <row r="1815" spans="1:14" ht="30">
      <c r="A1815" s="56">
        <v>836</v>
      </c>
      <c r="B1815" s="56">
        <v>836</v>
      </c>
      <c r="C1815" s="56">
        <v>836</v>
      </c>
      <c r="D1815" s="56" t="s">
        <v>1319</v>
      </c>
      <c r="F1815" s="58" t="s">
        <v>24</v>
      </c>
      <c r="G1815" s="58">
        <v>1</v>
      </c>
      <c r="H1815" s="58">
        <v>9</v>
      </c>
      <c r="I1815" s="56">
        <v>109</v>
      </c>
      <c r="J1815" s="59" t="s">
        <v>1181</v>
      </c>
      <c r="K1815" s="59">
        <v>1</v>
      </c>
      <c r="L1815" s="59">
        <f t="shared" si="28"/>
        <v>981</v>
      </c>
      <c r="M1815" s="59"/>
      <c r="N1815" s="58"/>
    </row>
    <row r="1816" spans="1:14" ht="30">
      <c r="A1816" s="56">
        <v>837</v>
      </c>
      <c r="B1816" s="56">
        <v>837</v>
      </c>
      <c r="C1816" s="56">
        <v>837</v>
      </c>
      <c r="D1816" s="56" t="s">
        <v>1320</v>
      </c>
      <c r="F1816" s="58" t="s">
        <v>24</v>
      </c>
      <c r="G1816" s="58">
        <v>1</v>
      </c>
      <c r="H1816" s="58">
        <v>9</v>
      </c>
      <c r="I1816" s="56">
        <v>116.7</v>
      </c>
      <c r="J1816" s="59" t="s">
        <v>1181</v>
      </c>
      <c r="K1816" s="59">
        <v>1</v>
      </c>
      <c r="L1816" s="59">
        <f t="shared" si="28"/>
        <v>1050.3</v>
      </c>
      <c r="M1816" s="59"/>
      <c r="N1816" s="58"/>
    </row>
    <row r="1817" spans="1:14" ht="30">
      <c r="A1817" s="56">
        <v>844</v>
      </c>
      <c r="B1817" s="56">
        <v>844</v>
      </c>
      <c r="C1817" s="56">
        <v>844</v>
      </c>
      <c r="D1817" s="56" t="s">
        <v>1326</v>
      </c>
      <c r="F1817" s="58" t="s">
        <v>24</v>
      </c>
      <c r="G1817" s="58">
        <v>1</v>
      </c>
      <c r="H1817" s="58">
        <v>9</v>
      </c>
      <c r="I1817" s="56">
        <v>600</v>
      </c>
      <c r="J1817" s="59" t="s">
        <v>1181</v>
      </c>
      <c r="K1817" s="59">
        <v>1</v>
      </c>
      <c r="L1817" s="59">
        <f t="shared" si="28"/>
        <v>5400</v>
      </c>
      <c r="M1817" s="59"/>
      <c r="N1817" s="58"/>
    </row>
    <row r="1818" spans="1:14" ht="30">
      <c r="A1818" s="56">
        <v>861</v>
      </c>
      <c r="B1818" s="56">
        <v>861</v>
      </c>
      <c r="C1818" s="56">
        <v>861</v>
      </c>
      <c r="D1818" s="56" t="s">
        <v>1341</v>
      </c>
      <c r="F1818" s="58" t="s">
        <v>24</v>
      </c>
      <c r="G1818" s="58">
        <v>1</v>
      </c>
      <c r="H1818" s="58">
        <v>9</v>
      </c>
      <c r="I1818" s="56">
        <v>600</v>
      </c>
      <c r="J1818" s="59" t="s">
        <v>1181</v>
      </c>
      <c r="K1818" s="59">
        <v>1</v>
      </c>
      <c r="L1818" s="59">
        <f t="shared" si="28"/>
        <v>5400</v>
      </c>
      <c r="M1818" s="59"/>
      <c r="N1818" s="58"/>
    </row>
    <row r="1819" spans="1:14" ht="30">
      <c r="A1819" s="56">
        <v>889</v>
      </c>
      <c r="B1819" s="56">
        <v>889</v>
      </c>
      <c r="C1819" s="56">
        <v>889</v>
      </c>
      <c r="D1819" s="56" t="s">
        <v>2232</v>
      </c>
      <c r="F1819" s="56" t="s">
        <v>24</v>
      </c>
      <c r="G1819" s="56">
        <v>1</v>
      </c>
      <c r="H1819" s="56">
        <v>9</v>
      </c>
      <c r="I1819" s="56">
        <v>130</v>
      </c>
      <c r="J1819" s="59" t="s">
        <v>1181</v>
      </c>
      <c r="K1819" s="59">
        <v>1</v>
      </c>
      <c r="L1819" s="59">
        <f t="shared" si="28"/>
        <v>1170</v>
      </c>
      <c r="M1819" s="59"/>
    </row>
    <row r="1820" spans="1:14" ht="30">
      <c r="A1820" s="56">
        <v>896</v>
      </c>
      <c r="B1820" s="56">
        <v>896</v>
      </c>
      <c r="C1820" s="56">
        <v>896</v>
      </c>
      <c r="D1820" s="56" t="s">
        <v>2239</v>
      </c>
      <c r="F1820" s="56" t="s">
        <v>24</v>
      </c>
      <c r="G1820" s="56">
        <v>1</v>
      </c>
      <c r="H1820" s="56">
        <v>9</v>
      </c>
      <c r="I1820" s="56">
        <v>100</v>
      </c>
      <c r="J1820" s="59" t="s">
        <v>1181</v>
      </c>
      <c r="K1820" s="59">
        <v>1</v>
      </c>
      <c r="L1820" s="59">
        <f t="shared" si="28"/>
        <v>900</v>
      </c>
      <c r="M1820" s="59"/>
    </row>
    <row r="1821" spans="1:14" ht="30">
      <c r="A1821" s="56">
        <v>897</v>
      </c>
      <c r="B1821" s="56">
        <v>897</v>
      </c>
      <c r="C1821" s="56">
        <v>897</v>
      </c>
      <c r="D1821" s="56" t="s">
        <v>2240</v>
      </c>
      <c r="F1821" s="56" t="s">
        <v>24</v>
      </c>
      <c r="G1821" s="56">
        <v>1</v>
      </c>
      <c r="H1821" s="56">
        <v>9</v>
      </c>
      <c r="I1821" s="56">
        <v>230</v>
      </c>
      <c r="J1821" s="59" t="s">
        <v>1181</v>
      </c>
      <c r="K1821" s="59">
        <v>1</v>
      </c>
      <c r="L1821" s="59">
        <f t="shared" si="28"/>
        <v>2070</v>
      </c>
      <c r="M1821" s="59"/>
    </row>
    <row r="1822" spans="1:14" ht="30">
      <c r="A1822" s="56">
        <v>898</v>
      </c>
      <c r="B1822" s="56">
        <v>898</v>
      </c>
      <c r="C1822" s="56">
        <v>898</v>
      </c>
      <c r="D1822" s="56" t="s">
        <v>2241</v>
      </c>
      <c r="F1822" s="56" t="s">
        <v>24</v>
      </c>
      <c r="G1822" s="56">
        <v>1</v>
      </c>
      <c r="H1822" s="56">
        <v>9</v>
      </c>
      <c r="I1822" s="56">
        <v>200</v>
      </c>
      <c r="J1822" s="59" t="s">
        <v>1181</v>
      </c>
      <c r="K1822" s="59">
        <v>1</v>
      </c>
      <c r="L1822" s="59">
        <f t="shared" si="28"/>
        <v>1800</v>
      </c>
      <c r="M1822" s="59"/>
    </row>
    <row r="1823" spans="1:14" ht="30">
      <c r="A1823" s="56">
        <v>903</v>
      </c>
      <c r="B1823" s="56">
        <v>903</v>
      </c>
      <c r="C1823" s="56">
        <v>903</v>
      </c>
      <c r="D1823" s="56" t="s">
        <v>2246</v>
      </c>
      <c r="F1823" s="56" t="s">
        <v>24</v>
      </c>
      <c r="G1823" s="56">
        <v>1</v>
      </c>
      <c r="H1823" s="56">
        <v>9</v>
      </c>
      <c r="I1823" s="56">
        <v>100</v>
      </c>
      <c r="J1823" s="59" t="s">
        <v>1181</v>
      </c>
      <c r="K1823" s="59">
        <v>1</v>
      </c>
      <c r="L1823" s="59">
        <f t="shared" si="28"/>
        <v>900</v>
      </c>
      <c r="M1823" s="59"/>
    </row>
    <row r="1824" spans="1:14" ht="30">
      <c r="A1824" s="56">
        <v>906</v>
      </c>
      <c r="B1824" s="56">
        <v>906</v>
      </c>
      <c r="C1824" s="56">
        <v>906</v>
      </c>
      <c r="D1824" s="56" t="s">
        <v>2249</v>
      </c>
      <c r="F1824" s="56" t="s">
        <v>24</v>
      </c>
      <c r="G1824" s="56">
        <v>1</v>
      </c>
      <c r="H1824" s="56">
        <v>9</v>
      </c>
      <c r="I1824" s="56">
        <v>100</v>
      </c>
      <c r="J1824" s="59" t="s">
        <v>1181</v>
      </c>
      <c r="K1824" s="59">
        <v>1</v>
      </c>
      <c r="L1824" s="59">
        <f t="shared" si="28"/>
        <v>900</v>
      </c>
      <c r="M1824" s="59"/>
    </row>
    <row r="1825" spans="1:14" ht="30">
      <c r="A1825" s="56">
        <v>908</v>
      </c>
      <c r="B1825" s="56">
        <v>908</v>
      </c>
      <c r="C1825" s="56">
        <v>908</v>
      </c>
      <c r="D1825" s="56" t="s">
        <v>2251</v>
      </c>
      <c r="F1825" s="56" t="s">
        <v>24</v>
      </c>
      <c r="G1825" s="56">
        <v>1</v>
      </c>
      <c r="H1825" s="56">
        <v>9</v>
      </c>
      <c r="I1825" s="56">
        <v>100</v>
      </c>
      <c r="J1825" s="59" t="s">
        <v>1181</v>
      </c>
      <c r="K1825" s="59">
        <v>1</v>
      </c>
      <c r="L1825" s="59">
        <f t="shared" si="28"/>
        <v>900</v>
      </c>
      <c r="M1825" s="59"/>
    </row>
    <row r="1826" spans="1:14" ht="30">
      <c r="A1826" s="56">
        <v>918</v>
      </c>
      <c r="B1826" s="56">
        <v>918</v>
      </c>
      <c r="C1826" s="56">
        <v>918</v>
      </c>
      <c r="D1826" s="56" t="s">
        <v>1364</v>
      </c>
      <c r="F1826" s="58" t="s">
        <v>24</v>
      </c>
      <c r="G1826" s="58">
        <v>1</v>
      </c>
      <c r="H1826" s="58">
        <v>9</v>
      </c>
      <c r="I1826" s="56">
        <v>62.5</v>
      </c>
      <c r="J1826" s="59" t="s">
        <v>1181</v>
      </c>
      <c r="K1826" s="59">
        <v>1</v>
      </c>
      <c r="L1826" s="59">
        <f t="shared" si="28"/>
        <v>562.5</v>
      </c>
      <c r="M1826" s="59"/>
      <c r="N1826" s="58"/>
    </row>
    <row r="1827" spans="1:14" ht="30">
      <c r="A1827" s="56">
        <v>929</v>
      </c>
      <c r="B1827" s="56">
        <v>929</v>
      </c>
      <c r="C1827" s="56">
        <v>929</v>
      </c>
      <c r="D1827" s="56" t="s">
        <v>2256</v>
      </c>
      <c r="F1827" s="56" t="s">
        <v>24</v>
      </c>
      <c r="G1827" s="56">
        <v>1</v>
      </c>
      <c r="H1827" s="56">
        <v>9</v>
      </c>
      <c r="I1827" s="56">
        <v>58.330000000000005</v>
      </c>
      <c r="J1827" s="59" t="s">
        <v>1181</v>
      </c>
      <c r="K1827" s="59">
        <v>1</v>
      </c>
      <c r="L1827" s="59">
        <f t="shared" si="28"/>
        <v>524.97</v>
      </c>
      <c r="M1827" s="59"/>
    </row>
    <row r="1828" spans="1:14" ht="30">
      <c r="A1828" s="56">
        <v>930</v>
      </c>
      <c r="B1828" s="56">
        <v>930</v>
      </c>
      <c r="C1828" s="56">
        <v>930</v>
      </c>
      <c r="D1828" s="56" t="s">
        <v>2257</v>
      </c>
      <c r="F1828" s="56" t="s">
        <v>24</v>
      </c>
      <c r="G1828" s="56">
        <v>1</v>
      </c>
      <c r="H1828" s="56">
        <v>9</v>
      </c>
      <c r="I1828" s="56">
        <v>65</v>
      </c>
      <c r="J1828" s="59" t="s">
        <v>1181</v>
      </c>
      <c r="K1828" s="59">
        <v>1</v>
      </c>
      <c r="L1828" s="59">
        <f t="shared" si="28"/>
        <v>585</v>
      </c>
      <c r="M1828" s="59"/>
    </row>
    <row r="1829" spans="1:14" ht="30">
      <c r="A1829" s="56">
        <v>949</v>
      </c>
      <c r="B1829" s="56">
        <v>949</v>
      </c>
      <c r="C1829" s="56">
        <v>949</v>
      </c>
      <c r="D1829" s="56" t="s">
        <v>2265</v>
      </c>
      <c r="F1829" s="56" t="s">
        <v>24</v>
      </c>
      <c r="G1829" s="56">
        <v>1</v>
      </c>
      <c r="H1829" s="56">
        <v>9</v>
      </c>
      <c r="I1829" s="56">
        <v>221</v>
      </c>
      <c r="J1829" s="59" t="s">
        <v>1181</v>
      </c>
      <c r="K1829" s="59">
        <v>1</v>
      </c>
      <c r="L1829" s="59">
        <f t="shared" si="28"/>
        <v>1989</v>
      </c>
      <c r="M1829" s="59"/>
    </row>
    <row r="1830" spans="1:14" ht="30">
      <c r="A1830" s="56">
        <v>958</v>
      </c>
      <c r="B1830" s="56">
        <v>958</v>
      </c>
      <c r="C1830" s="56">
        <v>958</v>
      </c>
      <c r="D1830" s="56" t="s">
        <v>1251</v>
      </c>
      <c r="F1830" s="58" t="s">
        <v>24</v>
      </c>
      <c r="G1830" s="58">
        <v>1</v>
      </c>
      <c r="H1830" s="58">
        <v>9</v>
      </c>
      <c r="I1830" s="56">
        <v>35</v>
      </c>
      <c r="J1830" s="59" t="s">
        <v>1181</v>
      </c>
      <c r="K1830" s="59">
        <v>1</v>
      </c>
      <c r="L1830" s="59">
        <f t="shared" si="28"/>
        <v>315</v>
      </c>
      <c r="M1830" s="59"/>
      <c r="N1830" s="58"/>
    </row>
    <row r="1831" spans="1:14" ht="30">
      <c r="A1831" s="56">
        <v>968</v>
      </c>
      <c r="B1831" s="56">
        <v>968</v>
      </c>
      <c r="C1831" s="56">
        <v>968</v>
      </c>
      <c r="D1831" s="56" t="s">
        <v>1389</v>
      </c>
      <c r="F1831" s="58" t="s">
        <v>24</v>
      </c>
      <c r="G1831" s="58">
        <v>1</v>
      </c>
      <c r="H1831" s="58">
        <v>9</v>
      </c>
      <c r="I1831" s="56">
        <v>800</v>
      </c>
      <c r="J1831" s="59" t="s">
        <v>1181</v>
      </c>
      <c r="K1831" s="59">
        <v>1</v>
      </c>
      <c r="L1831" s="59">
        <f t="shared" si="28"/>
        <v>7200</v>
      </c>
      <c r="M1831" s="59"/>
      <c r="N1831" s="58"/>
    </row>
    <row r="1832" spans="1:14" ht="30">
      <c r="A1832" s="56">
        <v>1079</v>
      </c>
      <c r="B1832" s="56">
        <v>1079</v>
      </c>
      <c r="C1832" s="56">
        <v>1079</v>
      </c>
      <c r="D1832" s="56" t="s">
        <v>2354</v>
      </c>
      <c r="F1832" s="56" t="s">
        <v>24</v>
      </c>
      <c r="G1832" s="56">
        <v>1</v>
      </c>
      <c r="H1832" s="56">
        <v>9</v>
      </c>
      <c r="I1832" s="56">
        <v>200</v>
      </c>
      <c r="J1832" s="59" t="s">
        <v>1181</v>
      </c>
      <c r="K1832" s="59">
        <v>1</v>
      </c>
      <c r="L1832" s="59">
        <f t="shared" si="28"/>
        <v>1800</v>
      </c>
      <c r="M1832" s="59"/>
    </row>
    <row r="1833" spans="1:14" ht="30">
      <c r="A1833" s="56">
        <v>1141</v>
      </c>
      <c r="B1833" s="56">
        <v>1141</v>
      </c>
      <c r="C1833" s="56">
        <v>1141</v>
      </c>
      <c r="D1833" s="56" t="s">
        <v>2405</v>
      </c>
      <c r="F1833" s="56" t="s">
        <v>24</v>
      </c>
      <c r="G1833" s="56">
        <v>1</v>
      </c>
      <c r="H1833" s="56">
        <v>9</v>
      </c>
      <c r="I1833" s="56">
        <v>750</v>
      </c>
      <c r="J1833" s="59" t="s">
        <v>1181</v>
      </c>
      <c r="K1833" s="59">
        <v>1</v>
      </c>
      <c r="L1833" s="59">
        <f t="shared" si="28"/>
        <v>6750</v>
      </c>
      <c r="M1833" s="59"/>
    </row>
    <row r="1834" spans="1:14" ht="30">
      <c r="A1834" s="56">
        <v>1158</v>
      </c>
      <c r="B1834" s="56">
        <v>1158</v>
      </c>
      <c r="C1834" s="56">
        <v>1158</v>
      </c>
      <c r="D1834" s="56" t="s">
        <v>2419</v>
      </c>
      <c r="F1834" s="56" t="s">
        <v>24</v>
      </c>
      <c r="G1834" s="56">
        <v>1</v>
      </c>
      <c r="H1834" s="56">
        <v>9</v>
      </c>
      <c r="I1834" s="56">
        <v>800</v>
      </c>
      <c r="J1834" s="59" t="s">
        <v>1181</v>
      </c>
      <c r="K1834" s="59">
        <v>1</v>
      </c>
      <c r="L1834" s="59">
        <f t="shared" si="28"/>
        <v>7200</v>
      </c>
      <c r="M1834" s="59"/>
    </row>
    <row r="1835" spans="1:14" ht="30">
      <c r="A1835" s="56">
        <v>1174</v>
      </c>
      <c r="B1835" s="56">
        <v>1174</v>
      </c>
      <c r="C1835" s="56">
        <v>1174</v>
      </c>
      <c r="D1835" s="56" t="s">
        <v>1418</v>
      </c>
      <c r="F1835" s="58" t="s">
        <v>24</v>
      </c>
      <c r="G1835" s="58">
        <v>1</v>
      </c>
      <c r="H1835" s="58">
        <v>9</v>
      </c>
      <c r="I1835" s="56">
        <v>66.666666666666671</v>
      </c>
      <c r="J1835" s="59" t="s">
        <v>1181</v>
      </c>
      <c r="K1835" s="59">
        <v>1</v>
      </c>
      <c r="L1835" s="59">
        <f t="shared" si="28"/>
        <v>600</v>
      </c>
      <c r="M1835" s="59"/>
      <c r="N1835" s="58"/>
    </row>
    <row r="1836" spans="1:14" ht="30">
      <c r="A1836" s="56">
        <v>1175</v>
      </c>
      <c r="B1836" s="56">
        <v>1175</v>
      </c>
      <c r="C1836" s="56">
        <v>1175</v>
      </c>
      <c r="D1836" s="56" t="s">
        <v>1510</v>
      </c>
      <c r="F1836" s="58" t="s">
        <v>24</v>
      </c>
      <c r="G1836" s="58">
        <v>1</v>
      </c>
      <c r="H1836" s="58">
        <v>9</v>
      </c>
      <c r="I1836" s="56">
        <v>85</v>
      </c>
      <c r="J1836" s="59" t="s">
        <v>1181</v>
      </c>
      <c r="K1836" s="59">
        <v>1</v>
      </c>
      <c r="L1836" s="59">
        <f t="shared" si="28"/>
        <v>765</v>
      </c>
      <c r="M1836" s="59"/>
      <c r="N1836" s="58"/>
    </row>
    <row r="1837" spans="1:14" ht="30">
      <c r="A1837" s="56">
        <v>1206</v>
      </c>
      <c r="B1837" s="56">
        <v>1206</v>
      </c>
      <c r="C1837" s="56">
        <v>1206</v>
      </c>
      <c r="D1837" s="56" t="s">
        <v>2454</v>
      </c>
      <c r="F1837" s="56" t="s">
        <v>24</v>
      </c>
      <c r="G1837" s="56">
        <v>1</v>
      </c>
      <c r="H1837" s="56">
        <v>9</v>
      </c>
      <c r="I1837" s="56">
        <v>150</v>
      </c>
      <c r="J1837" s="59" t="s">
        <v>1181</v>
      </c>
      <c r="K1837" s="59">
        <v>1</v>
      </c>
      <c r="L1837" s="59">
        <f t="shared" si="28"/>
        <v>1350</v>
      </c>
      <c r="M1837" s="59"/>
    </row>
    <row r="1838" spans="1:14" ht="30">
      <c r="A1838" s="56">
        <v>1229</v>
      </c>
      <c r="B1838" s="56">
        <v>1229</v>
      </c>
      <c r="C1838" s="56">
        <v>1229</v>
      </c>
      <c r="D1838" s="56" t="s">
        <v>1426</v>
      </c>
      <c r="F1838" s="58" t="s">
        <v>1190</v>
      </c>
      <c r="G1838" s="58">
        <v>1</v>
      </c>
      <c r="H1838" s="58">
        <v>9</v>
      </c>
      <c r="I1838" s="56">
        <v>105</v>
      </c>
      <c r="J1838" s="59" t="s">
        <v>1181</v>
      </c>
      <c r="K1838" s="59">
        <v>1</v>
      </c>
      <c r="L1838" s="59">
        <f t="shared" si="28"/>
        <v>945</v>
      </c>
      <c r="M1838" s="59"/>
      <c r="N1838" s="58"/>
    </row>
    <row r="1839" spans="1:14" ht="30">
      <c r="A1839" s="56">
        <v>1237</v>
      </c>
      <c r="B1839" s="56">
        <v>1237</v>
      </c>
      <c r="C1839" s="56">
        <v>1237</v>
      </c>
      <c r="D1839" s="56" t="s">
        <v>2475</v>
      </c>
      <c r="F1839" s="56" t="s">
        <v>24</v>
      </c>
      <c r="G1839" s="56">
        <v>1</v>
      </c>
      <c r="H1839" s="56">
        <v>9</v>
      </c>
      <c r="I1839" s="56">
        <v>234</v>
      </c>
      <c r="J1839" s="59" t="s">
        <v>1181</v>
      </c>
      <c r="K1839" s="59">
        <v>1</v>
      </c>
      <c r="L1839" s="59">
        <f t="shared" si="28"/>
        <v>2106</v>
      </c>
      <c r="M1839" s="59"/>
    </row>
    <row r="1840" spans="1:14" ht="30">
      <c r="A1840" s="56">
        <v>1278</v>
      </c>
      <c r="B1840" s="56">
        <v>1278</v>
      </c>
      <c r="C1840" s="56">
        <v>1278</v>
      </c>
      <c r="D1840" s="56" t="s">
        <v>2503</v>
      </c>
      <c r="F1840" s="56" t="s">
        <v>24</v>
      </c>
      <c r="G1840" s="56">
        <v>1</v>
      </c>
      <c r="H1840" s="56">
        <v>9</v>
      </c>
      <c r="I1840" s="56">
        <v>900</v>
      </c>
      <c r="J1840" s="59" t="s">
        <v>1181</v>
      </c>
      <c r="K1840" s="59">
        <v>1</v>
      </c>
      <c r="L1840" s="59">
        <f t="shared" si="28"/>
        <v>8100</v>
      </c>
      <c r="M1840" s="59"/>
    </row>
    <row r="1841" spans="1:13" ht="30">
      <c r="A1841" s="56">
        <v>1303</v>
      </c>
      <c r="B1841" s="56">
        <v>1303</v>
      </c>
      <c r="C1841" s="56">
        <v>1303</v>
      </c>
      <c r="D1841" s="56" t="s">
        <v>2527</v>
      </c>
      <c r="F1841" s="56" t="s">
        <v>24</v>
      </c>
      <c r="G1841" s="56">
        <v>1</v>
      </c>
      <c r="H1841" s="56">
        <v>9</v>
      </c>
      <c r="I1841" s="56">
        <v>250</v>
      </c>
      <c r="J1841" s="59" t="s">
        <v>1181</v>
      </c>
      <c r="K1841" s="59">
        <v>1</v>
      </c>
      <c r="L1841" s="59">
        <f t="shared" si="28"/>
        <v>2250</v>
      </c>
      <c r="M1841" s="59"/>
    </row>
    <row r="1842" spans="1:13" ht="30">
      <c r="A1842" s="56">
        <v>1304</v>
      </c>
      <c r="B1842" s="56">
        <v>1304</v>
      </c>
      <c r="C1842" s="56">
        <v>1304</v>
      </c>
      <c r="D1842" s="56" t="s">
        <v>2528</v>
      </c>
      <c r="F1842" s="56" t="s">
        <v>24</v>
      </c>
      <c r="G1842" s="56">
        <v>1</v>
      </c>
      <c r="H1842" s="56">
        <v>9</v>
      </c>
      <c r="I1842" s="56">
        <v>200</v>
      </c>
      <c r="J1842" s="59" t="s">
        <v>1181</v>
      </c>
      <c r="K1842" s="59">
        <v>1</v>
      </c>
      <c r="L1842" s="59">
        <f t="shared" si="28"/>
        <v>1800</v>
      </c>
      <c r="M1842" s="59"/>
    </row>
    <row r="1843" spans="1:13" ht="30">
      <c r="A1843" s="56">
        <v>1328</v>
      </c>
      <c r="B1843" s="56">
        <v>1328</v>
      </c>
      <c r="C1843" s="56">
        <v>1328</v>
      </c>
      <c r="D1843" s="56" t="s">
        <v>2551</v>
      </c>
      <c r="F1843" s="56" t="s">
        <v>24</v>
      </c>
      <c r="G1843" s="56">
        <v>1</v>
      </c>
      <c r="H1843" s="56">
        <v>9</v>
      </c>
      <c r="I1843" s="56">
        <v>200</v>
      </c>
      <c r="J1843" s="59" t="s">
        <v>1181</v>
      </c>
      <c r="K1843" s="59">
        <v>1</v>
      </c>
      <c r="L1843" s="59">
        <f t="shared" si="28"/>
        <v>1800</v>
      </c>
      <c r="M1843" s="59"/>
    </row>
    <row r="1844" spans="1:13" ht="30">
      <c r="A1844" s="56">
        <v>1343</v>
      </c>
      <c r="B1844" s="56">
        <v>1343</v>
      </c>
      <c r="C1844" s="56">
        <v>1343</v>
      </c>
      <c r="D1844" s="56" t="s">
        <v>2566</v>
      </c>
      <c r="F1844" s="56" t="s">
        <v>24</v>
      </c>
      <c r="G1844" s="56">
        <v>1</v>
      </c>
      <c r="H1844" s="56">
        <v>9</v>
      </c>
      <c r="I1844" s="56">
        <v>200</v>
      </c>
      <c r="J1844" s="59" t="s">
        <v>1181</v>
      </c>
      <c r="K1844" s="59">
        <v>1</v>
      </c>
      <c r="L1844" s="59">
        <f t="shared" si="28"/>
        <v>1800</v>
      </c>
      <c r="M1844" s="59"/>
    </row>
    <row r="1845" spans="1:13" ht="30">
      <c r="A1845" s="56">
        <v>1376</v>
      </c>
      <c r="B1845" s="56">
        <v>1376</v>
      </c>
      <c r="C1845" s="56">
        <v>1376</v>
      </c>
      <c r="D1845" s="56" t="s">
        <v>2590</v>
      </c>
      <c r="F1845" s="56" t="s">
        <v>24</v>
      </c>
      <c r="G1845" s="56">
        <v>1</v>
      </c>
      <c r="H1845" s="56">
        <v>9</v>
      </c>
      <c r="I1845" s="56">
        <v>230</v>
      </c>
      <c r="J1845" s="59" t="s">
        <v>1181</v>
      </c>
      <c r="K1845" s="59">
        <v>1</v>
      </c>
      <c r="L1845" s="59">
        <f t="shared" si="28"/>
        <v>2070</v>
      </c>
      <c r="M1845" s="59"/>
    </row>
    <row r="1846" spans="1:13" ht="30">
      <c r="A1846" s="56">
        <v>1378</v>
      </c>
      <c r="B1846" s="56">
        <v>1378</v>
      </c>
      <c r="C1846" s="56">
        <v>1378</v>
      </c>
      <c r="D1846" s="56" t="s">
        <v>2592</v>
      </c>
      <c r="F1846" s="56" t="s">
        <v>24</v>
      </c>
      <c r="G1846" s="56">
        <v>1</v>
      </c>
      <c r="H1846" s="56">
        <v>9</v>
      </c>
      <c r="I1846" s="56">
        <v>200</v>
      </c>
      <c r="J1846" s="59" t="s">
        <v>1181</v>
      </c>
      <c r="K1846" s="59">
        <v>1</v>
      </c>
      <c r="L1846" s="59">
        <f t="shared" si="28"/>
        <v>1800</v>
      </c>
      <c r="M1846" s="59"/>
    </row>
    <row r="1847" spans="1:13" ht="30">
      <c r="A1847" s="56">
        <v>1452</v>
      </c>
      <c r="B1847" s="56">
        <v>1452</v>
      </c>
      <c r="C1847" s="56">
        <v>1452</v>
      </c>
      <c r="D1847" s="56" t="s">
        <v>2648</v>
      </c>
      <c r="F1847" s="56" t="s">
        <v>24</v>
      </c>
      <c r="G1847" s="56">
        <v>1</v>
      </c>
      <c r="H1847" s="56">
        <v>9</v>
      </c>
      <c r="I1847" s="56">
        <v>450</v>
      </c>
      <c r="J1847" s="59" t="s">
        <v>1181</v>
      </c>
      <c r="K1847" s="59">
        <v>1</v>
      </c>
      <c r="L1847" s="59">
        <f t="shared" si="28"/>
        <v>4050</v>
      </c>
      <c r="M1847" s="59"/>
    </row>
    <row r="1848" spans="1:13" ht="30">
      <c r="A1848" s="56">
        <v>1467</v>
      </c>
      <c r="B1848" s="56">
        <v>1467</v>
      </c>
      <c r="C1848" s="56">
        <v>1467</v>
      </c>
      <c r="D1848" s="56" t="s">
        <v>2662</v>
      </c>
      <c r="F1848" s="56" t="s">
        <v>24</v>
      </c>
      <c r="G1848" s="56">
        <v>1</v>
      </c>
      <c r="H1848" s="56">
        <v>9</v>
      </c>
      <c r="I1848" s="56">
        <v>57</v>
      </c>
      <c r="J1848" s="59" t="s">
        <v>1181</v>
      </c>
      <c r="K1848" s="59">
        <v>1</v>
      </c>
      <c r="L1848" s="59">
        <f t="shared" si="28"/>
        <v>513</v>
      </c>
      <c r="M1848" s="59"/>
    </row>
    <row r="1849" spans="1:13" ht="30">
      <c r="A1849" s="56">
        <v>1492</v>
      </c>
      <c r="B1849" s="56">
        <v>1492</v>
      </c>
      <c r="C1849" s="56">
        <v>1492</v>
      </c>
      <c r="D1849" s="56" t="s">
        <v>2684</v>
      </c>
      <c r="F1849" s="56" t="s">
        <v>24</v>
      </c>
      <c r="G1849" s="56">
        <v>1</v>
      </c>
      <c r="H1849" s="56">
        <v>9</v>
      </c>
      <c r="I1849" s="56">
        <v>450</v>
      </c>
      <c r="J1849" s="59" t="s">
        <v>1181</v>
      </c>
      <c r="K1849" s="59">
        <v>1</v>
      </c>
      <c r="L1849" s="59">
        <f t="shared" si="28"/>
        <v>4050</v>
      </c>
      <c r="M1849" s="59"/>
    </row>
    <row r="1850" spans="1:13" ht="30">
      <c r="A1850" s="56">
        <v>1590</v>
      </c>
      <c r="B1850" s="56">
        <v>1590</v>
      </c>
      <c r="C1850" s="56">
        <v>1590</v>
      </c>
      <c r="D1850" s="56" t="s">
        <v>2776</v>
      </c>
      <c r="F1850" s="56" t="s">
        <v>24</v>
      </c>
      <c r="G1850" s="56">
        <v>1</v>
      </c>
      <c r="H1850" s="56">
        <v>9</v>
      </c>
      <c r="I1850" s="56">
        <v>35</v>
      </c>
      <c r="J1850" s="59" t="s">
        <v>1181</v>
      </c>
      <c r="K1850" s="59">
        <v>1</v>
      </c>
      <c r="L1850" s="59">
        <f t="shared" si="28"/>
        <v>315</v>
      </c>
      <c r="M1850" s="59"/>
    </row>
    <row r="1851" spans="1:13" ht="30">
      <c r="A1851" s="56">
        <v>1702</v>
      </c>
      <c r="B1851" s="56">
        <v>1702</v>
      </c>
      <c r="C1851" s="56">
        <v>1702</v>
      </c>
      <c r="D1851" s="56" t="s">
        <v>2856</v>
      </c>
      <c r="F1851" s="56" t="s">
        <v>24</v>
      </c>
      <c r="G1851" s="56">
        <v>1</v>
      </c>
      <c r="H1851" s="56">
        <v>9</v>
      </c>
      <c r="I1851" s="56">
        <v>350</v>
      </c>
      <c r="J1851" s="59" t="s">
        <v>1181</v>
      </c>
      <c r="K1851" s="59">
        <v>1</v>
      </c>
      <c r="L1851" s="59">
        <f t="shared" si="28"/>
        <v>3150</v>
      </c>
      <c r="M1851" s="59"/>
    </row>
    <row r="1852" spans="1:13" ht="30">
      <c r="A1852" s="56">
        <v>1703</v>
      </c>
      <c r="B1852" s="56">
        <v>1703</v>
      </c>
      <c r="C1852" s="56">
        <v>1703</v>
      </c>
      <c r="D1852" s="56" t="s">
        <v>2857</v>
      </c>
      <c r="F1852" s="56" t="s">
        <v>24</v>
      </c>
      <c r="G1852" s="56">
        <v>1</v>
      </c>
      <c r="H1852" s="56">
        <v>9</v>
      </c>
      <c r="I1852" s="56">
        <v>315</v>
      </c>
      <c r="J1852" s="59" t="s">
        <v>1181</v>
      </c>
      <c r="K1852" s="59">
        <v>1</v>
      </c>
      <c r="L1852" s="59">
        <f t="shared" si="28"/>
        <v>2835</v>
      </c>
      <c r="M1852" s="59"/>
    </row>
    <row r="1853" spans="1:13" ht="30">
      <c r="A1853" s="56">
        <v>1718</v>
      </c>
      <c r="B1853" s="56">
        <v>1718</v>
      </c>
      <c r="C1853" s="56">
        <v>1718</v>
      </c>
      <c r="D1853" s="56" t="s">
        <v>2870</v>
      </c>
      <c r="F1853" s="56" t="s">
        <v>24</v>
      </c>
      <c r="G1853" s="56">
        <v>1</v>
      </c>
      <c r="H1853" s="56">
        <v>9</v>
      </c>
      <c r="I1853" s="56">
        <v>156</v>
      </c>
      <c r="J1853" s="59" t="s">
        <v>1181</v>
      </c>
      <c r="K1853" s="59">
        <v>1</v>
      </c>
      <c r="L1853" s="59">
        <f t="shared" si="28"/>
        <v>1404</v>
      </c>
      <c r="M1853" s="59"/>
    </row>
    <row r="1854" spans="1:13" ht="30">
      <c r="A1854" s="56">
        <v>1734</v>
      </c>
      <c r="B1854" s="56">
        <v>1734</v>
      </c>
      <c r="C1854" s="56">
        <v>1734</v>
      </c>
      <c r="D1854" s="56" t="s">
        <v>2884</v>
      </c>
      <c r="F1854" s="56" t="s">
        <v>24</v>
      </c>
      <c r="G1854" s="56">
        <v>1</v>
      </c>
      <c r="H1854" s="56">
        <v>9</v>
      </c>
      <c r="I1854" s="56">
        <v>650</v>
      </c>
      <c r="J1854" s="59" t="s">
        <v>1181</v>
      </c>
      <c r="K1854" s="59">
        <v>1</v>
      </c>
      <c r="L1854" s="59">
        <f t="shared" si="28"/>
        <v>5850</v>
      </c>
      <c r="M1854" s="59"/>
    </row>
    <row r="1855" spans="1:13" ht="30">
      <c r="A1855" s="56">
        <v>1832</v>
      </c>
      <c r="B1855" s="56">
        <v>1832</v>
      </c>
      <c r="C1855" s="56">
        <v>1832</v>
      </c>
      <c r="D1855" s="56" t="s">
        <v>2965</v>
      </c>
      <c r="F1855" s="56" t="s">
        <v>24</v>
      </c>
      <c r="G1855" s="56">
        <v>1</v>
      </c>
      <c r="H1855" s="56">
        <v>9</v>
      </c>
      <c r="I1855" s="56">
        <v>1000</v>
      </c>
      <c r="J1855" s="59" t="s">
        <v>1181</v>
      </c>
      <c r="K1855" s="59">
        <v>1</v>
      </c>
      <c r="L1855" s="59">
        <f t="shared" si="28"/>
        <v>9000</v>
      </c>
      <c r="M1855" s="59"/>
    </row>
    <row r="1856" spans="1:13" ht="30">
      <c r="A1856" s="56">
        <v>1834</v>
      </c>
      <c r="B1856" s="56">
        <v>1834</v>
      </c>
      <c r="C1856" s="56">
        <v>1834</v>
      </c>
      <c r="D1856" s="56" t="s">
        <v>2967</v>
      </c>
      <c r="F1856" s="56" t="s">
        <v>24</v>
      </c>
      <c r="G1856" s="56">
        <v>1</v>
      </c>
      <c r="H1856" s="56">
        <v>9</v>
      </c>
      <c r="I1856" s="56">
        <v>450</v>
      </c>
      <c r="J1856" s="59" t="s">
        <v>1181</v>
      </c>
      <c r="K1856" s="59">
        <v>1</v>
      </c>
      <c r="L1856" s="59">
        <f t="shared" si="28"/>
        <v>4050</v>
      </c>
      <c r="M1856" s="59"/>
    </row>
    <row r="1857" spans="1:13" ht="30">
      <c r="A1857" s="56">
        <v>1898</v>
      </c>
      <c r="B1857" s="56">
        <v>1898</v>
      </c>
      <c r="C1857" s="56">
        <v>1898</v>
      </c>
      <c r="D1857" s="56" t="s">
        <v>3027</v>
      </c>
      <c r="F1857" s="56" t="s">
        <v>24</v>
      </c>
      <c r="G1857" s="56">
        <v>1</v>
      </c>
      <c r="H1857" s="56">
        <v>9</v>
      </c>
      <c r="I1857" s="56">
        <v>520</v>
      </c>
      <c r="J1857" s="59" t="s">
        <v>1181</v>
      </c>
      <c r="K1857" s="59">
        <v>1</v>
      </c>
      <c r="L1857" s="59">
        <f t="shared" si="28"/>
        <v>4680</v>
      </c>
      <c r="M1857" s="59"/>
    </row>
    <row r="1858" spans="1:13" ht="30">
      <c r="A1858" s="56">
        <v>1046</v>
      </c>
      <c r="B1858" s="56">
        <v>1046</v>
      </c>
      <c r="C1858" s="56">
        <v>1046</v>
      </c>
      <c r="D1858" s="56" t="s">
        <v>1186</v>
      </c>
      <c r="F1858" s="58" t="s">
        <v>1180</v>
      </c>
      <c r="G1858" s="58">
        <v>100</v>
      </c>
      <c r="H1858" s="56">
        <v>10</v>
      </c>
      <c r="I1858" s="56">
        <v>1000</v>
      </c>
      <c r="J1858" s="59" t="s">
        <v>1181</v>
      </c>
      <c r="K1858" s="59">
        <v>1</v>
      </c>
      <c r="L1858" s="59">
        <f t="shared" ref="L1858:L1921" si="29">H1858*I1858</f>
        <v>10000</v>
      </c>
      <c r="M1858" s="59"/>
    </row>
    <row r="1859" spans="1:13" ht="30">
      <c r="A1859" s="56">
        <v>1058</v>
      </c>
      <c r="B1859" s="56">
        <v>1058</v>
      </c>
      <c r="C1859" s="56">
        <v>1058</v>
      </c>
      <c r="D1859" s="56" t="s">
        <v>1404</v>
      </c>
      <c r="F1859" s="58" t="s">
        <v>1180</v>
      </c>
      <c r="G1859" s="58">
        <v>12</v>
      </c>
      <c r="H1859" s="56">
        <v>10</v>
      </c>
      <c r="I1859" s="56">
        <v>350</v>
      </c>
      <c r="J1859" s="59" t="s">
        <v>1181</v>
      </c>
      <c r="K1859" s="59">
        <v>1</v>
      </c>
      <c r="L1859" s="59">
        <f t="shared" si="29"/>
        <v>3500</v>
      </c>
      <c r="M1859" s="59"/>
    </row>
    <row r="1860" spans="1:13" ht="30">
      <c r="A1860" s="56">
        <v>1499</v>
      </c>
      <c r="B1860" s="56">
        <v>1499</v>
      </c>
      <c r="C1860" s="56">
        <v>1499</v>
      </c>
      <c r="D1860" s="56" t="s">
        <v>1441</v>
      </c>
      <c r="F1860" s="58" t="s">
        <v>1180</v>
      </c>
      <c r="G1860" s="58">
        <v>12</v>
      </c>
      <c r="H1860" s="56">
        <v>10</v>
      </c>
      <c r="I1860" s="56">
        <v>500</v>
      </c>
      <c r="J1860" s="59" t="s">
        <v>1181</v>
      </c>
      <c r="K1860" s="59">
        <v>1</v>
      </c>
      <c r="L1860" s="59">
        <f t="shared" si="29"/>
        <v>5000</v>
      </c>
      <c r="M1860" s="59"/>
    </row>
    <row r="1861" spans="1:13" ht="30">
      <c r="A1861" s="56">
        <v>1064</v>
      </c>
      <c r="B1861" s="56">
        <v>1064</v>
      </c>
      <c r="C1861" s="56">
        <v>1064</v>
      </c>
      <c r="D1861" s="56" t="s">
        <v>1508</v>
      </c>
      <c r="F1861" s="58" t="s">
        <v>1198</v>
      </c>
      <c r="G1861" s="58">
        <v>10</v>
      </c>
      <c r="H1861" s="56">
        <v>10</v>
      </c>
      <c r="I1861" s="56">
        <v>300</v>
      </c>
      <c r="J1861" s="59" t="s">
        <v>1181</v>
      </c>
      <c r="K1861" s="59">
        <v>1</v>
      </c>
      <c r="L1861" s="59">
        <f t="shared" si="29"/>
        <v>3000</v>
      </c>
      <c r="M1861" s="59"/>
    </row>
    <row r="1862" spans="1:13" ht="30">
      <c r="A1862" s="56">
        <v>493</v>
      </c>
      <c r="B1862" s="56">
        <v>493</v>
      </c>
      <c r="C1862" s="56">
        <v>493</v>
      </c>
      <c r="D1862" s="56" t="s">
        <v>60</v>
      </c>
      <c r="F1862" s="58" t="s">
        <v>1180</v>
      </c>
      <c r="G1862" s="58">
        <v>8</v>
      </c>
      <c r="H1862" s="56">
        <v>10</v>
      </c>
      <c r="I1862" s="56">
        <v>920</v>
      </c>
      <c r="J1862" s="59" t="s">
        <v>1181</v>
      </c>
      <c r="K1862" s="59">
        <v>1</v>
      </c>
      <c r="L1862" s="59">
        <f t="shared" si="29"/>
        <v>9200</v>
      </c>
      <c r="M1862" s="59"/>
    </row>
    <row r="1863" spans="1:13" ht="30">
      <c r="A1863" s="56">
        <v>294</v>
      </c>
      <c r="B1863" s="56">
        <v>294</v>
      </c>
      <c r="C1863" s="56">
        <v>294</v>
      </c>
      <c r="D1863" s="56" t="s">
        <v>1773</v>
      </c>
      <c r="F1863" s="56" t="s">
        <v>24</v>
      </c>
      <c r="G1863" s="56">
        <v>1</v>
      </c>
      <c r="H1863" s="56">
        <v>10</v>
      </c>
      <c r="I1863" s="56">
        <v>2114</v>
      </c>
      <c r="J1863" s="59" t="s">
        <v>1181</v>
      </c>
      <c r="K1863" s="59">
        <v>1</v>
      </c>
      <c r="L1863" s="59">
        <f t="shared" si="29"/>
        <v>21140</v>
      </c>
      <c r="M1863" s="59"/>
    </row>
    <row r="1864" spans="1:13" ht="30">
      <c r="A1864" s="56">
        <v>319</v>
      </c>
      <c r="B1864" s="56">
        <v>319</v>
      </c>
      <c r="C1864" s="56">
        <v>319</v>
      </c>
      <c r="D1864" s="56" t="s">
        <v>1793</v>
      </c>
      <c r="F1864" s="56" t="s">
        <v>24</v>
      </c>
      <c r="G1864" s="56">
        <v>1</v>
      </c>
      <c r="H1864" s="56">
        <v>10</v>
      </c>
      <c r="I1864" s="56">
        <v>220</v>
      </c>
      <c r="J1864" s="59" t="s">
        <v>1181</v>
      </c>
      <c r="K1864" s="59">
        <v>1</v>
      </c>
      <c r="L1864" s="59">
        <f t="shared" si="29"/>
        <v>2200</v>
      </c>
      <c r="M1864" s="59"/>
    </row>
    <row r="1865" spans="1:13" ht="30">
      <c r="A1865" s="56">
        <v>415</v>
      </c>
      <c r="B1865" s="56">
        <v>415</v>
      </c>
      <c r="C1865" s="56">
        <v>415</v>
      </c>
      <c r="D1865" s="56" t="s">
        <v>1885</v>
      </c>
      <c r="F1865" s="56" t="s">
        <v>24</v>
      </c>
      <c r="G1865" s="56">
        <v>1</v>
      </c>
      <c r="H1865" s="56">
        <v>10</v>
      </c>
      <c r="I1865" s="56">
        <v>460</v>
      </c>
      <c r="J1865" s="59" t="s">
        <v>1181</v>
      </c>
      <c r="K1865" s="59">
        <v>1</v>
      </c>
      <c r="L1865" s="59">
        <f t="shared" si="29"/>
        <v>4600</v>
      </c>
      <c r="M1865" s="59"/>
    </row>
    <row r="1866" spans="1:13" ht="30">
      <c r="A1866" s="56">
        <v>416</v>
      </c>
      <c r="B1866" s="56">
        <v>416</v>
      </c>
      <c r="C1866" s="56">
        <v>416</v>
      </c>
      <c r="D1866" s="56" t="s">
        <v>1886</v>
      </c>
      <c r="F1866" s="56" t="s">
        <v>24</v>
      </c>
      <c r="G1866" s="56">
        <v>1</v>
      </c>
      <c r="H1866" s="56">
        <v>10</v>
      </c>
      <c r="I1866" s="56">
        <v>450</v>
      </c>
      <c r="J1866" s="59" t="s">
        <v>1181</v>
      </c>
      <c r="K1866" s="59">
        <v>1</v>
      </c>
      <c r="L1866" s="59">
        <f t="shared" si="29"/>
        <v>4500</v>
      </c>
      <c r="M1866" s="59"/>
    </row>
    <row r="1867" spans="1:13" ht="30">
      <c r="A1867" s="56">
        <v>432</v>
      </c>
      <c r="B1867" s="56">
        <v>432</v>
      </c>
      <c r="C1867" s="56">
        <v>432</v>
      </c>
      <c r="D1867" s="56" t="s">
        <v>1901</v>
      </c>
      <c r="F1867" s="56" t="s">
        <v>24</v>
      </c>
      <c r="G1867" s="56">
        <v>1</v>
      </c>
      <c r="H1867" s="56">
        <v>10</v>
      </c>
      <c r="I1867" s="56">
        <v>230</v>
      </c>
      <c r="J1867" s="59" t="s">
        <v>1181</v>
      </c>
      <c r="K1867" s="59">
        <v>1</v>
      </c>
      <c r="L1867" s="59">
        <f t="shared" si="29"/>
        <v>2300</v>
      </c>
      <c r="M1867" s="59"/>
    </row>
    <row r="1868" spans="1:13" ht="30">
      <c r="A1868" s="56">
        <v>458</v>
      </c>
      <c r="B1868" s="56">
        <v>458</v>
      </c>
      <c r="C1868" s="56">
        <v>458</v>
      </c>
      <c r="D1868" s="56" t="s">
        <v>1926</v>
      </c>
      <c r="F1868" s="56" t="s">
        <v>24</v>
      </c>
      <c r="G1868" s="56">
        <v>1</v>
      </c>
      <c r="H1868" s="56">
        <v>10</v>
      </c>
      <c r="I1868" s="56">
        <v>1000</v>
      </c>
      <c r="J1868" s="59" t="s">
        <v>1181</v>
      </c>
      <c r="K1868" s="59">
        <v>1</v>
      </c>
      <c r="L1868" s="59">
        <f t="shared" si="29"/>
        <v>10000</v>
      </c>
      <c r="M1868" s="59"/>
    </row>
    <row r="1869" spans="1:13" ht="30">
      <c r="A1869" s="56">
        <v>478</v>
      </c>
      <c r="B1869" s="56">
        <v>478</v>
      </c>
      <c r="C1869" s="56">
        <v>478</v>
      </c>
      <c r="D1869" s="56" t="s">
        <v>1944</v>
      </c>
      <c r="F1869" s="56" t="s">
        <v>24</v>
      </c>
      <c r="G1869" s="56">
        <v>1</v>
      </c>
      <c r="H1869" s="56">
        <v>10</v>
      </c>
      <c r="I1869" s="56">
        <v>350</v>
      </c>
      <c r="J1869" s="59" t="s">
        <v>1181</v>
      </c>
      <c r="K1869" s="59">
        <v>1</v>
      </c>
      <c r="L1869" s="59">
        <f t="shared" si="29"/>
        <v>3500</v>
      </c>
      <c r="M1869" s="59"/>
    </row>
    <row r="1870" spans="1:13" ht="30">
      <c r="A1870" s="56">
        <v>486</v>
      </c>
      <c r="B1870" s="56">
        <v>486</v>
      </c>
      <c r="C1870" s="56">
        <v>486</v>
      </c>
      <c r="D1870" s="56" t="s">
        <v>1951</v>
      </c>
      <c r="F1870" s="56" t="s">
        <v>24</v>
      </c>
      <c r="G1870" s="56">
        <v>1</v>
      </c>
      <c r="H1870" s="56">
        <v>10</v>
      </c>
      <c r="I1870" s="56">
        <v>350</v>
      </c>
      <c r="J1870" s="59" t="s">
        <v>1181</v>
      </c>
      <c r="K1870" s="59">
        <v>1</v>
      </c>
      <c r="L1870" s="59">
        <f t="shared" si="29"/>
        <v>3500</v>
      </c>
      <c r="M1870" s="59"/>
    </row>
    <row r="1871" spans="1:13" ht="30">
      <c r="A1871" s="56">
        <v>490</v>
      </c>
      <c r="B1871" s="56">
        <v>490</v>
      </c>
      <c r="C1871" s="56">
        <v>490</v>
      </c>
      <c r="D1871" s="56" t="s">
        <v>1955</v>
      </c>
      <c r="F1871" s="56" t="s">
        <v>24</v>
      </c>
      <c r="G1871" s="56">
        <v>1</v>
      </c>
      <c r="H1871" s="56">
        <v>10</v>
      </c>
      <c r="I1871" s="56">
        <v>110</v>
      </c>
      <c r="J1871" s="59" t="s">
        <v>1181</v>
      </c>
      <c r="K1871" s="59">
        <v>1</v>
      </c>
      <c r="L1871" s="59">
        <f t="shared" si="29"/>
        <v>1100</v>
      </c>
      <c r="M1871" s="59"/>
    </row>
    <row r="1872" spans="1:13" ht="30">
      <c r="A1872" s="56">
        <v>554</v>
      </c>
      <c r="B1872" s="56">
        <v>554</v>
      </c>
      <c r="C1872" s="56">
        <v>554</v>
      </c>
      <c r="D1872" s="56" t="s">
        <v>2016</v>
      </c>
      <c r="F1872" s="56" t="s">
        <v>24</v>
      </c>
      <c r="G1872" s="56">
        <v>1</v>
      </c>
      <c r="H1872" s="56">
        <v>10</v>
      </c>
      <c r="I1872" s="56">
        <v>1850</v>
      </c>
      <c r="J1872" s="59" t="s">
        <v>1181</v>
      </c>
      <c r="K1872" s="59">
        <v>1</v>
      </c>
      <c r="L1872" s="59">
        <f t="shared" si="29"/>
        <v>18500</v>
      </c>
      <c r="M1872" s="59"/>
    </row>
    <row r="1873" spans="1:14" ht="30">
      <c r="A1873" s="56">
        <v>558</v>
      </c>
      <c r="B1873" s="56">
        <v>558</v>
      </c>
      <c r="C1873" s="56">
        <v>558</v>
      </c>
      <c r="D1873" s="56" t="s">
        <v>63</v>
      </c>
      <c r="F1873" s="56" t="s">
        <v>24</v>
      </c>
      <c r="G1873" s="56">
        <v>1</v>
      </c>
      <c r="H1873" s="56">
        <v>10</v>
      </c>
      <c r="I1873" s="56">
        <v>150</v>
      </c>
      <c r="J1873" s="59" t="s">
        <v>1181</v>
      </c>
      <c r="K1873" s="59">
        <v>1</v>
      </c>
      <c r="L1873" s="59">
        <f t="shared" si="29"/>
        <v>1500</v>
      </c>
      <c r="M1873" s="59"/>
    </row>
    <row r="1874" spans="1:14" ht="30">
      <c r="A1874" s="56">
        <v>568</v>
      </c>
      <c r="B1874" s="56">
        <v>568</v>
      </c>
      <c r="C1874" s="56">
        <v>568</v>
      </c>
      <c r="D1874" s="56" t="s">
        <v>2027</v>
      </c>
      <c r="F1874" s="56" t="s">
        <v>24</v>
      </c>
      <c r="G1874" s="56">
        <v>1</v>
      </c>
      <c r="H1874" s="56">
        <v>10</v>
      </c>
      <c r="I1874" s="56">
        <v>150</v>
      </c>
      <c r="J1874" s="59" t="s">
        <v>1181</v>
      </c>
      <c r="K1874" s="59">
        <v>1</v>
      </c>
      <c r="L1874" s="59">
        <f t="shared" si="29"/>
        <v>1500</v>
      </c>
      <c r="M1874" s="59"/>
    </row>
    <row r="1875" spans="1:14" ht="30">
      <c r="A1875" s="56">
        <v>585</v>
      </c>
      <c r="B1875" s="56">
        <v>585</v>
      </c>
      <c r="C1875" s="56">
        <v>585</v>
      </c>
      <c r="D1875" s="56" t="s">
        <v>1275</v>
      </c>
      <c r="F1875" s="58" t="s">
        <v>24</v>
      </c>
      <c r="G1875" s="58">
        <v>1</v>
      </c>
      <c r="H1875" s="58">
        <v>10</v>
      </c>
      <c r="I1875" s="56">
        <v>41</v>
      </c>
      <c r="J1875" s="59" t="s">
        <v>1181</v>
      </c>
      <c r="K1875" s="59">
        <v>1</v>
      </c>
      <c r="L1875" s="59">
        <f t="shared" si="29"/>
        <v>410</v>
      </c>
      <c r="M1875" s="59"/>
      <c r="N1875" s="58"/>
    </row>
    <row r="1876" spans="1:14" ht="30">
      <c r="A1876" s="56">
        <v>798</v>
      </c>
      <c r="B1876" s="56">
        <v>798</v>
      </c>
      <c r="C1876" s="56">
        <v>798</v>
      </c>
      <c r="D1876" s="56" t="s">
        <v>1225</v>
      </c>
      <c r="F1876" s="58" t="s">
        <v>24</v>
      </c>
      <c r="G1876" s="58">
        <v>1</v>
      </c>
      <c r="H1876" s="58">
        <v>10</v>
      </c>
      <c r="I1876" s="56">
        <v>50</v>
      </c>
      <c r="J1876" s="59" t="s">
        <v>1181</v>
      </c>
      <c r="K1876" s="59">
        <v>1</v>
      </c>
      <c r="L1876" s="59">
        <f t="shared" si="29"/>
        <v>500</v>
      </c>
      <c r="M1876" s="59"/>
      <c r="N1876" s="58"/>
    </row>
    <row r="1877" spans="1:14" ht="30">
      <c r="A1877" s="56">
        <v>821</v>
      </c>
      <c r="B1877" s="56">
        <v>821</v>
      </c>
      <c r="C1877" s="56">
        <v>821</v>
      </c>
      <c r="D1877" s="56" t="s">
        <v>1309</v>
      </c>
      <c r="F1877" s="58" t="s">
        <v>24</v>
      </c>
      <c r="G1877" s="58">
        <v>1</v>
      </c>
      <c r="H1877" s="58">
        <v>10</v>
      </c>
      <c r="I1877" s="56">
        <v>69.16</v>
      </c>
      <c r="J1877" s="59" t="s">
        <v>1181</v>
      </c>
      <c r="K1877" s="59">
        <v>1</v>
      </c>
      <c r="L1877" s="59">
        <f t="shared" si="29"/>
        <v>691.59999999999991</v>
      </c>
      <c r="M1877" s="59"/>
      <c r="N1877" s="58"/>
    </row>
    <row r="1878" spans="1:14" ht="30">
      <c r="A1878" s="56">
        <v>824</v>
      </c>
      <c r="B1878" s="56">
        <v>824</v>
      </c>
      <c r="C1878" s="56">
        <v>824</v>
      </c>
      <c r="D1878" s="56" t="s">
        <v>1312</v>
      </c>
      <c r="F1878" s="58" t="s">
        <v>24</v>
      </c>
      <c r="G1878" s="58">
        <v>1</v>
      </c>
      <c r="H1878" s="58">
        <v>10</v>
      </c>
      <c r="I1878" s="56">
        <v>81.8</v>
      </c>
      <c r="J1878" s="59" t="s">
        <v>1181</v>
      </c>
      <c r="K1878" s="59">
        <v>1</v>
      </c>
      <c r="L1878" s="59">
        <f t="shared" si="29"/>
        <v>818</v>
      </c>
      <c r="M1878" s="59"/>
      <c r="N1878" s="58"/>
    </row>
    <row r="1879" spans="1:14" ht="30">
      <c r="A1879" s="56">
        <v>828</v>
      </c>
      <c r="B1879" s="56">
        <v>828</v>
      </c>
      <c r="C1879" s="56">
        <v>828</v>
      </c>
      <c r="D1879" s="56" t="s">
        <v>1316</v>
      </c>
      <c r="F1879" s="58" t="s">
        <v>24</v>
      </c>
      <c r="G1879" s="58">
        <v>1</v>
      </c>
      <c r="H1879" s="58">
        <v>10</v>
      </c>
      <c r="I1879" s="56">
        <v>52.5</v>
      </c>
      <c r="J1879" s="59" t="s">
        <v>1181</v>
      </c>
      <c r="K1879" s="59">
        <v>1</v>
      </c>
      <c r="L1879" s="59">
        <f t="shared" si="29"/>
        <v>525</v>
      </c>
      <c r="M1879" s="59"/>
      <c r="N1879" s="58"/>
    </row>
    <row r="1880" spans="1:14" ht="30">
      <c r="A1880" s="56">
        <v>843</v>
      </c>
      <c r="B1880" s="56">
        <v>843</v>
      </c>
      <c r="C1880" s="56">
        <v>843</v>
      </c>
      <c r="D1880" s="56" t="s">
        <v>2223</v>
      </c>
      <c r="F1880" s="58" t="s">
        <v>24</v>
      </c>
      <c r="G1880" s="58">
        <v>1</v>
      </c>
      <c r="H1880" s="58">
        <v>10</v>
      </c>
      <c r="I1880" s="56">
        <v>186</v>
      </c>
      <c r="J1880" s="59" t="s">
        <v>1181</v>
      </c>
      <c r="K1880" s="59">
        <v>1</v>
      </c>
      <c r="L1880" s="59">
        <f t="shared" si="29"/>
        <v>1860</v>
      </c>
      <c r="M1880" s="59"/>
      <c r="N1880" s="58"/>
    </row>
    <row r="1881" spans="1:14" ht="30">
      <c r="A1881" s="56">
        <v>849</v>
      </c>
      <c r="B1881" s="56">
        <v>849</v>
      </c>
      <c r="C1881" s="56">
        <v>849</v>
      </c>
      <c r="D1881" s="56" t="s">
        <v>1331</v>
      </c>
      <c r="F1881" s="58" t="s">
        <v>24</v>
      </c>
      <c r="G1881" s="58">
        <v>1</v>
      </c>
      <c r="H1881" s="58">
        <v>10</v>
      </c>
      <c r="I1881" s="56">
        <v>120</v>
      </c>
      <c r="J1881" s="59" t="s">
        <v>1181</v>
      </c>
      <c r="K1881" s="59">
        <v>1</v>
      </c>
      <c r="L1881" s="59">
        <f t="shared" si="29"/>
        <v>1200</v>
      </c>
      <c r="M1881" s="59"/>
      <c r="N1881" s="58"/>
    </row>
    <row r="1882" spans="1:14" ht="30">
      <c r="A1882" s="56">
        <v>892</v>
      </c>
      <c r="B1882" s="56">
        <v>892</v>
      </c>
      <c r="C1882" s="56">
        <v>892</v>
      </c>
      <c r="D1882" s="56" t="s">
        <v>2235</v>
      </c>
      <c r="F1882" s="56" t="s">
        <v>24</v>
      </c>
      <c r="G1882" s="56">
        <v>1</v>
      </c>
      <c r="H1882" s="56">
        <v>10</v>
      </c>
      <c r="I1882" s="56">
        <v>180</v>
      </c>
      <c r="J1882" s="59" t="s">
        <v>1181</v>
      </c>
      <c r="K1882" s="59">
        <v>1</v>
      </c>
      <c r="L1882" s="59">
        <f t="shared" si="29"/>
        <v>1800</v>
      </c>
      <c r="M1882" s="59"/>
    </row>
    <row r="1883" spans="1:14" ht="30">
      <c r="A1883" s="56">
        <v>900</v>
      </c>
      <c r="B1883" s="56">
        <v>900</v>
      </c>
      <c r="C1883" s="56">
        <v>900</v>
      </c>
      <c r="D1883" s="56" t="s">
        <v>2243</v>
      </c>
      <c r="F1883" s="56" t="s">
        <v>24</v>
      </c>
      <c r="G1883" s="56">
        <v>1</v>
      </c>
      <c r="H1883" s="56">
        <v>10</v>
      </c>
      <c r="I1883" s="56">
        <v>220</v>
      </c>
      <c r="J1883" s="59" t="s">
        <v>1181</v>
      </c>
      <c r="K1883" s="59">
        <v>1</v>
      </c>
      <c r="L1883" s="59">
        <f t="shared" si="29"/>
        <v>2200</v>
      </c>
      <c r="M1883" s="59"/>
    </row>
    <row r="1884" spans="1:14" ht="30">
      <c r="A1884" s="56">
        <v>901</v>
      </c>
      <c r="B1884" s="56">
        <v>901</v>
      </c>
      <c r="C1884" s="56">
        <v>901</v>
      </c>
      <c r="D1884" s="56" t="s">
        <v>2244</v>
      </c>
      <c r="F1884" s="56" t="s">
        <v>24</v>
      </c>
      <c r="G1884" s="56">
        <v>1</v>
      </c>
      <c r="H1884" s="56">
        <v>10</v>
      </c>
      <c r="I1884" s="56">
        <v>100</v>
      </c>
      <c r="J1884" s="59" t="s">
        <v>1181</v>
      </c>
      <c r="K1884" s="59">
        <v>1</v>
      </c>
      <c r="L1884" s="59">
        <f t="shared" si="29"/>
        <v>1000</v>
      </c>
      <c r="M1884" s="59"/>
    </row>
    <row r="1885" spans="1:14" ht="30">
      <c r="A1885" s="56">
        <v>907</v>
      </c>
      <c r="B1885" s="56">
        <v>907</v>
      </c>
      <c r="C1885" s="56">
        <v>907</v>
      </c>
      <c r="D1885" s="56" t="s">
        <v>2250</v>
      </c>
      <c r="F1885" s="56" t="s">
        <v>24</v>
      </c>
      <c r="G1885" s="56">
        <v>1</v>
      </c>
      <c r="H1885" s="56">
        <v>10</v>
      </c>
      <c r="I1885" s="56">
        <v>100</v>
      </c>
      <c r="J1885" s="59" t="s">
        <v>1181</v>
      </c>
      <c r="K1885" s="59">
        <v>1</v>
      </c>
      <c r="L1885" s="59">
        <f t="shared" si="29"/>
        <v>1000</v>
      </c>
      <c r="M1885" s="59"/>
    </row>
    <row r="1886" spans="1:14" ht="30">
      <c r="A1886" s="56">
        <v>911</v>
      </c>
      <c r="B1886" s="56">
        <v>911</v>
      </c>
      <c r="C1886" s="56">
        <v>911</v>
      </c>
      <c r="D1886" s="56" t="s">
        <v>2253</v>
      </c>
      <c r="F1886" s="56" t="s">
        <v>24</v>
      </c>
      <c r="G1886" s="56">
        <v>1</v>
      </c>
      <c r="H1886" s="56">
        <v>10</v>
      </c>
      <c r="I1886" s="56">
        <v>110</v>
      </c>
      <c r="J1886" s="59" t="s">
        <v>1181</v>
      </c>
      <c r="K1886" s="59">
        <v>1</v>
      </c>
      <c r="L1886" s="59">
        <f t="shared" si="29"/>
        <v>1100</v>
      </c>
      <c r="M1886" s="59"/>
    </row>
    <row r="1887" spans="1:14" ht="30">
      <c r="A1887" s="56">
        <v>912</v>
      </c>
      <c r="B1887" s="56">
        <v>912</v>
      </c>
      <c r="C1887" s="56">
        <v>912</v>
      </c>
      <c r="D1887" s="56" t="s">
        <v>2254</v>
      </c>
      <c r="F1887" s="56" t="s">
        <v>24</v>
      </c>
      <c r="G1887" s="56">
        <v>1</v>
      </c>
      <c r="H1887" s="56">
        <v>10</v>
      </c>
      <c r="I1887" s="56">
        <v>100</v>
      </c>
      <c r="J1887" s="59" t="s">
        <v>1181</v>
      </c>
      <c r="K1887" s="59">
        <v>1</v>
      </c>
      <c r="L1887" s="59">
        <f t="shared" si="29"/>
        <v>1000</v>
      </c>
      <c r="M1887" s="59"/>
    </row>
    <row r="1888" spans="1:14" ht="30">
      <c r="A1888" s="56">
        <v>942</v>
      </c>
      <c r="B1888" s="56">
        <v>942</v>
      </c>
      <c r="C1888" s="56">
        <v>942</v>
      </c>
      <c r="D1888" s="56" t="s">
        <v>1378</v>
      </c>
      <c r="F1888" s="58" t="s">
        <v>24</v>
      </c>
      <c r="G1888" s="58">
        <v>1</v>
      </c>
      <c r="H1888" s="58">
        <v>10</v>
      </c>
      <c r="I1888" s="56">
        <v>70</v>
      </c>
      <c r="J1888" s="59" t="s">
        <v>1181</v>
      </c>
      <c r="K1888" s="59">
        <v>1</v>
      </c>
      <c r="L1888" s="59">
        <f t="shared" si="29"/>
        <v>700</v>
      </c>
      <c r="M1888" s="59"/>
      <c r="N1888" s="58"/>
    </row>
    <row r="1889" spans="1:14" ht="30">
      <c r="A1889" s="56">
        <v>970</v>
      </c>
      <c r="B1889" s="56">
        <v>970</v>
      </c>
      <c r="C1889" s="56">
        <v>970</v>
      </c>
      <c r="D1889" s="56" t="s">
        <v>2273</v>
      </c>
      <c r="F1889" s="56" t="s">
        <v>24</v>
      </c>
      <c r="G1889" s="56">
        <v>1</v>
      </c>
      <c r="H1889" s="56">
        <v>10</v>
      </c>
      <c r="I1889" s="56">
        <v>0</v>
      </c>
      <c r="J1889" s="59" t="s">
        <v>1181</v>
      </c>
      <c r="K1889" s="59">
        <v>1</v>
      </c>
      <c r="L1889" s="59">
        <f t="shared" si="29"/>
        <v>0</v>
      </c>
      <c r="M1889" s="59"/>
    </row>
    <row r="1890" spans="1:14" ht="30">
      <c r="A1890" s="56">
        <v>972</v>
      </c>
      <c r="B1890" s="56">
        <v>972</v>
      </c>
      <c r="C1890" s="56">
        <v>972</v>
      </c>
      <c r="D1890" s="56" t="s">
        <v>2274</v>
      </c>
      <c r="F1890" s="56" t="s">
        <v>24</v>
      </c>
      <c r="G1890" s="56">
        <v>1</v>
      </c>
      <c r="H1890" s="56">
        <v>10</v>
      </c>
      <c r="I1890" s="56">
        <v>385</v>
      </c>
      <c r="J1890" s="59" t="s">
        <v>1181</v>
      </c>
      <c r="K1890" s="59">
        <v>1</v>
      </c>
      <c r="L1890" s="59">
        <f t="shared" si="29"/>
        <v>3850</v>
      </c>
      <c r="M1890" s="59"/>
    </row>
    <row r="1891" spans="1:14" ht="30">
      <c r="A1891" s="56">
        <v>992</v>
      </c>
      <c r="B1891" s="56">
        <v>992</v>
      </c>
      <c r="C1891" s="56">
        <v>992</v>
      </c>
      <c r="D1891" s="56" t="s">
        <v>1397</v>
      </c>
      <c r="F1891" s="58" t="s">
        <v>1272</v>
      </c>
      <c r="G1891" s="58">
        <v>1</v>
      </c>
      <c r="H1891" s="58">
        <v>10</v>
      </c>
      <c r="I1891" s="56">
        <v>650</v>
      </c>
      <c r="J1891" s="59" t="s">
        <v>1181</v>
      </c>
      <c r="K1891" s="59">
        <v>1</v>
      </c>
      <c r="L1891" s="59">
        <f t="shared" si="29"/>
        <v>6500</v>
      </c>
      <c r="M1891" s="59"/>
      <c r="N1891" s="58"/>
    </row>
    <row r="1892" spans="1:14" ht="30">
      <c r="A1892" s="56">
        <v>1018</v>
      </c>
      <c r="B1892" s="56">
        <v>1018</v>
      </c>
      <c r="C1892" s="56">
        <v>1018</v>
      </c>
      <c r="D1892" s="56" t="s">
        <v>2310</v>
      </c>
      <c r="F1892" s="56" t="s">
        <v>24</v>
      </c>
      <c r="G1892" s="56">
        <v>1</v>
      </c>
      <c r="H1892" s="56">
        <v>10</v>
      </c>
      <c r="I1892" s="56">
        <v>126</v>
      </c>
      <c r="J1892" s="59" t="s">
        <v>1181</v>
      </c>
      <c r="K1892" s="59">
        <v>1</v>
      </c>
      <c r="L1892" s="59">
        <f t="shared" si="29"/>
        <v>1260</v>
      </c>
      <c r="M1892" s="59"/>
    </row>
    <row r="1893" spans="1:14" ht="30">
      <c r="A1893" s="56">
        <v>1035</v>
      </c>
      <c r="B1893" s="56">
        <v>1035</v>
      </c>
      <c r="C1893" s="56">
        <v>1035</v>
      </c>
      <c r="D1893" s="56" t="s">
        <v>2327</v>
      </c>
      <c r="F1893" s="56" t="s">
        <v>24</v>
      </c>
      <c r="G1893" s="56">
        <v>1</v>
      </c>
      <c r="H1893" s="56">
        <v>10</v>
      </c>
      <c r="I1893" s="56">
        <v>150</v>
      </c>
      <c r="J1893" s="59" t="s">
        <v>1181</v>
      </c>
      <c r="K1893" s="59">
        <v>1</v>
      </c>
      <c r="L1893" s="59">
        <f t="shared" si="29"/>
        <v>1500</v>
      </c>
      <c r="M1893" s="59"/>
    </row>
    <row r="1894" spans="1:14" ht="30">
      <c r="A1894" s="56">
        <v>1046</v>
      </c>
      <c r="B1894" s="56">
        <v>1046</v>
      </c>
      <c r="C1894" s="56">
        <v>1046</v>
      </c>
      <c r="D1894" s="56" t="s">
        <v>1186</v>
      </c>
      <c r="F1894" s="58" t="s">
        <v>24</v>
      </c>
      <c r="G1894" s="58">
        <v>1</v>
      </c>
      <c r="H1894" s="58">
        <v>10</v>
      </c>
      <c r="I1894" s="56">
        <v>10</v>
      </c>
      <c r="J1894" s="59" t="s">
        <v>1181</v>
      </c>
      <c r="K1894" s="59">
        <v>1</v>
      </c>
      <c r="L1894" s="59">
        <f t="shared" si="29"/>
        <v>100</v>
      </c>
      <c r="M1894" s="59"/>
      <c r="N1894" s="58"/>
    </row>
    <row r="1895" spans="1:14" ht="30">
      <c r="A1895" s="56">
        <v>1077</v>
      </c>
      <c r="B1895" s="56">
        <v>1077</v>
      </c>
      <c r="C1895" s="56">
        <v>1077</v>
      </c>
      <c r="D1895" s="56" t="s">
        <v>2352</v>
      </c>
      <c r="F1895" s="56" t="s">
        <v>24</v>
      </c>
      <c r="G1895" s="56">
        <v>1</v>
      </c>
      <c r="H1895" s="56">
        <v>10</v>
      </c>
      <c r="I1895" s="56">
        <v>450</v>
      </c>
      <c r="J1895" s="59" t="s">
        <v>1181</v>
      </c>
      <c r="K1895" s="59">
        <v>1</v>
      </c>
      <c r="L1895" s="59">
        <f t="shared" si="29"/>
        <v>4500</v>
      </c>
      <c r="M1895" s="59"/>
    </row>
    <row r="1896" spans="1:14" ht="30">
      <c r="A1896" s="56">
        <v>1108</v>
      </c>
      <c r="B1896" s="56">
        <v>1108</v>
      </c>
      <c r="C1896" s="56">
        <v>1108</v>
      </c>
      <c r="D1896" s="56" t="s">
        <v>1413</v>
      </c>
      <c r="F1896" s="58" t="s">
        <v>24</v>
      </c>
      <c r="G1896" s="58">
        <v>1</v>
      </c>
      <c r="H1896" s="58">
        <v>10</v>
      </c>
      <c r="I1896" s="56">
        <v>85</v>
      </c>
      <c r="J1896" s="59" t="s">
        <v>1181</v>
      </c>
      <c r="K1896" s="59">
        <v>1</v>
      </c>
      <c r="L1896" s="59">
        <f t="shared" si="29"/>
        <v>850</v>
      </c>
      <c r="M1896" s="59"/>
      <c r="N1896" s="58"/>
    </row>
    <row r="1897" spans="1:14" ht="30">
      <c r="A1897" s="56">
        <v>1163</v>
      </c>
      <c r="B1897" s="56">
        <v>1163</v>
      </c>
      <c r="C1897" s="56">
        <v>1163</v>
      </c>
      <c r="D1897" s="56" t="s">
        <v>1192</v>
      </c>
      <c r="F1897" s="58" t="s">
        <v>24</v>
      </c>
      <c r="G1897" s="58">
        <v>1</v>
      </c>
      <c r="H1897" s="58">
        <v>10</v>
      </c>
      <c r="I1897" s="56">
        <v>15</v>
      </c>
      <c r="J1897" s="59" t="s">
        <v>1181</v>
      </c>
      <c r="K1897" s="59">
        <v>1</v>
      </c>
      <c r="L1897" s="59">
        <f t="shared" si="29"/>
        <v>150</v>
      </c>
      <c r="M1897" s="59"/>
      <c r="N1897" s="58"/>
    </row>
    <row r="1898" spans="1:14" ht="30">
      <c r="A1898" s="56">
        <v>1224</v>
      </c>
      <c r="B1898" s="56">
        <v>1224</v>
      </c>
      <c r="C1898" s="56">
        <v>1224</v>
      </c>
      <c r="D1898" s="56" t="s">
        <v>2471</v>
      </c>
      <c r="F1898" s="56" t="s">
        <v>24</v>
      </c>
      <c r="G1898" s="56">
        <v>1</v>
      </c>
      <c r="H1898" s="56">
        <v>10</v>
      </c>
      <c r="I1898" s="56">
        <v>200</v>
      </c>
      <c r="J1898" s="59" t="s">
        <v>1181</v>
      </c>
      <c r="K1898" s="59">
        <v>1</v>
      </c>
      <c r="L1898" s="59">
        <f t="shared" si="29"/>
        <v>2000</v>
      </c>
      <c r="M1898" s="59"/>
    </row>
    <row r="1899" spans="1:14" ht="30">
      <c r="A1899" s="56">
        <v>1231</v>
      </c>
      <c r="B1899" s="56">
        <v>1231</v>
      </c>
      <c r="C1899" s="56">
        <v>1231</v>
      </c>
      <c r="D1899" s="56" t="s">
        <v>2474</v>
      </c>
      <c r="F1899" s="56" t="s">
        <v>24</v>
      </c>
      <c r="G1899" s="56">
        <v>1</v>
      </c>
      <c r="H1899" s="56">
        <v>10</v>
      </c>
      <c r="I1899" s="56">
        <v>178</v>
      </c>
      <c r="J1899" s="59" t="s">
        <v>1181</v>
      </c>
      <c r="K1899" s="59">
        <v>1</v>
      </c>
      <c r="L1899" s="59">
        <f t="shared" si="29"/>
        <v>1780</v>
      </c>
      <c r="M1899" s="59"/>
    </row>
    <row r="1900" spans="1:14" ht="30">
      <c r="A1900" s="56">
        <v>1246</v>
      </c>
      <c r="B1900" s="56">
        <v>1246</v>
      </c>
      <c r="C1900" s="56">
        <v>1246</v>
      </c>
      <c r="D1900" s="56" t="s">
        <v>1194</v>
      </c>
      <c r="F1900" s="58" t="s">
        <v>1201</v>
      </c>
      <c r="G1900" s="58">
        <v>1</v>
      </c>
      <c r="H1900" s="58">
        <v>10</v>
      </c>
      <c r="I1900" s="56">
        <v>40</v>
      </c>
      <c r="J1900" s="59" t="s">
        <v>1181</v>
      </c>
      <c r="K1900" s="59">
        <v>1</v>
      </c>
      <c r="L1900" s="59">
        <f t="shared" si="29"/>
        <v>400</v>
      </c>
      <c r="M1900" s="59"/>
      <c r="N1900" s="58"/>
    </row>
    <row r="1901" spans="1:14" ht="30">
      <c r="A1901" s="56">
        <v>1283</v>
      </c>
      <c r="B1901" s="56">
        <v>1283</v>
      </c>
      <c r="C1901" s="56">
        <v>1283</v>
      </c>
      <c r="D1901" s="56" t="s">
        <v>2508</v>
      </c>
      <c r="F1901" s="56" t="s">
        <v>24</v>
      </c>
      <c r="G1901" s="56">
        <v>1</v>
      </c>
      <c r="H1901" s="56">
        <v>10</v>
      </c>
      <c r="I1901" s="56">
        <v>400</v>
      </c>
      <c r="J1901" s="59" t="s">
        <v>1181</v>
      </c>
      <c r="K1901" s="59">
        <v>1</v>
      </c>
      <c r="L1901" s="59">
        <f t="shared" si="29"/>
        <v>4000</v>
      </c>
      <c r="M1901" s="59"/>
    </row>
    <row r="1902" spans="1:14" ht="30">
      <c r="A1902" s="56">
        <v>1315</v>
      </c>
      <c r="B1902" s="56">
        <v>1315</v>
      </c>
      <c r="C1902" s="56">
        <v>1315</v>
      </c>
      <c r="D1902" s="56" t="s">
        <v>2538</v>
      </c>
      <c r="F1902" s="56" t="s">
        <v>24</v>
      </c>
      <c r="G1902" s="56">
        <v>1</v>
      </c>
      <c r="H1902" s="56">
        <v>10</v>
      </c>
      <c r="I1902" s="56">
        <v>46</v>
      </c>
      <c r="J1902" s="59" t="s">
        <v>1181</v>
      </c>
      <c r="K1902" s="59">
        <v>1</v>
      </c>
      <c r="L1902" s="59">
        <f t="shared" si="29"/>
        <v>460</v>
      </c>
      <c r="M1902" s="59"/>
    </row>
    <row r="1903" spans="1:14" ht="30">
      <c r="A1903" s="56">
        <v>1326</v>
      </c>
      <c r="B1903" s="56">
        <v>1326</v>
      </c>
      <c r="C1903" s="56">
        <v>1326</v>
      </c>
      <c r="D1903" s="56" t="s">
        <v>2549</v>
      </c>
      <c r="F1903" s="56" t="s">
        <v>24</v>
      </c>
      <c r="G1903" s="56">
        <v>1</v>
      </c>
      <c r="H1903" s="56">
        <v>10</v>
      </c>
      <c r="I1903" s="56">
        <v>150</v>
      </c>
      <c r="J1903" s="59" t="s">
        <v>1181</v>
      </c>
      <c r="K1903" s="59">
        <v>1</v>
      </c>
      <c r="L1903" s="59">
        <f t="shared" si="29"/>
        <v>1500</v>
      </c>
      <c r="M1903" s="59"/>
    </row>
    <row r="1904" spans="1:14" ht="30">
      <c r="A1904" s="56">
        <v>1327</v>
      </c>
      <c r="B1904" s="56">
        <v>1327</v>
      </c>
      <c r="C1904" s="56">
        <v>1327</v>
      </c>
      <c r="D1904" s="56" t="s">
        <v>2550</v>
      </c>
      <c r="F1904" s="56" t="s">
        <v>24</v>
      </c>
      <c r="G1904" s="56">
        <v>1</v>
      </c>
      <c r="H1904" s="56">
        <v>10</v>
      </c>
      <c r="I1904" s="56">
        <v>140</v>
      </c>
      <c r="J1904" s="59" t="s">
        <v>1181</v>
      </c>
      <c r="K1904" s="59">
        <v>1</v>
      </c>
      <c r="L1904" s="59">
        <f t="shared" si="29"/>
        <v>1400</v>
      </c>
      <c r="M1904" s="59"/>
    </row>
    <row r="1905" spans="1:14" ht="30">
      <c r="A1905" s="56">
        <v>1334</v>
      </c>
      <c r="B1905" s="56">
        <v>1334</v>
      </c>
      <c r="C1905" s="56">
        <v>1334</v>
      </c>
      <c r="D1905" s="56" t="s">
        <v>2557</v>
      </c>
      <c r="F1905" s="56" t="s">
        <v>24</v>
      </c>
      <c r="G1905" s="56">
        <v>1</v>
      </c>
      <c r="H1905" s="56">
        <v>10</v>
      </c>
      <c r="I1905" s="56">
        <v>150</v>
      </c>
      <c r="J1905" s="59" t="s">
        <v>1181</v>
      </c>
      <c r="K1905" s="59">
        <v>1</v>
      </c>
      <c r="L1905" s="59">
        <f t="shared" si="29"/>
        <v>1500</v>
      </c>
      <c r="M1905" s="59"/>
    </row>
    <row r="1906" spans="1:14" ht="30">
      <c r="A1906" s="56">
        <v>1365</v>
      </c>
      <c r="B1906" s="56">
        <v>1365</v>
      </c>
      <c r="C1906" s="56">
        <v>1365</v>
      </c>
      <c r="D1906" s="56" t="s">
        <v>2586</v>
      </c>
      <c r="F1906" s="56" t="s">
        <v>24</v>
      </c>
      <c r="G1906" s="56">
        <v>1</v>
      </c>
      <c r="H1906" s="56">
        <v>10</v>
      </c>
      <c r="I1906" s="56">
        <v>400</v>
      </c>
      <c r="J1906" s="59" t="s">
        <v>1181</v>
      </c>
      <c r="K1906" s="59">
        <v>1</v>
      </c>
      <c r="L1906" s="59">
        <f t="shared" si="29"/>
        <v>4000</v>
      </c>
      <c r="M1906" s="59"/>
    </row>
    <row r="1907" spans="1:14" ht="30">
      <c r="A1907" s="56">
        <v>1406</v>
      </c>
      <c r="B1907" s="56">
        <v>1406</v>
      </c>
      <c r="C1907" s="56">
        <v>1406</v>
      </c>
      <c r="D1907" s="56" t="s">
        <v>2618</v>
      </c>
      <c r="F1907" s="56" t="s">
        <v>24</v>
      </c>
      <c r="G1907" s="56">
        <v>1</v>
      </c>
      <c r="H1907" s="56">
        <v>10</v>
      </c>
      <c r="I1907" s="56">
        <v>110</v>
      </c>
      <c r="J1907" s="59" t="s">
        <v>1181</v>
      </c>
      <c r="K1907" s="59">
        <v>1</v>
      </c>
      <c r="L1907" s="59">
        <f t="shared" si="29"/>
        <v>1100</v>
      </c>
      <c r="M1907" s="59"/>
    </row>
    <row r="1908" spans="1:14" ht="30">
      <c r="A1908" s="56">
        <v>1485</v>
      </c>
      <c r="B1908" s="56">
        <v>1485</v>
      </c>
      <c r="C1908" s="56">
        <v>1485</v>
      </c>
      <c r="D1908" s="56" t="s">
        <v>2677</v>
      </c>
      <c r="F1908" s="56" t="s">
        <v>24</v>
      </c>
      <c r="G1908" s="56">
        <v>1</v>
      </c>
      <c r="H1908" s="56">
        <v>10</v>
      </c>
      <c r="I1908" s="56">
        <v>350</v>
      </c>
      <c r="J1908" s="59" t="s">
        <v>1181</v>
      </c>
      <c r="K1908" s="59">
        <v>1</v>
      </c>
      <c r="L1908" s="59">
        <f t="shared" si="29"/>
        <v>3500</v>
      </c>
      <c r="M1908" s="59"/>
    </row>
    <row r="1909" spans="1:14" ht="30">
      <c r="A1909" s="56">
        <v>1493</v>
      </c>
      <c r="B1909" s="56">
        <v>1493</v>
      </c>
      <c r="C1909" s="56">
        <v>1493</v>
      </c>
      <c r="D1909" s="56" t="s">
        <v>2685</v>
      </c>
      <c r="F1909" s="56" t="s">
        <v>24</v>
      </c>
      <c r="G1909" s="56">
        <v>1</v>
      </c>
      <c r="H1909" s="56">
        <v>10</v>
      </c>
      <c r="I1909" s="56">
        <v>500</v>
      </c>
      <c r="J1909" s="59" t="s">
        <v>1181</v>
      </c>
      <c r="K1909" s="59">
        <v>1</v>
      </c>
      <c r="L1909" s="59">
        <f t="shared" si="29"/>
        <v>5000</v>
      </c>
      <c r="M1909" s="59"/>
    </row>
    <row r="1910" spans="1:14" ht="30">
      <c r="A1910" s="56">
        <v>1499</v>
      </c>
      <c r="B1910" s="56">
        <v>1499</v>
      </c>
      <c r="C1910" s="56">
        <v>1499</v>
      </c>
      <c r="D1910" s="56" t="s">
        <v>1441</v>
      </c>
      <c r="F1910" s="58" t="s">
        <v>24</v>
      </c>
      <c r="G1910" s="58">
        <v>1</v>
      </c>
      <c r="H1910" s="58">
        <v>10</v>
      </c>
      <c r="I1910" s="56">
        <v>41.7</v>
      </c>
      <c r="J1910" s="59" t="s">
        <v>1181</v>
      </c>
      <c r="K1910" s="59">
        <v>1</v>
      </c>
      <c r="L1910" s="59">
        <f t="shared" si="29"/>
        <v>417</v>
      </c>
      <c r="M1910" s="59"/>
      <c r="N1910" s="58"/>
    </row>
    <row r="1911" spans="1:14" ht="30">
      <c r="A1911" s="56">
        <v>1565</v>
      </c>
      <c r="B1911" s="56">
        <v>1565</v>
      </c>
      <c r="C1911" s="56">
        <v>1565</v>
      </c>
      <c r="D1911" s="56" t="s">
        <v>2755</v>
      </c>
      <c r="F1911" s="56" t="s">
        <v>24</v>
      </c>
      <c r="G1911" s="56">
        <v>1</v>
      </c>
      <c r="H1911" s="56">
        <v>10</v>
      </c>
      <c r="I1911" s="56">
        <v>800</v>
      </c>
      <c r="J1911" s="59" t="s">
        <v>1181</v>
      </c>
      <c r="K1911" s="59">
        <v>1</v>
      </c>
      <c r="L1911" s="59">
        <f t="shared" si="29"/>
        <v>8000</v>
      </c>
      <c r="M1911" s="59"/>
    </row>
    <row r="1912" spans="1:14" ht="30">
      <c r="A1912" s="56">
        <v>1634</v>
      </c>
      <c r="B1912" s="56">
        <v>1634</v>
      </c>
      <c r="C1912" s="56">
        <v>1634</v>
      </c>
      <c r="D1912" s="56" t="s">
        <v>2813</v>
      </c>
      <c r="F1912" s="56" t="s">
        <v>24</v>
      </c>
      <c r="G1912" s="56">
        <v>1</v>
      </c>
      <c r="H1912" s="56">
        <v>10</v>
      </c>
      <c r="I1912" s="56">
        <v>150</v>
      </c>
      <c r="J1912" s="59" t="s">
        <v>1181</v>
      </c>
      <c r="K1912" s="59">
        <v>1</v>
      </c>
      <c r="L1912" s="59">
        <f t="shared" si="29"/>
        <v>1500</v>
      </c>
      <c r="M1912" s="59"/>
    </row>
    <row r="1913" spans="1:14" ht="30">
      <c r="A1913" s="56">
        <v>1672</v>
      </c>
      <c r="B1913" s="56">
        <v>1672</v>
      </c>
      <c r="C1913" s="56">
        <v>1672</v>
      </c>
      <c r="D1913" s="56" t="s">
        <v>1219</v>
      </c>
      <c r="F1913" s="58" t="s">
        <v>24</v>
      </c>
      <c r="G1913" s="58">
        <v>1</v>
      </c>
      <c r="H1913" s="58">
        <v>10</v>
      </c>
      <c r="I1913" s="56">
        <v>87.5</v>
      </c>
      <c r="J1913" s="59" t="s">
        <v>1181</v>
      </c>
      <c r="K1913" s="59">
        <v>1</v>
      </c>
      <c r="L1913" s="59">
        <f t="shared" si="29"/>
        <v>875</v>
      </c>
      <c r="M1913" s="59"/>
    </row>
    <row r="1914" spans="1:14" ht="30">
      <c r="A1914" s="56">
        <v>1683</v>
      </c>
      <c r="B1914" s="56">
        <v>1683</v>
      </c>
      <c r="C1914" s="56">
        <v>1683</v>
      </c>
      <c r="D1914" s="56" t="s">
        <v>2842</v>
      </c>
      <c r="F1914" s="56" t="s">
        <v>24</v>
      </c>
      <c r="G1914" s="56">
        <v>1</v>
      </c>
      <c r="H1914" s="56">
        <v>10</v>
      </c>
      <c r="I1914" s="56">
        <v>233</v>
      </c>
      <c r="J1914" s="59" t="s">
        <v>1181</v>
      </c>
      <c r="K1914" s="59">
        <v>1</v>
      </c>
      <c r="L1914" s="59">
        <f t="shared" si="29"/>
        <v>2330</v>
      </c>
      <c r="M1914" s="59"/>
    </row>
    <row r="1915" spans="1:14" ht="30">
      <c r="A1915" s="56">
        <v>1717</v>
      </c>
      <c r="B1915" s="56">
        <v>1717</v>
      </c>
      <c r="C1915" s="56">
        <v>1717</v>
      </c>
      <c r="D1915" s="56" t="s">
        <v>2869</v>
      </c>
      <c r="F1915" s="56" t="s">
        <v>24</v>
      </c>
      <c r="G1915" s="56">
        <v>1</v>
      </c>
      <c r="H1915" s="56">
        <v>10</v>
      </c>
      <c r="I1915" s="56">
        <v>170</v>
      </c>
      <c r="J1915" s="59" t="s">
        <v>1181</v>
      </c>
      <c r="K1915" s="59">
        <v>1</v>
      </c>
      <c r="L1915" s="59">
        <f t="shared" si="29"/>
        <v>1700</v>
      </c>
      <c r="M1915" s="59"/>
    </row>
    <row r="1916" spans="1:14" ht="30">
      <c r="A1916" s="56">
        <v>1742</v>
      </c>
      <c r="B1916" s="56">
        <v>1742</v>
      </c>
      <c r="C1916" s="56">
        <v>1742</v>
      </c>
      <c r="D1916" s="56" t="s">
        <v>2891</v>
      </c>
      <c r="F1916" s="56" t="s">
        <v>24</v>
      </c>
      <c r="G1916" s="56">
        <v>1</v>
      </c>
      <c r="H1916" s="56">
        <v>10</v>
      </c>
      <c r="I1916" s="56">
        <v>350</v>
      </c>
      <c r="J1916" s="59" t="s">
        <v>1181</v>
      </c>
      <c r="K1916" s="59">
        <v>1</v>
      </c>
      <c r="L1916" s="59">
        <f t="shared" si="29"/>
        <v>3500</v>
      </c>
      <c r="M1916" s="59"/>
    </row>
    <row r="1917" spans="1:14" ht="30">
      <c r="A1917" s="56">
        <v>1817</v>
      </c>
      <c r="B1917" s="56">
        <v>1817</v>
      </c>
      <c r="C1917" s="56">
        <v>1817</v>
      </c>
      <c r="D1917" s="56" t="s">
        <v>2953</v>
      </c>
      <c r="F1917" s="56" t="s">
        <v>24</v>
      </c>
      <c r="G1917" s="56">
        <v>1</v>
      </c>
      <c r="H1917" s="56">
        <v>10</v>
      </c>
      <c r="I1917" s="56">
        <v>260</v>
      </c>
      <c r="J1917" s="59" t="s">
        <v>1181</v>
      </c>
      <c r="K1917" s="59">
        <v>1</v>
      </c>
      <c r="L1917" s="59">
        <f t="shared" si="29"/>
        <v>2600</v>
      </c>
      <c r="M1917" s="59"/>
    </row>
    <row r="1918" spans="1:14" ht="30">
      <c r="A1918" s="56">
        <v>779</v>
      </c>
      <c r="B1918" s="56">
        <v>779</v>
      </c>
      <c r="C1918" s="56">
        <v>779</v>
      </c>
      <c r="D1918" s="56" t="s">
        <v>1224</v>
      </c>
      <c r="F1918" s="58" t="s">
        <v>1185</v>
      </c>
      <c r="G1918" s="58">
        <v>50</v>
      </c>
      <c r="H1918" s="56">
        <v>11</v>
      </c>
      <c r="I1918" s="56">
        <v>600</v>
      </c>
      <c r="J1918" s="59" t="s">
        <v>1181</v>
      </c>
      <c r="K1918" s="59">
        <v>1</v>
      </c>
      <c r="L1918" s="59">
        <f t="shared" si="29"/>
        <v>6600</v>
      </c>
      <c r="M1918" s="59"/>
    </row>
    <row r="1919" spans="1:14" ht="30">
      <c r="A1919" s="56">
        <v>602</v>
      </c>
      <c r="B1919" s="56">
        <v>602</v>
      </c>
      <c r="C1919" s="56">
        <v>602</v>
      </c>
      <c r="D1919" s="56" t="s">
        <v>1277</v>
      </c>
      <c r="F1919" s="58" t="s">
        <v>1180</v>
      </c>
      <c r="G1919" s="58">
        <v>12</v>
      </c>
      <c r="H1919" s="56">
        <v>11</v>
      </c>
      <c r="I1919" s="56">
        <v>360</v>
      </c>
      <c r="J1919" s="59" t="s">
        <v>1181</v>
      </c>
      <c r="K1919" s="59">
        <v>1</v>
      </c>
      <c r="L1919" s="59">
        <f t="shared" si="29"/>
        <v>3960</v>
      </c>
      <c r="M1919" s="59"/>
    </row>
    <row r="1920" spans="1:14" ht="30">
      <c r="A1920" s="56">
        <v>854</v>
      </c>
      <c r="B1920" s="56">
        <v>854</v>
      </c>
      <c r="C1920" s="56">
        <v>854</v>
      </c>
      <c r="D1920" s="56" t="s">
        <v>1335</v>
      </c>
      <c r="F1920" s="58" t="s">
        <v>1185</v>
      </c>
      <c r="G1920" s="58">
        <v>12</v>
      </c>
      <c r="H1920" s="56">
        <v>11</v>
      </c>
      <c r="I1920" s="56">
        <v>420</v>
      </c>
      <c r="J1920" s="59" t="s">
        <v>1181</v>
      </c>
      <c r="K1920" s="59">
        <v>1</v>
      </c>
      <c r="L1920" s="59">
        <f t="shared" si="29"/>
        <v>4620</v>
      </c>
      <c r="M1920" s="59"/>
    </row>
    <row r="1921" spans="1:14" ht="30">
      <c r="A1921" s="59">
        <v>3</v>
      </c>
      <c r="B1921" s="59">
        <v>3</v>
      </c>
      <c r="C1921" s="59">
        <v>3</v>
      </c>
      <c r="D1921" s="59" t="s">
        <v>1526</v>
      </c>
      <c r="E1921" s="59"/>
      <c r="F1921" s="56" t="s">
        <v>24</v>
      </c>
      <c r="G1921" s="56">
        <v>1</v>
      </c>
      <c r="H1921" s="56">
        <v>11</v>
      </c>
      <c r="I1921" s="62">
        <v>350</v>
      </c>
      <c r="J1921" s="59" t="s">
        <v>1181</v>
      </c>
      <c r="K1921" s="59">
        <v>1</v>
      </c>
      <c r="L1921" s="59">
        <f t="shared" si="29"/>
        <v>3850</v>
      </c>
      <c r="M1921" s="59"/>
    </row>
    <row r="1922" spans="1:14" ht="30">
      <c r="A1922" s="56">
        <v>31</v>
      </c>
      <c r="B1922" s="56">
        <v>31</v>
      </c>
      <c r="C1922" s="56">
        <v>31</v>
      </c>
      <c r="D1922" s="56" t="s">
        <v>1554</v>
      </c>
      <c r="F1922" s="56" t="s">
        <v>24</v>
      </c>
      <c r="G1922" s="56">
        <v>1</v>
      </c>
      <c r="H1922" s="56">
        <v>11</v>
      </c>
      <c r="I1922" s="56">
        <v>400</v>
      </c>
      <c r="J1922" s="59" t="s">
        <v>1181</v>
      </c>
      <c r="K1922" s="59">
        <v>1</v>
      </c>
      <c r="L1922" s="59">
        <f t="shared" ref="L1922:L1985" si="30">H1922*I1922</f>
        <v>4400</v>
      </c>
      <c r="M1922" s="59"/>
    </row>
    <row r="1923" spans="1:14" ht="30">
      <c r="A1923" s="56">
        <v>250</v>
      </c>
      <c r="B1923" s="56">
        <v>250</v>
      </c>
      <c r="C1923" s="56">
        <v>250</v>
      </c>
      <c r="D1923" s="56" t="s">
        <v>1740</v>
      </c>
      <c r="F1923" s="56" t="s">
        <v>24</v>
      </c>
      <c r="G1923" s="56">
        <v>1</v>
      </c>
      <c r="H1923" s="56">
        <v>11</v>
      </c>
      <c r="I1923" s="56">
        <v>400</v>
      </c>
      <c r="J1923" s="59" t="s">
        <v>1181</v>
      </c>
      <c r="K1923" s="59">
        <v>1</v>
      </c>
      <c r="L1923" s="59">
        <f t="shared" si="30"/>
        <v>4400</v>
      </c>
      <c r="M1923" s="59"/>
    </row>
    <row r="1924" spans="1:14" ht="30">
      <c r="A1924" s="56">
        <v>297</v>
      </c>
      <c r="B1924" s="56">
        <v>297</v>
      </c>
      <c r="C1924" s="56">
        <v>297</v>
      </c>
      <c r="D1924" s="56" t="s">
        <v>1268</v>
      </c>
      <c r="F1924" s="58" t="s">
        <v>24</v>
      </c>
      <c r="G1924" s="58">
        <v>1</v>
      </c>
      <c r="H1924" s="58">
        <v>11</v>
      </c>
      <c r="I1924" s="56">
        <v>150</v>
      </c>
      <c r="J1924" s="59" t="s">
        <v>1181</v>
      </c>
      <c r="K1924" s="59">
        <v>1</v>
      </c>
      <c r="L1924" s="59">
        <f t="shared" si="30"/>
        <v>1650</v>
      </c>
      <c r="M1924" s="59"/>
      <c r="N1924" s="58"/>
    </row>
    <row r="1925" spans="1:14" ht="30">
      <c r="A1925" s="56">
        <v>310</v>
      </c>
      <c r="B1925" s="56">
        <v>310</v>
      </c>
      <c r="C1925" s="56">
        <v>310</v>
      </c>
      <c r="D1925" s="56" t="s">
        <v>1786</v>
      </c>
      <c r="F1925" s="56" t="s">
        <v>24</v>
      </c>
      <c r="G1925" s="56">
        <v>1</v>
      </c>
      <c r="H1925" s="56">
        <v>11</v>
      </c>
      <c r="I1925" s="56">
        <v>250</v>
      </c>
      <c r="J1925" s="59" t="s">
        <v>1181</v>
      </c>
      <c r="K1925" s="59">
        <v>1</v>
      </c>
      <c r="L1925" s="59">
        <f t="shared" si="30"/>
        <v>2750</v>
      </c>
      <c r="M1925" s="59"/>
    </row>
    <row r="1926" spans="1:14" ht="30">
      <c r="A1926" s="56">
        <v>525</v>
      </c>
      <c r="B1926" s="56">
        <v>525</v>
      </c>
      <c r="C1926" s="56">
        <v>525</v>
      </c>
      <c r="D1926" s="56" t="s">
        <v>1987</v>
      </c>
      <c r="F1926" s="56" t="s">
        <v>24</v>
      </c>
      <c r="G1926" s="56">
        <v>1</v>
      </c>
      <c r="H1926" s="56">
        <v>11</v>
      </c>
      <c r="I1926" s="56">
        <v>290</v>
      </c>
      <c r="J1926" s="59" t="s">
        <v>1181</v>
      </c>
      <c r="K1926" s="59">
        <v>1</v>
      </c>
      <c r="L1926" s="59">
        <f t="shared" si="30"/>
        <v>3190</v>
      </c>
      <c r="M1926" s="59"/>
    </row>
    <row r="1927" spans="1:14" ht="30">
      <c r="A1927" s="56">
        <v>581</v>
      </c>
      <c r="B1927" s="56">
        <v>581</v>
      </c>
      <c r="C1927" s="56">
        <v>581</v>
      </c>
      <c r="D1927" s="56" t="s">
        <v>1221</v>
      </c>
      <c r="F1927" s="58" t="s">
        <v>24</v>
      </c>
      <c r="G1927" s="58">
        <v>1</v>
      </c>
      <c r="H1927" s="58">
        <v>11</v>
      </c>
      <c r="I1927" s="56">
        <v>28</v>
      </c>
      <c r="J1927" s="59" t="s">
        <v>1181</v>
      </c>
      <c r="K1927" s="59">
        <v>1</v>
      </c>
      <c r="L1927" s="59">
        <f t="shared" si="30"/>
        <v>308</v>
      </c>
      <c r="M1927" s="59"/>
      <c r="N1927" s="58"/>
    </row>
    <row r="1928" spans="1:14" ht="30">
      <c r="A1928" s="56">
        <v>589</v>
      </c>
      <c r="B1928" s="56">
        <v>589</v>
      </c>
      <c r="C1928" s="56">
        <v>589</v>
      </c>
      <c r="D1928" s="56" t="s">
        <v>2044</v>
      </c>
      <c r="F1928" s="56" t="s">
        <v>24</v>
      </c>
      <c r="G1928" s="56">
        <v>1</v>
      </c>
      <c r="H1928" s="56">
        <v>11</v>
      </c>
      <c r="I1928" s="56">
        <v>150</v>
      </c>
      <c r="J1928" s="59" t="s">
        <v>1181</v>
      </c>
      <c r="K1928" s="59">
        <v>1</v>
      </c>
      <c r="L1928" s="59">
        <f t="shared" si="30"/>
        <v>1650</v>
      </c>
      <c r="M1928" s="59"/>
    </row>
    <row r="1929" spans="1:14" ht="30">
      <c r="A1929" s="56">
        <v>613</v>
      </c>
      <c r="B1929" s="56">
        <v>613</v>
      </c>
      <c r="C1929" s="56">
        <v>613</v>
      </c>
      <c r="D1929" s="56" t="s">
        <v>2060</v>
      </c>
      <c r="F1929" s="56" t="s">
        <v>24</v>
      </c>
      <c r="G1929" s="56">
        <v>1</v>
      </c>
      <c r="H1929" s="56">
        <v>11</v>
      </c>
      <c r="I1929" s="56">
        <v>30</v>
      </c>
      <c r="J1929" s="59" t="s">
        <v>1181</v>
      </c>
      <c r="K1929" s="59">
        <v>1</v>
      </c>
      <c r="L1929" s="59">
        <f t="shared" si="30"/>
        <v>330</v>
      </c>
      <c r="M1929" s="59"/>
    </row>
    <row r="1930" spans="1:14" ht="30">
      <c r="A1930" s="56">
        <v>636</v>
      </c>
      <c r="B1930" s="56">
        <v>636</v>
      </c>
      <c r="C1930" s="56">
        <v>636</v>
      </c>
      <c r="D1930" s="56" t="s">
        <v>2080</v>
      </c>
      <c r="F1930" s="56" t="s">
        <v>24</v>
      </c>
      <c r="G1930" s="56">
        <v>1</v>
      </c>
      <c r="H1930" s="56">
        <v>11</v>
      </c>
      <c r="I1930" s="56">
        <v>250</v>
      </c>
      <c r="J1930" s="59" t="s">
        <v>1181</v>
      </c>
      <c r="K1930" s="59">
        <v>1</v>
      </c>
      <c r="L1930" s="59">
        <f t="shared" si="30"/>
        <v>2750</v>
      </c>
      <c r="M1930" s="59"/>
    </row>
    <row r="1931" spans="1:14" ht="30">
      <c r="A1931" s="56">
        <v>684</v>
      </c>
      <c r="B1931" s="56">
        <v>684</v>
      </c>
      <c r="C1931" s="56">
        <v>684</v>
      </c>
      <c r="D1931" s="56" t="s">
        <v>2128</v>
      </c>
      <c r="F1931" s="56" t="s">
        <v>24</v>
      </c>
      <c r="G1931" s="56">
        <v>1</v>
      </c>
      <c r="H1931" s="56">
        <v>11</v>
      </c>
      <c r="I1931" s="56">
        <v>2500</v>
      </c>
      <c r="J1931" s="59" t="s">
        <v>1181</v>
      </c>
      <c r="K1931" s="59">
        <v>1</v>
      </c>
      <c r="L1931" s="59">
        <f t="shared" si="30"/>
        <v>27500</v>
      </c>
      <c r="M1931" s="59"/>
    </row>
    <row r="1932" spans="1:14" ht="30">
      <c r="A1932" s="56">
        <v>690</v>
      </c>
      <c r="B1932" s="56">
        <v>690</v>
      </c>
      <c r="C1932" s="56">
        <v>690</v>
      </c>
      <c r="D1932" s="56" t="s">
        <v>2134</v>
      </c>
      <c r="F1932" s="56" t="s">
        <v>24</v>
      </c>
      <c r="G1932" s="56">
        <v>1</v>
      </c>
      <c r="H1932" s="56">
        <v>11</v>
      </c>
      <c r="I1932" s="56">
        <v>4700</v>
      </c>
      <c r="J1932" s="59" t="s">
        <v>1181</v>
      </c>
      <c r="K1932" s="59">
        <v>1</v>
      </c>
      <c r="L1932" s="59">
        <f t="shared" si="30"/>
        <v>51700</v>
      </c>
      <c r="M1932" s="59"/>
    </row>
    <row r="1933" spans="1:14" ht="30">
      <c r="A1933" s="56">
        <v>752</v>
      </c>
      <c r="B1933" s="56">
        <v>752</v>
      </c>
      <c r="C1933" s="56">
        <v>752</v>
      </c>
      <c r="D1933" s="56" t="s">
        <v>2194</v>
      </c>
      <c r="F1933" s="56" t="s">
        <v>24</v>
      </c>
      <c r="G1933" s="56">
        <v>1</v>
      </c>
      <c r="H1933" s="56">
        <v>11</v>
      </c>
      <c r="I1933" s="56">
        <v>1500</v>
      </c>
      <c r="J1933" s="59" t="s">
        <v>1181</v>
      </c>
      <c r="K1933" s="59">
        <v>1</v>
      </c>
      <c r="L1933" s="59">
        <f t="shared" si="30"/>
        <v>16500</v>
      </c>
      <c r="M1933" s="59"/>
    </row>
    <row r="1934" spans="1:14" ht="30">
      <c r="A1934" s="56">
        <v>878</v>
      </c>
      <c r="B1934" s="56">
        <v>878</v>
      </c>
      <c r="C1934" s="56">
        <v>878</v>
      </c>
      <c r="D1934" s="56" t="s">
        <v>1357</v>
      </c>
      <c r="F1934" s="58" t="s">
        <v>24</v>
      </c>
      <c r="G1934" s="58">
        <v>1</v>
      </c>
      <c r="H1934" s="58">
        <v>11</v>
      </c>
      <c r="I1934" s="56">
        <v>260</v>
      </c>
      <c r="J1934" s="59" t="s">
        <v>1181</v>
      </c>
      <c r="K1934" s="59">
        <v>1</v>
      </c>
      <c r="L1934" s="59">
        <f t="shared" si="30"/>
        <v>2860</v>
      </c>
      <c r="M1934" s="59"/>
      <c r="N1934" s="58"/>
    </row>
    <row r="1935" spans="1:14" ht="30">
      <c r="A1935" s="56">
        <v>888</v>
      </c>
      <c r="B1935" s="56">
        <v>888</v>
      </c>
      <c r="C1935" s="56">
        <v>888</v>
      </c>
      <c r="D1935" s="56" t="s">
        <v>2231</v>
      </c>
      <c r="F1935" s="56" t="s">
        <v>24</v>
      </c>
      <c r="G1935" s="56">
        <v>1</v>
      </c>
      <c r="H1935" s="56">
        <v>11</v>
      </c>
      <c r="I1935" s="56">
        <v>95</v>
      </c>
      <c r="J1935" s="59" t="s">
        <v>1181</v>
      </c>
      <c r="K1935" s="59">
        <v>1</v>
      </c>
      <c r="L1935" s="59">
        <f t="shared" si="30"/>
        <v>1045</v>
      </c>
      <c r="M1935" s="59"/>
    </row>
    <row r="1936" spans="1:14" ht="30">
      <c r="A1936" s="56">
        <v>931</v>
      </c>
      <c r="B1936" s="56">
        <v>931</v>
      </c>
      <c r="C1936" s="56">
        <v>931</v>
      </c>
      <c r="D1936" s="56" t="s">
        <v>2258</v>
      </c>
      <c r="F1936" s="56" t="s">
        <v>24</v>
      </c>
      <c r="G1936" s="56">
        <v>1</v>
      </c>
      <c r="H1936" s="56">
        <v>11</v>
      </c>
      <c r="I1936" s="56">
        <v>86</v>
      </c>
      <c r="J1936" s="59" t="s">
        <v>1181</v>
      </c>
      <c r="K1936" s="59">
        <v>1</v>
      </c>
      <c r="L1936" s="59">
        <f t="shared" si="30"/>
        <v>946</v>
      </c>
      <c r="M1936" s="59"/>
    </row>
    <row r="1937" spans="1:14" ht="30">
      <c r="A1937" s="56">
        <v>975</v>
      </c>
      <c r="B1937" s="56">
        <v>975</v>
      </c>
      <c r="C1937" s="56">
        <v>975</v>
      </c>
      <c r="D1937" s="56" t="s">
        <v>2276</v>
      </c>
      <c r="F1937" s="56" t="s">
        <v>24</v>
      </c>
      <c r="G1937" s="56">
        <v>1</v>
      </c>
      <c r="H1937" s="56">
        <v>11</v>
      </c>
      <c r="I1937" s="56">
        <v>385</v>
      </c>
      <c r="J1937" s="59" t="s">
        <v>1181</v>
      </c>
      <c r="K1937" s="59">
        <v>1</v>
      </c>
      <c r="L1937" s="59">
        <f t="shared" si="30"/>
        <v>4235</v>
      </c>
      <c r="M1937" s="59"/>
    </row>
    <row r="1938" spans="1:14" ht="30">
      <c r="A1938" s="56">
        <v>981</v>
      </c>
      <c r="B1938" s="56">
        <v>981</v>
      </c>
      <c r="C1938" s="56">
        <v>981</v>
      </c>
      <c r="D1938" s="56" t="s">
        <v>2281</v>
      </c>
      <c r="F1938" s="56" t="s">
        <v>24</v>
      </c>
      <c r="G1938" s="56">
        <v>1</v>
      </c>
      <c r="H1938" s="56">
        <v>11</v>
      </c>
      <c r="I1938" s="56">
        <v>210</v>
      </c>
      <c r="J1938" s="59" t="s">
        <v>1181</v>
      </c>
      <c r="K1938" s="59">
        <v>1</v>
      </c>
      <c r="L1938" s="59">
        <f t="shared" si="30"/>
        <v>2310</v>
      </c>
      <c r="M1938" s="59"/>
    </row>
    <row r="1939" spans="1:14" ht="30">
      <c r="A1939" s="56">
        <v>1013</v>
      </c>
      <c r="B1939" s="56">
        <v>1013</v>
      </c>
      <c r="C1939" s="56">
        <v>1013</v>
      </c>
      <c r="D1939" s="56" t="s">
        <v>2305</v>
      </c>
      <c r="F1939" s="56" t="s">
        <v>24</v>
      </c>
      <c r="G1939" s="56">
        <v>1</v>
      </c>
      <c r="H1939" s="56">
        <v>11</v>
      </c>
      <c r="I1939" s="56">
        <v>285</v>
      </c>
      <c r="J1939" s="59" t="s">
        <v>1181</v>
      </c>
      <c r="K1939" s="59">
        <v>1</v>
      </c>
      <c r="L1939" s="59">
        <f t="shared" si="30"/>
        <v>3135</v>
      </c>
      <c r="M1939" s="59"/>
    </row>
    <row r="1940" spans="1:14" ht="30">
      <c r="A1940" s="56">
        <v>1106</v>
      </c>
      <c r="B1940" s="56">
        <v>1106</v>
      </c>
      <c r="C1940" s="56">
        <v>1106</v>
      </c>
      <c r="D1940" s="56" t="s">
        <v>1412</v>
      </c>
      <c r="F1940" s="58" t="s">
        <v>24</v>
      </c>
      <c r="G1940" s="58">
        <v>1</v>
      </c>
      <c r="H1940" s="58">
        <v>11</v>
      </c>
      <c r="I1940" s="56">
        <v>200</v>
      </c>
      <c r="J1940" s="59" t="s">
        <v>1181</v>
      </c>
      <c r="K1940" s="59">
        <v>1</v>
      </c>
      <c r="L1940" s="59">
        <f t="shared" si="30"/>
        <v>2200</v>
      </c>
      <c r="M1940" s="59"/>
      <c r="N1940" s="58"/>
    </row>
    <row r="1941" spans="1:14" ht="30">
      <c r="A1941" s="56">
        <v>1117</v>
      </c>
      <c r="B1941" s="56">
        <v>1117</v>
      </c>
      <c r="C1941" s="56">
        <v>1117</v>
      </c>
      <c r="D1941" s="56" t="s">
        <v>2384</v>
      </c>
      <c r="F1941" s="56" t="s">
        <v>24</v>
      </c>
      <c r="G1941" s="56">
        <v>1</v>
      </c>
      <c r="H1941" s="56">
        <v>11</v>
      </c>
      <c r="I1941" s="56">
        <v>850</v>
      </c>
      <c r="J1941" s="59" t="s">
        <v>1181</v>
      </c>
      <c r="K1941" s="59">
        <v>1</v>
      </c>
      <c r="L1941" s="59">
        <f t="shared" si="30"/>
        <v>9350</v>
      </c>
      <c r="M1941" s="59"/>
    </row>
    <row r="1942" spans="1:14" ht="30">
      <c r="A1942" s="56">
        <v>1124</v>
      </c>
      <c r="B1942" s="56">
        <v>1124</v>
      </c>
      <c r="C1942" s="56">
        <v>1124</v>
      </c>
      <c r="D1942" s="56" t="s">
        <v>2391</v>
      </c>
      <c r="F1942" s="56" t="s">
        <v>24</v>
      </c>
      <c r="G1942" s="56">
        <v>1</v>
      </c>
      <c r="H1942" s="56">
        <v>11</v>
      </c>
      <c r="I1942" s="56">
        <v>1250</v>
      </c>
      <c r="J1942" s="59" t="s">
        <v>1181</v>
      </c>
      <c r="K1942" s="59">
        <v>1</v>
      </c>
      <c r="L1942" s="59">
        <f t="shared" si="30"/>
        <v>13750</v>
      </c>
      <c r="M1942" s="59"/>
    </row>
    <row r="1943" spans="1:14" ht="30">
      <c r="A1943" s="56">
        <v>1135</v>
      </c>
      <c r="B1943" s="56">
        <v>1135</v>
      </c>
      <c r="C1943" s="56">
        <v>1135</v>
      </c>
      <c r="D1943" s="56" t="s">
        <v>2401</v>
      </c>
      <c r="F1943" s="58" t="s">
        <v>24</v>
      </c>
      <c r="G1943" s="58">
        <v>1</v>
      </c>
      <c r="H1943" s="58">
        <v>11</v>
      </c>
      <c r="I1943" s="56">
        <v>250</v>
      </c>
      <c r="J1943" s="59" t="s">
        <v>1181</v>
      </c>
      <c r="K1943" s="59">
        <v>1</v>
      </c>
      <c r="L1943" s="59">
        <f t="shared" si="30"/>
        <v>2750</v>
      </c>
      <c r="M1943" s="59"/>
      <c r="N1943" s="58"/>
    </row>
    <row r="1944" spans="1:14" ht="30">
      <c r="A1944" s="56">
        <v>1184</v>
      </c>
      <c r="B1944" s="56">
        <v>1184</v>
      </c>
      <c r="C1944" s="56">
        <v>1184</v>
      </c>
      <c r="D1944" s="56" t="s">
        <v>2434</v>
      </c>
      <c r="F1944" s="56" t="s">
        <v>24</v>
      </c>
      <c r="G1944" s="56">
        <v>1</v>
      </c>
      <c r="H1944" s="56">
        <v>11</v>
      </c>
      <c r="I1944" s="56">
        <v>1450</v>
      </c>
      <c r="J1944" s="59" t="s">
        <v>1181</v>
      </c>
      <c r="K1944" s="59">
        <v>1</v>
      </c>
      <c r="L1944" s="59">
        <f t="shared" si="30"/>
        <v>15950</v>
      </c>
      <c r="M1944" s="59"/>
    </row>
    <row r="1945" spans="1:14" ht="30">
      <c r="A1945" s="56">
        <v>1189</v>
      </c>
      <c r="B1945" s="56">
        <v>1189</v>
      </c>
      <c r="C1945" s="56">
        <v>1189</v>
      </c>
      <c r="D1945" s="56" t="s">
        <v>2439</v>
      </c>
      <c r="F1945" s="56" t="s">
        <v>24</v>
      </c>
      <c r="G1945" s="56">
        <v>1</v>
      </c>
      <c r="H1945" s="56">
        <v>11</v>
      </c>
      <c r="I1945" s="56">
        <v>2200</v>
      </c>
      <c r="J1945" s="59" t="s">
        <v>1181</v>
      </c>
      <c r="K1945" s="59">
        <v>1</v>
      </c>
      <c r="L1945" s="59">
        <f t="shared" si="30"/>
        <v>24200</v>
      </c>
      <c r="M1945" s="59"/>
    </row>
    <row r="1946" spans="1:14" ht="30">
      <c r="A1946" s="56">
        <v>1232</v>
      </c>
      <c r="B1946" s="56">
        <v>1232</v>
      </c>
      <c r="C1946" s="56">
        <v>1232</v>
      </c>
      <c r="D1946" s="56" t="s">
        <v>1427</v>
      </c>
      <c r="F1946" s="58" t="s">
        <v>24</v>
      </c>
      <c r="G1946" s="58">
        <v>1</v>
      </c>
      <c r="H1946" s="58">
        <v>11</v>
      </c>
      <c r="I1946" s="56">
        <v>130</v>
      </c>
      <c r="J1946" s="59" t="s">
        <v>1181</v>
      </c>
      <c r="K1946" s="59">
        <v>1</v>
      </c>
      <c r="L1946" s="59">
        <f t="shared" si="30"/>
        <v>1430</v>
      </c>
      <c r="M1946" s="59"/>
      <c r="N1946" s="58"/>
    </row>
    <row r="1947" spans="1:14" ht="30">
      <c r="A1947" s="56">
        <v>1233</v>
      </c>
      <c r="B1947" s="56">
        <v>1233</v>
      </c>
      <c r="C1947" s="56">
        <v>1233</v>
      </c>
      <c r="D1947" s="56" t="s">
        <v>1428</v>
      </c>
      <c r="F1947" s="58" t="s">
        <v>24</v>
      </c>
      <c r="G1947" s="58">
        <v>1</v>
      </c>
      <c r="H1947" s="58">
        <v>11</v>
      </c>
      <c r="I1947" s="56">
        <v>276</v>
      </c>
      <c r="J1947" s="59" t="s">
        <v>1181</v>
      </c>
      <c r="K1947" s="59">
        <v>1</v>
      </c>
      <c r="L1947" s="59">
        <f t="shared" si="30"/>
        <v>3036</v>
      </c>
      <c r="M1947" s="59"/>
      <c r="N1947" s="58"/>
    </row>
    <row r="1948" spans="1:14" ht="30">
      <c r="A1948" s="56">
        <v>1236</v>
      </c>
      <c r="B1948" s="56">
        <v>1236</v>
      </c>
      <c r="C1948" s="56">
        <v>1236</v>
      </c>
      <c r="D1948" s="56" t="s">
        <v>1511</v>
      </c>
      <c r="F1948" s="58" t="s">
        <v>1190</v>
      </c>
      <c r="G1948" s="58">
        <v>1</v>
      </c>
      <c r="H1948" s="58">
        <v>11</v>
      </c>
      <c r="I1948" s="56">
        <v>150</v>
      </c>
      <c r="J1948" s="59" t="s">
        <v>1181</v>
      </c>
      <c r="K1948" s="59">
        <v>1</v>
      </c>
      <c r="L1948" s="59">
        <f t="shared" si="30"/>
        <v>1650</v>
      </c>
      <c r="M1948" s="59"/>
      <c r="N1948" s="58"/>
    </row>
    <row r="1949" spans="1:14" ht="30">
      <c r="A1949" s="56">
        <v>1302</v>
      </c>
      <c r="B1949" s="56">
        <v>1302</v>
      </c>
      <c r="C1949" s="56">
        <v>1302</v>
      </c>
      <c r="D1949" s="56" t="s">
        <v>2526</v>
      </c>
      <c r="F1949" s="56" t="s">
        <v>24</v>
      </c>
      <c r="G1949" s="56">
        <v>1</v>
      </c>
      <c r="H1949" s="56">
        <v>11</v>
      </c>
      <c r="I1949" s="56">
        <v>120</v>
      </c>
      <c r="J1949" s="59" t="s">
        <v>1181</v>
      </c>
      <c r="K1949" s="59">
        <v>1</v>
      </c>
      <c r="L1949" s="59">
        <f t="shared" si="30"/>
        <v>1320</v>
      </c>
      <c r="M1949" s="59"/>
    </row>
    <row r="1950" spans="1:14" ht="30">
      <c r="A1950" s="56">
        <v>1307</v>
      </c>
      <c r="B1950" s="56">
        <v>1307</v>
      </c>
      <c r="C1950" s="56">
        <v>1307</v>
      </c>
      <c r="D1950" s="56" t="s">
        <v>2531</v>
      </c>
      <c r="F1950" s="56" t="s">
        <v>24</v>
      </c>
      <c r="G1950" s="56">
        <v>1</v>
      </c>
      <c r="H1950" s="56">
        <v>11</v>
      </c>
      <c r="I1950" s="56">
        <v>150</v>
      </c>
      <c r="J1950" s="59" t="s">
        <v>1181</v>
      </c>
      <c r="K1950" s="59">
        <v>1</v>
      </c>
      <c r="L1950" s="59">
        <f t="shared" si="30"/>
        <v>1650</v>
      </c>
      <c r="M1950" s="59"/>
    </row>
    <row r="1951" spans="1:14" ht="30">
      <c r="A1951" s="56">
        <v>1329</v>
      </c>
      <c r="B1951" s="56">
        <v>1329</v>
      </c>
      <c r="C1951" s="56">
        <v>1329</v>
      </c>
      <c r="D1951" s="56" t="s">
        <v>2552</v>
      </c>
      <c r="F1951" s="56" t="s">
        <v>24</v>
      </c>
      <c r="G1951" s="56">
        <v>1</v>
      </c>
      <c r="H1951" s="56">
        <v>11</v>
      </c>
      <c r="I1951" s="56">
        <v>350</v>
      </c>
      <c r="J1951" s="59" t="s">
        <v>1181</v>
      </c>
      <c r="K1951" s="59">
        <v>1</v>
      </c>
      <c r="L1951" s="59">
        <f t="shared" si="30"/>
        <v>3850</v>
      </c>
      <c r="M1951" s="59"/>
    </row>
    <row r="1952" spans="1:14" ht="30">
      <c r="A1952" s="56">
        <v>1337</v>
      </c>
      <c r="B1952" s="56">
        <v>1337</v>
      </c>
      <c r="C1952" s="56">
        <v>1337</v>
      </c>
      <c r="D1952" s="56" t="s">
        <v>2560</v>
      </c>
      <c r="F1952" s="56" t="s">
        <v>24</v>
      </c>
      <c r="G1952" s="56">
        <v>1</v>
      </c>
      <c r="H1952" s="56">
        <v>11</v>
      </c>
      <c r="I1952" s="56">
        <v>300</v>
      </c>
      <c r="J1952" s="59" t="s">
        <v>1181</v>
      </c>
      <c r="K1952" s="59">
        <v>1</v>
      </c>
      <c r="L1952" s="59">
        <f t="shared" si="30"/>
        <v>3300</v>
      </c>
      <c r="M1952" s="59"/>
    </row>
    <row r="1953" spans="1:13" ht="30">
      <c r="A1953" s="56">
        <v>1341</v>
      </c>
      <c r="B1953" s="56">
        <v>1341</v>
      </c>
      <c r="C1953" s="56">
        <v>1341</v>
      </c>
      <c r="D1953" s="56" t="s">
        <v>2564</v>
      </c>
      <c r="F1953" s="56" t="s">
        <v>24</v>
      </c>
      <c r="G1953" s="56">
        <v>1</v>
      </c>
      <c r="H1953" s="56">
        <v>11</v>
      </c>
      <c r="I1953" s="56">
        <v>300</v>
      </c>
      <c r="J1953" s="59" t="s">
        <v>1181</v>
      </c>
      <c r="K1953" s="59">
        <v>1</v>
      </c>
      <c r="L1953" s="59">
        <f t="shared" si="30"/>
        <v>3300</v>
      </c>
      <c r="M1953" s="59"/>
    </row>
    <row r="1954" spans="1:13" ht="30">
      <c r="A1954" s="56">
        <v>1380</v>
      </c>
      <c r="B1954" s="56">
        <v>1380</v>
      </c>
      <c r="C1954" s="56">
        <v>1380</v>
      </c>
      <c r="D1954" s="56" t="s">
        <v>2594</v>
      </c>
      <c r="F1954" s="56" t="s">
        <v>24</v>
      </c>
      <c r="G1954" s="56">
        <v>1</v>
      </c>
      <c r="H1954" s="56">
        <v>11</v>
      </c>
      <c r="I1954" s="56">
        <v>350</v>
      </c>
      <c r="J1954" s="59" t="s">
        <v>1181</v>
      </c>
      <c r="K1954" s="59">
        <v>1</v>
      </c>
      <c r="L1954" s="59">
        <f t="shared" si="30"/>
        <v>3850</v>
      </c>
      <c r="M1954" s="59"/>
    </row>
    <row r="1955" spans="1:13" ht="30">
      <c r="A1955" s="56">
        <v>1396</v>
      </c>
      <c r="B1955" s="56">
        <v>1396</v>
      </c>
      <c r="C1955" s="56">
        <v>1396</v>
      </c>
      <c r="D1955" s="56" t="s">
        <v>2608</v>
      </c>
      <c r="F1955" s="56" t="s">
        <v>24</v>
      </c>
      <c r="G1955" s="56">
        <v>1</v>
      </c>
      <c r="H1955" s="56">
        <v>11</v>
      </c>
      <c r="I1955" s="56">
        <v>170</v>
      </c>
      <c r="J1955" s="59" t="s">
        <v>1181</v>
      </c>
      <c r="K1955" s="59">
        <v>1</v>
      </c>
      <c r="L1955" s="59">
        <f t="shared" si="30"/>
        <v>1870</v>
      </c>
      <c r="M1955" s="59"/>
    </row>
    <row r="1956" spans="1:13" ht="30">
      <c r="A1956" s="56">
        <v>1470</v>
      </c>
      <c r="B1956" s="56">
        <v>1470</v>
      </c>
      <c r="C1956" s="56">
        <v>1470</v>
      </c>
      <c r="D1956" s="56" t="s">
        <v>2665</v>
      </c>
      <c r="F1956" s="56" t="s">
        <v>24</v>
      </c>
      <c r="G1956" s="56">
        <v>1</v>
      </c>
      <c r="H1956" s="56">
        <v>11</v>
      </c>
      <c r="I1956" s="56">
        <v>56</v>
      </c>
      <c r="J1956" s="59" t="s">
        <v>1181</v>
      </c>
      <c r="K1956" s="59">
        <v>1</v>
      </c>
      <c r="L1956" s="59">
        <f t="shared" si="30"/>
        <v>616</v>
      </c>
      <c r="M1956" s="59"/>
    </row>
    <row r="1957" spans="1:13" ht="30">
      <c r="A1957" s="56">
        <v>1554</v>
      </c>
      <c r="B1957" s="56">
        <v>1554</v>
      </c>
      <c r="C1957" s="56">
        <v>1554</v>
      </c>
      <c r="D1957" s="56" t="s">
        <v>2744</v>
      </c>
      <c r="F1957" s="56" t="s">
        <v>24</v>
      </c>
      <c r="G1957" s="56">
        <v>1</v>
      </c>
      <c r="H1957" s="56">
        <v>11</v>
      </c>
      <c r="I1957" s="56">
        <v>1300</v>
      </c>
      <c r="J1957" s="59" t="s">
        <v>1181</v>
      </c>
      <c r="K1957" s="59">
        <v>1</v>
      </c>
      <c r="L1957" s="59">
        <f t="shared" si="30"/>
        <v>14300</v>
      </c>
      <c r="M1957" s="59"/>
    </row>
    <row r="1958" spans="1:13" ht="30">
      <c r="A1958" s="56">
        <v>1564</v>
      </c>
      <c r="B1958" s="56">
        <v>1564</v>
      </c>
      <c r="C1958" s="56">
        <v>1564</v>
      </c>
      <c r="D1958" s="56" t="s">
        <v>2754</v>
      </c>
      <c r="F1958" s="56" t="s">
        <v>24</v>
      </c>
      <c r="G1958" s="56">
        <v>1</v>
      </c>
      <c r="H1958" s="56">
        <v>11</v>
      </c>
      <c r="I1958" s="56">
        <v>1100</v>
      </c>
      <c r="J1958" s="59" t="s">
        <v>1181</v>
      </c>
      <c r="K1958" s="59">
        <v>1</v>
      </c>
      <c r="L1958" s="59">
        <f t="shared" si="30"/>
        <v>12100</v>
      </c>
      <c r="M1958" s="59"/>
    </row>
    <row r="1959" spans="1:13" ht="30">
      <c r="A1959" s="56">
        <v>1585</v>
      </c>
      <c r="B1959" s="56">
        <v>1585</v>
      </c>
      <c r="C1959" s="56">
        <v>1585</v>
      </c>
      <c r="D1959" s="56" t="s">
        <v>2771</v>
      </c>
      <c r="F1959" s="56" t="s">
        <v>24</v>
      </c>
      <c r="G1959" s="56">
        <v>1</v>
      </c>
      <c r="H1959" s="56">
        <v>11</v>
      </c>
      <c r="I1959" s="56">
        <v>220</v>
      </c>
      <c r="J1959" s="59" t="s">
        <v>1181</v>
      </c>
      <c r="K1959" s="59">
        <v>1</v>
      </c>
      <c r="L1959" s="59">
        <f t="shared" si="30"/>
        <v>2420</v>
      </c>
      <c r="M1959" s="59"/>
    </row>
    <row r="1960" spans="1:13" ht="30">
      <c r="A1960" s="56">
        <v>1615</v>
      </c>
      <c r="B1960" s="56">
        <v>1615</v>
      </c>
      <c r="C1960" s="56">
        <v>1615</v>
      </c>
      <c r="D1960" s="56" t="s">
        <v>2797</v>
      </c>
      <c r="F1960" s="56" t="s">
        <v>24</v>
      </c>
      <c r="G1960" s="56">
        <v>1</v>
      </c>
      <c r="H1960" s="56">
        <v>11</v>
      </c>
      <c r="I1960" s="56">
        <v>230</v>
      </c>
      <c r="J1960" s="59" t="s">
        <v>1181</v>
      </c>
      <c r="K1960" s="59">
        <v>1</v>
      </c>
      <c r="L1960" s="59">
        <f t="shared" si="30"/>
        <v>2530</v>
      </c>
      <c r="M1960" s="59"/>
    </row>
    <row r="1961" spans="1:13" ht="30">
      <c r="A1961" s="56">
        <v>1641</v>
      </c>
      <c r="B1961" s="56">
        <v>1641</v>
      </c>
      <c r="C1961" s="56">
        <v>1641</v>
      </c>
      <c r="D1961" s="56" t="s">
        <v>2817</v>
      </c>
      <c r="F1961" s="56" t="s">
        <v>24</v>
      </c>
      <c r="G1961" s="56">
        <v>1</v>
      </c>
      <c r="H1961" s="56">
        <v>11</v>
      </c>
      <c r="I1961" s="56">
        <v>280</v>
      </c>
      <c r="J1961" s="59" t="s">
        <v>1181</v>
      </c>
      <c r="K1961" s="59">
        <v>1</v>
      </c>
      <c r="L1961" s="59">
        <f t="shared" si="30"/>
        <v>3080</v>
      </c>
      <c r="M1961" s="59"/>
    </row>
    <row r="1962" spans="1:13" ht="30">
      <c r="A1962" s="56">
        <v>1648</v>
      </c>
      <c r="B1962" s="56">
        <v>1648</v>
      </c>
      <c r="C1962" s="56">
        <v>1648</v>
      </c>
      <c r="D1962" s="56" t="s">
        <v>1454</v>
      </c>
      <c r="F1962" s="58" t="s">
        <v>24</v>
      </c>
      <c r="G1962" s="58">
        <v>1</v>
      </c>
      <c r="H1962" s="58">
        <v>11</v>
      </c>
      <c r="I1962" s="56">
        <v>150</v>
      </c>
      <c r="J1962" s="59" t="s">
        <v>1181</v>
      </c>
      <c r="K1962" s="59">
        <v>1</v>
      </c>
      <c r="L1962" s="59">
        <f t="shared" si="30"/>
        <v>1650</v>
      </c>
      <c r="M1962" s="59"/>
    </row>
    <row r="1963" spans="1:13" ht="30">
      <c r="A1963" s="56">
        <v>1661</v>
      </c>
      <c r="B1963" s="56">
        <v>1661</v>
      </c>
      <c r="C1963" s="56">
        <v>1661</v>
      </c>
      <c r="D1963" s="56" t="s">
        <v>2828</v>
      </c>
      <c r="F1963" s="56" t="s">
        <v>24</v>
      </c>
      <c r="G1963" s="56">
        <v>1</v>
      </c>
      <c r="H1963" s="56">
        <v>11</v>
      </c>
      <c r="I1963" s="56">
        <v>250</v>
      </c>
      <c r="J1963" s="59" t="s">
        <v>1181</v>
      </c>
      <c r="K1963" s="59">
        <v>1</v>
      </c>
      <c r="L1963" s="59">
        <f t="shared" si="30"/>
        <v>2750</v>
      </c>
      <c r="M1963" s="59"/>
    </row>
    <row r="1964" spans="1:13" ht="30">
      <c r="A1964" s="56">
        <v>1664</v>
      </c>
      <c r="B1964" s="56">
        <v>1664</v>
      </c>
      <c r="C1964" s="56">
        <v>1664</v>
      </c>
      <c r="D1964" s="56" t="s">
        <v>2830</v>
      </c>
      <c r="F1964" s="56" t="s">
        <v>24</v>
      </c>
      <c r="G1964" s="56">
        <v>1</v>
      </c>
      <c r="H1964" s="56">
        <v>11</v>
      </c>
      <c r="I1964" s="56">
        <v>250</v>
      </c>
      <c r="J1964" s="59" t="s">
        <v>1181</v>
      </c>
      <c r="K1964" s="59">
        <v>1</v>
      </c>
      <c r="L1964" s="59">
        <f t="shared" si="30"/>
        <v>2750</v>
      </c>
      <c r="M1964" s="59"/>
    </row>
    <row r="1965" spans="1:13" ht="30">
      <c r="A1965" s="56">
        <v>1680</v>
      </c>
      <c r="B1965" s="56">
        <v>1680</v>
      </c>
      <c r="C1965" s="56">
        <v>1680</v>
      </c>
      <c r="D1965" s="56" t="s">
        <v>2839</v>
      </c>
      <c r="F1965" s="56" t="s">
        <v>24</v>
      </c>
      <c r="G1965" s="56">
        <v>1</v>
      </c>
      <c r="H1965" s="56">
        <v>11</v>
      </c>
      <c r="I1965" s="56">
        <v>250</v>
      </c>
      <c r="J1965" s="59" t="s">
        <v>1181</v>
      </c>
      <c r="K1965" s="59">
        <v>1</v>
      </c>
      <c r="L1965" s="59">
        <f t="shared" si="30"/>
        <v>2750</v>
      </c>
      <c r="M1965" s="59"/>
    </row>
    <row r="1966" spans="1:13" ht="30">
      <c r="A1966" s="56">
        <v>1699</v>
      </c>
      <c r="B1966" s="56">
        <v>1699</v>
      </c>
      <c r="C1966" s="56">
        <v>1699</v>
      </c>
      <c r="D1966" s="56" t="s">
        <v>2853</v>
      </c>
      <c r="F1966" s="56" t="s">
        <v>24</v>
      </c>
      <c r="G1966" s="56">
        <v>1</v>
      </c>
      <c r="H1966" s="56">
        <v>11</v>
      </c>
      <c r="I1966" s="56">
        <v>650</v>
      </c>
      <c r="J1966" s="59" t="s">
        <v>1181</v>
      </c>
      <c r="K1966" s="59">
        <v>1</v>
      </c>
      <c r="L1966" s="59">
        <f t="shared" si="30"/>
        <v>7150</v>
      </c>
      <c r="M1966" s="59"/>
    </row>
    <row r="1967" spans="1:13" ht="30">
      <c r="A1967" s="56">
        <v>1716</v>
      </c>
      <c r="B1967" s="56">
        <v>1716</v>
      </c>
      <c r="C1967" s="56">
        <v>1716</v>
      </c>
      <c r="D1967" s="56" t="s">
        <v>1469</v>
      </c>
      <c r="F1967" s="58" t="s">
        <v>24</v>
      </c>
      <c r="G1967" s="58">
        <v>1</v>
      </c>
      <c r="H1967" s="58">
        <v>11</v>
      </c>
      <c r="I1967" s="56">
        <v>167</v>
      </c>
      <c r="J1967" s="59" t="s">
        <v>1181</v>
      </c>
      <c r="K1967" s="59">
        <v>1</v>
      </c>
      <c r="L1967" s="59">
        <f t="shared" si="30"/>
        <v>1837</v>
      </c>
      <c r="M1967" s="59"/>
    </row>
    <row r="1968" spans="1:13" ht="30">
      <c r="A1968" s="56">
        <v>1720</v>
      </c>
      <c r="B1968" s="56">
        <v>1720</v>
      </c>
      <c r="C1968" s="56">
        <v>1720</v>
      </c>
      <c r="D1968" s="56" t="s">
        <v>2872</v>
      </c>
      <c r="F1968" s="56" t="s">
        <v>24</v>
      </c>
      <c r="G1968" s="56">
        <v>1</v>
      </c>
      <c r="H1968" s="56">
        <v>11</v>
      </c>
      <c r="I1968" s="56">
        <v>166</v>
      </c>
      <c r="J1968" s="59" t="s">
        <v>1181</v>
      </c>
      <c r="K1968" s="59">
        <v>1</v>
      </c>
      <c r="L1968" s="59">
        <f t="shared" si="30"/>
        <v>1826</v>
      </c>
      <c r="M1968" s="59"/>
    </row>
    <row r="1969" spans="1:13" ht="30">
      <c r="A1969" s="56">
        <v>1728</v>
      </c>
      <c r="B1969" s="56">
        <v>1728</v>
      </c>
      <c r="C1969" s="56">
        <v>1728</v>
      </c>
      <c r="D1969" s="56" t="s">
        <v>2879</v>
      </c>
      <c r="F1969" s="56" t="s">
        <v>24</v>
      </c>
      <c r="G1969" s="56">
        <v>1</v>
      </c>
      <c r="H1969" s="56">
        <v>11</v>
      </c>
      <c r="I1969" s="56">
        <v>650</v>
      </c>
      <c r="J1969" s="59" t="s">
        <v>1181</v>
      </c>
      <c r="K1969" s="59">
        <v>1</v>
      </c>
      <c r="L1969" s="59">
        <f t="shared" si="30"/>
        <v>7150</v>
      </c>
      <c r="M1969" s="59"/>
    </row>
    <row r="1970" spans="1:13" ht="30">
      <c r="A1970" s="56">
        <v>1749</v>
      </c>
      <c r="B1970" s="56">
        <v>1749</v>
      </c>
      <c r="C1970" s="56">
        <v>1749</v>
      </c>
      <c r="D1970" s="56" t="s">
        <v>2895</v>
      </c>
      <c r="F1970" s="56" t="s">
        <v>24</v>
      </c>
      <c r="G1970" s="56">
        <v>1</v>
      </c>
      <c r="H1970" s="56">
        <v>11</v>
      </c>
      <c r="I1970" s="56">
        <v>30</v>
      </c>
      <c r="J1970" s="59" t="s">
        <v>1181</v>
      </c>
      <c r="K1970" s="59">
        <v>1</v>
      </c>
      <c r="L1970" s="59">
        <f t="shared" si="30"/>
        <v>330</v>
      </c>
      <c r="M1970" s="59"/>
    </row>
    <row r="1971" spans="1:13" ht="30">
      <c r="A1971" s="56">
        <v>1778</v>
      </c>
      <c r="B1971" s="56">
        <v>1778</v>
      </c>
      <c r="C1971" s="56">
        <v>1778</v>
      </c>
      <c r="D1971" s="56" t="s">
        <v>2921</v>
      </c>
      <c r="F1971" s="56" t="s">
        <v>24</v>
      </c>
      <c r="G1971" s="56">
        <v>1</v>
      </c>
      <c r="H1971" s="56">
        <v>11</v>
      </c>
      <c r="I1971" s="56">
        <v>130</v>
      </c>
      <c r="J1971" s="59" t="s">
        <v>1181</v>
      </c>
      <c r="K1971" s="59">
        <v>1</v>
      </c>
      <c r="L1971" s="59">
        <f t="shared" si="30"/>
        <v>1430</v>
      </c>
      <c r="M1971" s="59"/>
    </row>
    <row r="1972" spans="1:13" ht="30">
      <c r="A1972" s="56">
        <v>1816</v>
      </c>
      <c r="B1972" s="56">
        <v>1816</v>
      </c>
      <c r="C1972" s="56">
        <v>1816</v>
      </c>
      <c r="D1972" s="56" t="s">
        <v>2952</v>
      </c>
      <c r="F1972" s="56" t="s">
        <v>24</v>
      </c>
      <c r="G1972" s="56">
        <v>1</v>
      </c>
      <c r="H1972" s="56">
        <v>11</v>
      </c>
      <c r="I1972" s="56">
        <v>180</v>
      </c>
      <c r="J1972" s="59" t="s">
        <v>1181</v>
      </c>
      <c r="K1972" s="59">
        <v>1</v>
      </c>
      <c r="L1972" s="59">
        <f t="shared" si="30"/>
        <v>1980</v>
      </c>
      <c r="M1972" s="59"/>
    </row>
    <row r="1973" spans="1:13" ht="30">
      <c r="A1973" s="56">
        <v>1951</v>
      </c>
      <c r="B1973" s="56">
        <v>1951</v>
      </c>
      <c r="C1973" s="56">
        <v>1951</v>
      </c>
      <c r="D1973" s="56" t="s">
        <v>1243</v>
      </c>
      <c r="F1973" s="58" t="s">
        <v>3076</v>
      </c>
      <c r="G1973" s="58">
        <v>1</v>
      </c>
      <c r="H1973" s="58">
        <v>11</v>
      </c>
      <c r="I1973" s="56">
        <v>2700</v>
      </c>
      <c r="J1973" s="59" t="s">
        <v>1181</v>
      </c>
      <c r="K1973" s="59">
        <v>1</v>
      </c>
      <c r="L1973" s="59">
        <f t="shared" si="30"/>
        <v>29700</v>
      </c>
      <c r="M1973" s="59"/>
    </row>
    <row r="1974" spans="1:13" ht="30">
      <c r="A1974" s="56">
        <v>961</v>
      </c>
      <c r="B1974" s="56">
        <v>961</v>
      </c>
      <c r="C1974" s="56">
        <v>961</v>
      </c>
      <c r="D1974" s="56" t="s">
        <v>1382</v>
      </c>
      <c r="F1974" s="58" t="s">
        <v>1185</v>
      </c>
      <c r="G1974" s="58">
        <v>12</v>
      </c>
      <c r="H1974" s="56">
        <v>12</v>
      </c>
      <c r="I1974" s="56">
        <v>500</v>
      </c>
      <c r="J1974" s="59" t="s">
        <v>1181</v>
      </c>
      <c r="K1974" s="59">
        <v>1</v>
      </c>
      <c r="L1974" s="59">
        <f t="shared" si="30"/>
        <v>6000</v>
      </c>
      <c r="M1974" s="59"/>
    </row>
    <row r="1975" spans="1:13" ht="30">
      <c r="A1975" s="56">
        <v>1173</v>
      </c>
      <c r="B1975" s="56">
        <v>1173</v>
      </c>
      <c r="C1975" s="56">
        <v>1173</v>
      </c>
      <c r="D1975" s="56" t="s">
        <v>1417</v>
      </c>
      <c r="F1975" s="58" t="s">
        <v>1180</v>
      </c>
      <c r="G1975" s="58">
        <v>12</v>
      </c>
      <c r="H1975" s="56">
        <v>12</v>
      </c>
      <c r="I1975" s="56">
        <v>320</v>
      </c>
      <c r="J1975" s="59" t="s">
        <v>1181</v>
      </c>
      <c r="K1975" s="59">
        <v>1</v>
      </c>
      <c r="L1975" s="59">
        <f t="shared" si="30"/>
        <v>3840</v>
      </c>
      <c r="M1975" s="59"/>
    </row>
    <row r="1976" spans="1:13" ht="30">
      <c r="A1976" s="56">
        <v>1175</v>
      </c>
      <c r="B1976" s="56">
        <v>1175</v>
      </c>
      <c r="C1976" s="56">
        <v>1175</v>
      </c>
      <c r="D1976" s="56" t="s">
        <v>1510</v>
      </c>
      <c r="F1976" s="58" t="s">
        <v>1180</v>
      </c>
      <c r="G1976" s="58">
        <v>10</v>
      </c>
      <c r="H1976" s="56">
        <v>12</v>
      </c>
      <c r="I1976" s="56">
        <v>850</v>
      </c>
      <c r="J1976" s="59" t="s">
        <v>1181</v>
      </c>
      <c r="K1976" s="59">
        <v>1</v>
      </c>
      <c r="L1976" s="59">
        <f t="shared" si="30"/>
        <v>10200</v>
      </c>
      <c r="M1976" s="59"/>
    </row>
    <row r="1977" spans="1:13" ht="30">
      <c r="A1977" s="56">
        <v>79</v>
      </c>
      <c r="B1977" s="56">
        <v>79</v>
      </c>
      <c r="C1977" s="56">
        <v>79</v>
      </c>
      <c r="D1977" s="56" t="s">
        <v>1600</v>
      </c>
      <c r="F1977" s="56" t="s">
        <v>24</v>
      </c>
      <c r="G1977" s="56">
        <v>1</v>
      </c>
      <c r="H1977" s="56">
        <v>12</v>
      </c>
      <c r="I1977" s="56">
        <v>850</v>
      </c>
      <c r="J1977" s="59" t="s">
        <v>1181</v>
      </c>
      <c r="K1977" s="59">
        <v>1</v>
      </c>
      <c r="L1977" s="59">
        <f t="shared" si="30"/>
        <v>10200</v>
      </c>
      <c r="M1977" s="59"/>
    </row>
    <row r="1978" spans="1:13" ht="30">
      <c r="A1978" s="56">
        <v>295</v>
      </c>
      <c r="B1978" s="56">
        <v>295</v>
      </c>
      <c r="C1978" s="56">
        <v>295</v>
      </c>
      <c r="D1978" s="56" t="s">
        <v>1774</v>
      </c>
      <c r="F1978" s="56" t="s">
        <v>24</v>
      </c>
      <c r="G1978" s="56">
        <v>1</v>
      </c>
      <c r="H1978" s="56">
        <v>12</v>
      </c>
      <c r="I1978" s="56">
        <v>210</v>
      </c>
      <c r="J1978" s="59" t="s">
        <v>1181</v>
      </c>
      <c r="K1978" s="59">
        <v>1</v>
      </c>
      <c r="L1978" s="59">
        <f t="shared" si="30"/>
        <v>2520</v>
      </c>
      <c r="M1978" s="59"/>
    </row>
    <row r="1979" spans="1:13" ht="30">
      <c r="A1979" s="56">
        <v>298</v>
      </c>
      <c r="B1979" s="56">
        <v>298</v>
      </c>
      <c r="C1979" s="56">
        <v>298</v>
      </c>
      <c r="D1979" s="56" t="s">
        <v>1775</v>
      </c>
      <c r="F1979" s="56" t="s">
        <v>24</v>
      </c>
      <c r="G1979" s="56">
        <v>1</v>
      </c>
      <c r="H1979" s="56">
        <v>12</v>
      </c>
      <c r="I1979" s="56">
        <v>200</v>
      </c>
      <c r="J1979" s="59" t="s">
        <v>1181</v>
      </c>
      <c r="K1979" s="59">
        <v>1</v>
      </c>
      <c r="L1979" s="59">
        <f t="shared" si="30"/>
        <v>2400</v>
      </c>
      <c r="M1979" s="59"/>
    </row>
    <row r="1980" spans="1:13" ht="30">
      <c r="A1980" s="56">
        <v>309</v>
      </c>
      <c r="B1980" s="56">
        <v>309</v>
      </c>
      <c r="C1980" s="56">
        <v>309</v>
      </c>
      <c r="D1980" s="56" t="s">
        <v>1785</v>
      </c>
      <c r="F1980" s="56" t="s">
        <v>24</v>
      </c>
      <c r="G1980" s="56">
        <v>1</v>
      </c>
      <c r="H1980" s="56">
        <v>12</v>
      </c>
      <c r="I1980" s="56">
        <v>350</v>
      </c>
      <c r="J1980" s="59" t="s">
        <v>1181</v>
      </c>
      <c r="K1980" s="59">
        <v>1</v>
      </c>
      <c r="L1980" s="59">
        <f t="shared" si="30"/>
        <v>4200</v>
      </c>
      <c r="M1980" s="59"/>
    </row>
    <row r="1981" spans="1:13" ht="30">
      <c r="A1981" s="56">
        <v>386</v>
      </c>
      <c r="B1981" s="56">
        <v>386</v>
      </c>
      <c r="C1981" s="56">
        <v>386</v>
      </c>
      <c r="D1981" s="56" t="s">
        <v>1859</v>
      </c>
      <c r="F1981" s="56" t="s">
        <v>24</v>
      </c>
      <c r="G1981" s="56">
        <v>1</v>
      </c>
      <c r="H1981" s="56">
        <v>12</v>
      </c>
      <c r="I1981" s="56">
        <v>250</v>
      </c>
      <c r="J1981" s="59" t="s">
        <v>1181</v>
      </c>
      <c r="K1981" s="59">
        <v>1</v>
      </c>
      <c r="L1981" s="59">
        <f t="shared" si="30"/>
        <v>3000</v>
      </c>
      <c r="M1981" s="59"/>
    </row>
    <row r="1982" spans="1:13" ht="30">
      <c r="A1982" s="56">
        <v>394</v>
      </c>
      <c r="B1982" s="56">
        <v>394</v>
      </c>
      <c r="C1982" s="56">
        <v>394</v>
      </c>
      <c r="D1982" s="56" t="s">
        <v>1867</v>
      </c>
      <c r="F1982" s="56" t="s">
        <v>24</v>
      </c>
      <c r="G1982" s="56">
        <v>1</v>
      </c>
      <c r="H1982" s="56">
        <v>12</v>
      </c>
      <c r="I1982" s="56">
        <v>950</v>
      </c>
      <c r="J1982" s="59" t="s">
        <v>1181</v>
      </c>
      <c r="K1982" s="59">
        <v>1</v>
      </c>
      <c r="L1982" s="59">
        <f t="shared" si="30"/>
        <v>11400</v>
      </c>
      <c r="M1982" s="59"/>
    </row>
    <row r="1983" spans="1:13" ht="30">
      <c r="A1983" s="56">
        <v>436</v>
      </c>
      <c r="B1983" s="56">
        <v>436</v>
      </c>
      <c r="C1983" s="56">
        <v>436</v>
      </c>
      <c r="D1983" s="56" t="s">
        <v>1905</v>
      </c>
      <c r="F1983" s="56" t="s">
        <v>24</v>
      </c>
      <c r="G1983" s="56">
        <v>1</v>
      </c>
      <c r="H1983" s="56">
        <v>12</v>
      </c>
      <c r="I1983" s="56">
        <v>50</v>
      </c>
      <c r="J1983" s="59" t="s">
        <v>1181</v>
      </c>
      <c r="K1983" s="59">
        <v>1</v>
      </c>
      <c r="L1983" s="59">
        <f t="shared" si="30"/>
        <v>600</v>
      </c>
      <c r="M1983" s="59"/>
    </row>
    <row r="1984" spans="1:13" ht="30">
      <c r="A1984" s="56">
        <v>482</v>
      </c>
      <c r="B1984" s="56">
        <v>482</v>
      </c>
      <c r="C1984" s="56">
        <v>482</v>
      </c>
      <c r="D1984" s="56" t="s">
        <v>1947</v>
      </c>
      <c r="F1984" s="56" t="s">
        <v>24</v>
      </c>
      <c r="G1984" s="56">
        <v>1</v>
      </c>
      <c r="H1984" s="56">
        <v>12</v>
      </c>
      <c r="I1984" s="56">
        <v>360</v>
      </c>
      <c r="J1984" s="59" t="s">
        <v>1181</v>
      </c>
      <c r="K1984" s="59">
        <v>1</v>
      </c>
      <c r="L1984" s="59">
        <f t="shared" si="30"/>
        <v>4320</v>
      </c>
      <c r="M1984" s="59"/>
    </row>
    <row r="1985" spans="1:14" ht="30">
      <c r="A1985" s="56">
        <v>593</v>
      </c>
      <c r="B1985" s="56">
        <v>593</v>
      </c>
      <c r="C1985" s="56">
        <v>593</v>
      </c>
      <c r="D1985" s="56" t="s">
        <v>1249</v>
      </c>
      <c r="F1985" s="58" t="s">
        <v>24</v>
      </c>
      <c r="G1985" s="58">
        <v>1</v>
      </c>
      <c r="H1985" s="58">
        <v>12</v>
      </c>
      <c r="I1985" s="56">
        <v>68</v>
      </c>
      <c r="J1985" s="59" t="s">
        <v>1181</v>
      </c>
      <c r="K1985" s="59">
        <v>1</v>
      </c>
      <c r="L1985" s="59">
        <f t="shared" si="30"/>
        <v>816</v>
      </c>
      <c r="M1985" s="59"/>
      <c r="N1985" s="58"/>
    </row>
    <row r="1986" spans="1:14" ht="30">
      <c r="A1986" s="56">
        <v>599</v>
      </c>
      <c r="B1986" s="56">
        <v>599</v>
      </c>
      <c r="C1986" s="56">
        <v>599</v>
      </c>
      <c r="D1986" s="56" t="s">
        <v>2049</v>
      </c>
      <c r="F1986" s="56" t="s">
        <v>24</v>
      </c>
      <c r="G1986" s="56">
        <v>1</v>
      </c>
      <c r="H1986" s="56">
        <v>12</v>
      </c>
      <c r="I1986" s="56">
        <v>70</v>
      </c>
      <c r="J1986" s="59" t="s">
        <v>1181</v>
      </c>
      <c r="K1986" s="59">
        <v>1</v>
      </c>
      <c r="L1986" s="59">
        <f t="shared" ref="L1986:L2049" si="31">H1986*I1986</f>
        <v>840</v>
      </c>
      <c r="M1986" s="59"/>
    </row>
    <row r="1987" spans="1:14" ht="30">
      <c r="A1987" s="56">
        <v>609</v>
      </c>
      <c r="B1987" s="56">
        <v>609</v>
      </c>
      <c r="C1987" s="56">
        <v>609</v>
      </c>
      <c r="D1987" s="56" t="s">
        <v>2057</v>
      </c>
      <c r="F1987" s="56" t="s">
        <v>24</v>
      </c>
      <c r="G1987" s="56">
        <v>1</v>
      </c>
      <c r="H1987" s="56">
        <v>12</v>
      </c>
      <c r="I1987" s="56">
        <v>80</v>
      </c>
      <c r="J1987" s="59" t="s">
        <v>1181</v>
      </c>
      <c r="K1987" s="59">
        <v>1</v>
      </c>
      <c r="L1987" s="59">
        <f t="shared" si="31"/>
        <v>960</v>
      </c>
      <c r="M1987" s="59"/>
    </row>
    <row r="1988" spans="1:14" ht="30">
      <c r="A1988" s="56">
        <v>838</v>
      </c>
      <c r="B1988" s="56">
        <v>838</v>
      </c>
      <c r="C1988" s="56">
        <v>838</v>
      </c>
      <c r="D1988" s="56" t="s">
        <v>1321</v>
      </c>
      <c r="F1988" s="58" t="s">
        <v>24</v>
      </c>
      <c r="G1988" s="58">
        <v>1</v>
      </c>
      <c r="H1988" s="58">
        <v>12</v>
      </c>
      <c r="I1988" s="56">
        <v>116.7</v>
      </c>
      <c r="J1988" s="59" t="s">
        <v>1181</v>
      </c>
      <c r="K1988" s="59">
        <v>1</v>
      </c>
      <c r="L1988" s="59">
        <f t="shared" si="31"/>
        <v>1400.4</v>
      </c>
      <c r="M1988" s="59"/>
      <c r="N1988" s="58"/>
    </row>
    <row r="1989" spans="1:14" ht="30">
      <c r="A1989" s="56">
        <v>1005</v>
      </c>
      <c r="B1989" s="56">
        <v>1005</v>
      </c>
      <c r="C1989" s="56">
        <v>1005</v>
      </c>
      <c r="D1989" s="56" t="s">
        <v>2297</v>
      </c>
      <c r="F1989" s="56" t="s">
        <v>24</v>
      </c>
      <c r="G1989" s="56">
        <v>1</v>
      </c>
      <c r="H1989" s="56">
        <v>12</v>
      </c>
      <c r="I1989" s="56">
        <v>87</v>
      </c>
      <c r="J1989" s="59" t="s">
        <v>1181</v>
      </c>
      <c r="K1989" s="59">
        <v>1</v>
      </c>
      <c r="L1989" s="59">
        <f t="shared" si="31"/>
        <v>1044</v>
      </c>
      <c r="M1989" s="59"/>
    </row>
    <row r="1990" spans="1:14" ht="30">
      <c r="A1990" s="56">
        <v>1083</v>
      </c>
      <c r="B1990" s="56">
        <v>1083</v>
      </c>
      <c r="C1990" s="56">
        <v>1083</v>
      </c>
      <c r="D1990" s="56" t="s">
        <v>2358</v>
      </c>
      <c r="F1990" s="56" t="s">
        <v>24</v>
      </c>
      <c r="G1990" s="56">
        <v>1</v>
      </c>
      <c r="H1990" s="56">
        <v>12</v>
      </c>
      <c r="I1990" s="56">
        <v>100</v>
      </c>
      <c r="J1990" s="59" t="s">
        <v>1181</v>
      </c>
      <c r="K1990" s="59">
        <v>1</v>
      </c>
      <c r="L1990" s="59">
        <f t="shared" si="31"/>
        <v>1200</v>
      </c>
      <c r="M1990" s="59"/>
    </row>
    <row r="1991" spans="1:14" ht="30">
      <c r="A1991" s="56">
        <v>1105</v>
      </c>
      <c r="B1991" s="56">
        <v>1105</v>
      </c>
      <c r="C1991" s="56">
        <v>1105</v>
      </c>
      <c r="D1991" s="56" t="s">
        <v>2375</v>
      </c>
      <c r="F1991" s="56" t="s">
        <v>24</v>
      </c>
      <c r="G1991" s="56">
        <v>1</v>
      </c>
      <c r="H1991" s="56">
        <v>12</v>
      </c>
      <c r="I1991" s="56">
        <v>200</v>
      </c>
      <c r="J1991" s="59" t="s">
        <v>1181</v>
      </c>
      <c r="K1991" s="59">
        <v>1</v>
      </c>
      <c r="L1991" s="59">
        <f t="shared" si="31"/>
        <v>2400</v>
      </c>
      <c r="M1991" s="59"/>
    </row>
    <row r="1992" spans="1:14" ht="30">
      <c r="A1992" s="56">
        <v>1277</v>
      </c>
      <c r="B1992" s="56">
        <v>1277</v>
      </c>
      <c r="C1992" s="56">
        <v>1277</v>
      </c>
      <c r="D1992" s="56" t="s">
        <v>2502</v>
      </c>
      <c r="F1992" s="56" t="s">
        <v>24</v>
      </c>
      <c r="G1992" s="56">
        <v>1</v>
      </c>
      <c r="H1992" s="56">
        <v>12</v>
      </c>
      <c r="I1992" s="56">
        <v>500</v>
      </c>
      <c r="J1992" s="59" t="s">
        <v>1181</v>
      </c>
      <c r="K1992" s="59">
        <v>1</v>
      </c>
      <c r="L1992" s="59">
        <f t="shared" si="31"/>
        <v>6000</v>
      </c>
      <c r="M1992" s="59"/>
    </row>
    <row r="1993" spans="1:14" ht="30">
      <c r="A1993" s="56">
        <v>1300</v>
      </c>
      <c r="B1993" s="56">
        <v>1300</v>
      </c>
      <c r="C1993" s="56">
        <v>1300</v>
      </c>
      <c r="D1993" s="56" t="s">
        <v>2525</v>
      </c>
      <c r="F1993" s="56" t="s">
        <v>24</v>
      </c>
      <c r="G1993" s="56">
        <v>1</v>
      </c>
      <c r="H1993" s="56">
        <v>12</v>
      </c>
      <c r="I1993" s="56">
        <v>200</v>
      </c>
      <c r="J1993" s="59" t="s">
        <v>1181</v>
      </c>
      <c r="K1993" s="59">
        <v>1</v>
      </c>
      <c r="L1993" s="59">
        <f t="shared" si="31"/>
        <v>2400</v>
      </c>
      <c r="M1993" s="59"/>
    </row>
    <row r="1994" spans="1:14" ht="30">
      <c r="A1994" s="56">
        <v>1317</v>
      </c>
      <c r="B1994" s="56">
        <v>1317</v>
      </c>
      <c r="C1994" s="56">
        <v>1317</v>
      </c>
      <c r="D1994" s="56" t="s">
        <v>2540</v>
      </c>
      <c r="F1994" s="56" t="s">
        <v>24</v>
      </c>
      <c r="G1994" s="56">
        <v>1</v>
      </c>
      <c r="H1994" s="56">
        <v>12</v>
      </c>
      <c r="I1994" s="56">
        <v>150</v>
      </c>
      <c r="J1994" s="59" t="s">
        <v>1181</v>
      </c>
      <c r="K1994" s="59">
        <v>1</v>
      </c>
      <c r="L1994" s="59">
        <f t="shared" si="31"/>
        <v>1800</v>
      </c>
      <c r="M1994" s="59"/>
    </row>
    <row r="1995" spans="1:14" ht="30">
      <c r="A1995" s="56">
        <v>1332</v>
      </c>
      <c r="B1995" s="56">
        <v>1332</v>
      </c>
      <c r="C1995" s="56">
        <v>1332</v>
      </c>
      <c r="D1995" s="56" t="s">
        <v>2555</v>
      </c>
      <c r="F1995" s="56" t="s">
        <v>24</v>
      </c>
      <c r="G1995" s="56">
        <v>1</v>
      </c>
      <c r="H1995" s="56">
        <v>12</v>
      </c>
      <c r="I1995" s="56">
        <v>200</v>
      </c>
      <c r="J1995" s="59" t="s">
        <v>1181</v>
      </c>
      <c r="K1995" s="59">
        <v>1</v>
      </c>
      <c r="L1995" s="59">
        <f t="shared" si="31"/>
        <v>2400</v>
      </c>
      <c r="M1995" s="59"/>
    </row>
    <row r="1996" spans="1:14" ht="30">
      <c r="A1996" s="56">
        <v>1335</v>
      </c>
      <c r="B1996" s="56">
        <v>1335</v>
      </c>
      <c r="C1996" s="56">
        <v>1335</v>
      </c>
      <c r="D1996" s="56" t="s">
        <v>2558</v>
      </c>
      <c r="F1996" s="56" t="s">
        <v>24</v>
      </c>
      <c r="G1996" s="56">
        <v>1</v>
      </c>
      <c r="H1996" s="56">
        <v>12</v>
      </c>
      <c r="I1996" s="56">
        <v>150</v>
      </c>
      <c r="J1996" s="59" t="s">
        <v>1181</v>
      </c>
      <c r="K1996" s="59">
        <v>1</v>
      </c>
      <c r="L1996" s="59">
        <f t="shared" si="31"/>
        <v>1800</v>
      </c>
      <c r="M1996" s="59"/>
    </row>
    <row r="1997" spans="1:14" ht="30">
      <c r="A1997" s="56">
        <v>1498</v>
      </c>
      <c r="B1997" s="56">
        <v>1498</v>
      </c>
      <c r="C1997" s="56">
        <v>1498</v>
      </c>
      <c r="D1997" s="56" t="s">
        <v>2690</v>
      </c>
      <c r="F1997" s="56" t="s">
        <v>24</v>
      </c>
      <c r="G1997" s="56">
        <v>1</v>
      </c>
      <c r="H1997" s="56">
        <v>12</v>
      </c>
      <c r="I1997" s="56">
        <v>89</v>
      </c>
      <c r="J1997" s="59" t="s">
        <v>1181</v>
      </c>
      <c r="K1997" s="59">
        <v>1</v>
      </c>
      <c r="L1997" s="59">
        <f t="shared" si="31"/>
        <v>1068</v>
      </c>
      <c r="M1997" s="59"/>
    </row>
    <row r="1998" spans="1:14" ht="30">
      <c r="A1998" s="56">
        <v>1630</v>
      </c>
      <c r="B1998" s="56">
        <v>1630</v>
      </c>
      <c r="C1998" s="56">
        <v>1630</v>
      </c>
      <c r="D1998" s="56" t="s">
        <v>2809</v>
      </c>
      <c r="F1998" s="56" t="s">
        <v>24</v>
      </c>
      <c r="G1998" s="56">
        <v>1</v>
      </c>
      <c r="H1998" s="56">
        <v>12</v>
      </c>
      <c r="I1998" s="56">
        <v>240</v>
      </c>
      <c r="J1998" s="59" t="s">
        <v>1181</v>
      </c>
      <c r="K1998" s="59">
        <v>1</v>
      </c>
      <c r="L1998" s="59">
        <f t="shared" si="31"/>
        <v>2880</v>
      </c>
      <c r="M1998" s="59"/>
    </row>
    <row r="1999" spans="1:14" ht="30">
      <c r="A1999" s="56">
        <v>1635</v>
      </c>
      <c r="B1999" s="56">
        <v>1635</v>
      </c>
      <c r="C1999" s="56">
        <v>1635</v>
      </c>
      <c r="D1999" s="56" t="s">
        <v>1448</v>
      </c>
      <c r="F1999" s="58" t="s">
        <v>24</v>
      </c>
      <c r="G1999" s="58">
        <v>1</v>
      </c>
      <c r="H1999" s="58">
        <v>12</v>
      </c>
      <c r="I1999" s="56">
        <v>90</v>
      </c>
      <c r="J1999" s="59" t="s">
        <v>1181</v>
      </c>
      <c r="K1999" s="59">
        <v>1</v>
      </c>
      <c r="L1999" s="59">
        <f t="shared" si="31"/>
        <v>1080</v>
      </c>
      <c r="M1999" s="59"/>
    </row>
    <row r="2000" spans="1:14" ht="30">
      <c r="A2000" s="56">
        <v>1636</v>
      </c>
      <c r="B2000" s="56">
        <v>1636</v>
      </c>
      <c r="C2000" s="56">
        <v>1636</v>
      </c>
      <c r="D2000" s="56" t="s">
        <v>2814</v>
      </c>
      <c r="F2000" s="56" t="s">
        <v>24</v>
      </c>
      <c r="G2000" s="56">
        <v>1</v>
      </c>
      <c r="H2000" s="56">
        <v>12</v>
      </c>
      <c r="I2000" s="56">
        <v>270</v>
      </c>
      <c r="J2000" s="59" t="s">
        <v>1181</v>
      </c>
      <c r="K2000" s="59">
        <v>1</v>
      </c>
      <c r="L2000" s="59">
        <f t="shared" si="31"/>
        <v>3240</v>
      </c>
      <c r="M2000" s="59"/>
    </row>
    <row r="2001" spans="1:14" ht="30">
      <c r="A2001" s="56">
        <v>1643</v>
      </c>
      <c r="B2001" s="56">
        <v>1643</v>
      </c>
      <c r="C2001" s="56">
        <v>1643</v>
      </c>
      <c r="D2001" s="56" t="s">
        <v>2819</v>
      </c>
      <c r="F2001" s="56" t="s">
        <v>24</v>
      </c>
      <c r="G2001" s="56">
        <v>1</v>
      </c>
      <c r="H2001" s="56">
        <v>12</v>
      </c>
      <c r="I2001" s="56">
        <v>160</v>
      </c>
      <c r="J2001" s="59" t="s">
        <v>1181</v>
      </c>
      <c r="K2001" s="59">
        <v>1</v>
      </c>
      <c r="L2001" s="59">
        <f t="shared" si="31"/>
        <v>1920</v>
      </c>
      <c r="M2001" s="59"/>
    </row>
    <row r="2002" spans="1:14" ht="30">
      <c r="A2002" s="56">
        <v>1651</v>
      </c>
      <c r="B2002" s="56">
        <v>1651</v>
      </c>
      <c r="C2002" s="56">
        <v>1651</v>
      </c>
      <c r="D2002" s="56" t="s">
        <v>2822</v>
      </c>
      <c r="F2002" s="56" t="s">
        <v>24</v>
      </c>
      <c r="G2002" s="56">
        <v>1</v>
      </c>
      <c r="H2002" s="56">
        <v>12</v>
      </c>
      <c r="I2002" s="56">
        <v>450</v>
      </c>
      <c r="J2002" s="59" t="s">
        <v>1181</v>
      </c>
      <c r="K2002" s="59">
        <v>1</v>
      </c>
      <c r="L2002" s="59">
        <f t="shared" si="31"/>
        <v>5400</v>
      </c>
      <c r="M2002" s="59"/>
    </row>
    <row r="2003" spans="1:14" ht="30">
      <c r="A2003" s="56">
        <v>1681</v>
      </c>
      <c r="B2003" s="56">
        <v>1681</v>
      </c>
      <c r="C2003" s="56">
        <v>1681</v>
      </c>
      <c r="D2003" s="56" t="s">
        <v>2840</v>
      </c>
      <c r="F2003" s="56" t="s">
        <v>24</v>
      </c>
      <c r="G2003" s="56">
        <v>1</v>
      </c>
      <c r="H2003" s="56">
        <v>12</v>
      </c>
      <c r="I2003" s="56">
        <v>125</v>
      </c>
      <c r="J2003" s="59" t="s">
        <v>1181</v>
      </c>
      <c r="K2003" s="59">
        <v>1</v>
      </c>
      <c r="L2003" s="59">
        <f t="shared" si="31"/>
        <v>1500</v>
      </c>
      <c r="M2003" s="59"/>
    </row>
    <row r="2004" spans="1:14" ht="30">
      <c r="A2004" s="56">
        <v>1695</v>
      </c>
      <c r="B2004" s="56">
        <v>1695</v>
      </c>
      <c r="C2004" s="56">
        <v>1695</v>
      </c>
      <c r="D2004" s="56" t="s">
        <v>2850</v>
      </c>
      <c r="F2004" s="58" t="s">
        <v>24</v>
      </c>
      <c r="G2004" s="58">
        <v>1</v>
      </c>
      <c r="H2004" s="58">
        <v>12</v>
      </c>
      <c r="I2004" s="56">
        <v>69</v>
      </c>
      <c r="J2004" s="59" t="s">
        <v>1181</v>
      </c>
      <c r="K2004" s="59">
        <v>1</v>
      </c>
      <c r="L2004" s="59">
        <f t="shared" si="31"/>
        <v>828</v>
      </c>
      <c r="M2004" s="59"/>
    </row>
    <row r="2005" spans="1:14" ht="30">
      <c r="A2005" s="56">
        <v>1725</v>
      </c>
      <c r="B2005" s="56">
        <v>1725</v>
      </c>
      <c r="C2005" s="56">
        <v>1725</v>
      </c>
      <c r="D2005" s="56" t="s">
        <v>2876</v>
      </c>
      <c r="F2005" s="56" t="s">
        <v>24</v>
      </c>
      <c r="G2005" s="56">
        <v>1</v>
      </c>
      <c r="H2005" s="56">
        <v>12</v>
      </c>
      <c r="I2005" s="56">
        <v>750</v>
      </c>
      <c r="J2005" s="59" t="s">
        <v>1181</v>
      </c>
      <c r="K2005" s="59">
        <v>1</v>
      </c>
      <c r="L2005" s="59">
        <f t="shared" si="31"/>
        <v>9000</v>
      </c>
      <c r="M2005" s="59"/>
    </row>
    <row r="2006" spans="1:14" ht="30">
      <c r="A2006" s="56">
        <v>1745</v>
      </c>
      <c r="B2006" s="56">
        <v>1745</v>
      </c>
      <c r="C2006" s="56">
        <v>1745</v>
      </c>
      <c r="D2006" s="56" t="s">
        <v>2894</v>
      </c>
      <c r="F2006" s="56" t="s">
        <v>24</v>
      </c>
      <c r="G2006" s="56">
        <v>1</v>
      </c>
      <c r="H2006" s="56">
        <v>12</v>
      </c>
      <c r="I2006" s="56">
        <v>350</v>
      </c>
      <c r="J2006" s="59" t="s">
        <v>1181</v>
      </c>
      <c r="K2006" s="59">
        <v>1</v>
      </c>
      <c r="L2006" s="59">
        <f t="shared" si="31"/>
        <v>4200</v>
      </c>
      <c r="M2006" s="59"/>
    </row>
    <row r="2007" spans="1:14" ht="30">
      <c r="A2007" s="56">
        <v>1897</v>
      </c>
      <c r="B2007" s="56">
        <v>1897</v>
      </c>
      <c r="C2007" s="56">
        <v>1897</v>
      </c>
      <c r="D2007" s="56" t="s">
        <v>3026</v>
      </c>
      <c r="F2007" s="56" t="s">
        <v>24</v>
      </c>
      <c r="G2007" s="56">
        <v>1</v>
      </c>
      <c r="H2007" s="56">
        <v>12</v>
      </c>
      <c r="I2007" s="56">
        <v>1300</v>
      </c>
      <c r="J2007" s="59" t="s">
        <v>1181</v>
      </c>
      <c r="K2007" s="59">
        <v>1</v>
      </c>
      <c r="L2007" s="59">
        <f t="shared" si="31"/>
        <v>15600</v>
      </c>
      <c r="M2007" s="59"/>
    </row>
    <row r="2008" spans="1:14" ht="30">
      <c r="A2008" s="56">
        <v>1950</v>
      </c>
      <c r="B2008" s="56">
        <v>1950</v>
      </c>
      <c r="C2008" s="56">
        <v>1950</v>
      </c>
      <c r="D2008" s="56" t="s">
        <v>1242</v>
      </c>
      <c r="F2008" s="58" t="s">
        <v>3076</v>
      </c>
      <c r="G2008" s="58">
        <v>1</v>
      </c>
      <c r="H2008" s="58">
        <v>12</v>
      </c>
      <c r="I2008" s="56">
        <v>2500</v>
      </c>
      <c r="J2008" s="59" t="s">
        <v>1181</v>
      </c>
      <c r="K2008" s="59">
        <v>1</v>
      </c>
      <c r="L2008" s="59">
        <f t="shared" si="31"/>
        <v>30000</v>
      </c>
      <c r="M2008" s="59"/>
    </row>
    <row r="2009" spans="1:14" ht="30">
      <c r="A2009" s="56">
        <v>757</v>
      </c>
      <c r="B2009" s="56">
        <v>757</v>
      </c>
      <c r="C2009" s="56">
        <v>757</v>
      </c>
      <c r="D2009" s="56" t="s">
        <v>2199</v>
      </c>
      <c r="F2009" s="56" t="s">
        <v>24</v>
      </c>
      <c r="G2009" s="56">
        <v>1</v>
      </c>
      <c r="H2009" s="56">
        <v>13</v>
      </c>
      <c r="I2009" s="56">
        <v>450</v>
      </c>
      <c r="J2009" s="59" t="s">
        <v>1181</v>
      </c>
      <c r="K2009" s="59">
        <v>1</v>
      </c>
      <c r="L2009" s="59">
        <f t="shared" si="31"/>
        <v>5850</v>
      </c>
      <c r="M2009" s="59"/>
    </row>
    <row r="2010" spans="1:14" ht="30">
      <c r="A2010" s="56">
        <v>1183</v>
      </c>
      <c r="B2010" s="56">
        <v>1183</v>
      </c>
      <c r="C2010" s="56">
        <v>1183</v>
      </c>
      <c r="D2010" s="56" t="s">
        <v>2433</v>
      </c>
      <c r="F2010" s="56" t="s">
        <v>24</v>
      </c>
      <c r="G2010" s="56">
        <v>1</v>
      </c>
      <c r="H2010" s="56">
        <v>13</v>
      </c>
      <c r="I2010" s="56">
        <v>1100</v>
      </c>
      <c r="J2010" s="59" t="s">
        <v>1181</v>
      </c>
      <c r="K2010" s="59">
        <v>1</v>
      </c>
      <c r="L2010" s="59">
        <f t="shared" si="31"/>
        <v>14300</v>
      </c>
      <c r="M2010" s="59"/>
    </row>
    <row r="2011" spans="1:14" ht="30">
      <c r="A2011" s="56">
        <v>1285</v>
      </c>
      <c r="B2011" s="56">
        <v>1285</v>
      </c>
      <c r="C2011" s="56">
        <v>1285</v>
      </c>
      <c r="D2011" s="56" t="s">
        <v>2510</v>
      </c>
      <c r="F2011" s="56" t="s">
        <v>24</v>
      </c>
      <c r="G2011" s="56">
        <v>1</v>
      </c>
      <c r="H2011" s="56">
        <v>13</v>
      </c>
      <c r="I2011" s="56">
        <v>450</v>
      </c>
      <c r="J2011" s="59" t="s">
        <v>1181</v>
      </c>
      <c r="K2011" s="59">
        <v>1</v>
      </c>
      <c r="L2011" s="59">
        <f t="shared" si="31"/>
        <v>5850</v>
      </c>
      <c r="M2011" s="59"/>
    </row>
    <row r="2012" spans="1:14" ht="30">
      <c r="A2012" s="56">
        <v>1394</v>
      </c>
      <c r="B2012" s="56">
        <v>1394</v>
      </c>
      <c r="C2012" s="56">
        <v>1394</v>
      </c>
      <c r="D2012" s="56" t="s">
        <v>2605</v>
      </c>
      <c r="F2012" s="58" t="s">
        <v>24</v>
      </c>
      <c r="G2012" s="58">
        <v>1</v>
      </c>
      <c r="H2012" s="58">
        <v>13</v>
      </c>
      <c r="I2012" s="56">
        <v>1.54</v>
      </c>
      <c r="J2012" s="59" t="s">
        <v>1181</v>
      </c>
      <c r="K2012" s="59">
        <v>1</v>
      </c>
      <c r="L2012" s="59">
        <f t="shared" si="31"/>
        <v>20.02</v>
      </c>
      <c r="M2012" s="59"/>
      <c r="N2012" s="58" t="s">
        <v>2606</v>
      </c>
    </row>
    <row r="2013" spans="1:14" ht="30">
      <c r="A2013" s="56">
        <v>1394</v>
      </c>
      <c r="B2013" s="56">
        <v>1394</v>
      </c>
      <c r="C2013" s="56">
        <v>1394</v>
      </c>
      <c r="D2013" s="56" t="s">
        <v>2605</v>
      </c>
      <c r="F2013" s="58" t="s">
        <v>1185</v>
      </c>
      <c r="G2013" s="58">
        <v>1</v>
      </c>
      <c r="H2013" s="56">
        <v>13</v>
      </c>
      <c r="I2013" s="56">
        <v>154</v>
      </c>
      <c r="J2013" s="59" t="s">
        <v>1181</v>
      </c>
      <c r="K2013" s="59">
        <v>1</v>
      </c>
      <c r="L2013" s="59">
        <f t="shared" si="31"/>
        <v>2002</v>
      </c>
      <c r="M2013" s="59"/>
    </row>
    <row r="2014" spans="1:14" ht="30">
      <c r="A2014" s="56">
        <v>1430</v>
      </c>
      <c r="B2014" s="56">
        <v>1430</v>
      </c>
      <c r="C2014" s="56">
        <v>1430</v>
      </c>
      <c r="D2014" s="56" t="s">
        <v>2634</v>
      </c>
      <c r="F2014" s="56" t="s">
        <v>24</v>
      </c>
      <c r="G2014" s="56">
        <v>1</v>
      </c>
      <c r="H2014" s="56">
        <v>13</v>
      </c>
      <c r="I2014" s="56">
        <v>60</v>
      </c>
      <c r="J2014" s="59" t="s">
        <v>1181</v>
      </c>
      <c r="K2014" s="59">
        <v>1</v>
      </c>
      <c r="L2014" s="59">
        <f t="shared" si="31"/>
        <v>780</v>
      </c>
      <c r="M2014" s="59"/>
    </row>
    <row r="2015" spans="1:14" ht="30">
      <c r="A2015" s="56">
        <v>1444</v>
      </c>
      <c r="B2015" s="56">
        <v>1444</v>
      </c>
      <c r="C2015" s="56">
        <v>1444</v>
      </c>
      <c r="D2015" s="56" t="s">
        <v>1214</v>
      </c>
      <c r="F2015" s="58" t="s">
        <v>24</v>
      </c>
      <c r="G2015" s="58">
        <v>1</v>
      </c>
      <c r="H2015" s="58">
        <v>13</v>
      </c>
      <c r="I2015" s="56">
        <v>68</v>
      </c>
      <c r="J2015" s="59" t="s">
        <v>1181</v>
      </c>
      <c r="K2015" s="59">
        <v>1</v>
      </c>
      <c r="L2015" s="59">
        <f t="shared" si="31"/>
        <v>884</v>
      </c>
      <c r="M2015" s="59"/>
      <c r="N2015" s="58"/>
    </row>
    <row r="2016" spans="1:14" ht="30">
      <c r="A2016" s="56">
        <v>1495</v>
      </c>
      <c r="B2016" s="56">
        <v>1495</v>
      </c>
      <c r="C2016" s="56">
        <v>1495</v>
      </c>
      <c r="D2016" s="56" t="s">
        <v>2687</v>
      </c>
      <c r="F2016" s="56" t="s">
        <v>24</v>
      </c>
      <c r="G2016" s="56">
        <v>1</v>
      </c>
      <c r="H2016" s="56">
        <v>13</v>
      </c>
      <c r="I2016" s="56">
        <v>400</v>
      </c>
      <c r="J2016" s="59" t="s">
        <v>1181</v>
      </c>
      <c r="K2016" s="59">
        <v>1</v>
      </c>
      <c r="L2016" s="59">
        <f t="shared" si="31"/>
        <v>5200</v>
      </c>
      <c r="M2016" s="59"/>
    </row>
    <row r="2017" spans="1:14" ht="30">
      <c r="A2017" s="56">
        <v>1626</v>
      </c>
      <c r="B2017" s="56">
        <v>1626</v>
      </c>
      <c r="C2017" s="56">
        <v>1626</v>
      </c>
      <c r="D2017" s="56" t="s">
        <v>2805</v>
      </c>
      <c r="F2017" s="56" t="s">
        <v>24</v>
      </c>
      <c r="G2017" s="56">
        <v>1</v>
      </c>
      <c r="H2017" s="56">
        <v>13</v>
      </c>
      <c r="I2017" s="56">
        <v>450</v>
      </c>
      <c r="J2017" s="59" t="s">
        <v>1181</v>
      </c>
      <c r="K2017" s="59">
        <v>1</v>
      </c>
      <c r="L2017" s="59">
        <f t="shared" si="31"/>
        <v>5850</v>
      </c>
      <c r="M2017" s="59"/>
    </row>
    <row r="2018" spans="1:14" ht="30">
      <c r="A2018" s="56">
        <v>1726</v>
      </c>
      <c r="B2018" s="56">
        <v>1726</v>
      </c>
      <c r="C2018" s="56">
        <v>1726</v>
      </c>
      <c r="D2018" s="56" t="s">
        <v>2877</v>
      </c>
      <c r="F2018" s="56" t="s">
        <v>24</v>
      </c>
      <c r="G2018" s="56">
        <v>1</v>
      </c>
      <c r="H2018" s="56">
        <v>13</v>
      </c>
      <c r="I2018" s="56">
        <v>450</v>
      </c>
      <c r="J2018" s="59" t="s">
        <v>1181</v>
      </c>
      <c r="K2018" s="59">
        <v>1</v>
      </c>
      <c r="L2018" s="59">
        <f t="shared" si="31"/>
        <v>5850</v>
      </c>
      <c r="M2018" s="59"/>
    </row>
    <row r="2019" spans="1:14" ht="30">
      <c r="A2019" s="56">
        <v>1737</v>
      </c>
      <c r="B2019" s="56">
        <v>1737</v>
      </c>
      <c r="C2019" s="56">
        <v>1737</v>
      </c>
      <c r="D2019" s="56" t="s">
        <v>2887</v>
      </c>
      <c r="F2019" s="56" t="s">
        <v>24</v>
      </c>
      <c r="G2019" s="56">
        <v>1</v>
      </c>
      <c r="H2019" s="56">
        <v>13</v>
      </c>
      <c r="I2019" s="56">
        <v>100</v>
      </c>
      <c r="J2019" s="59" t="s">
        <v>1181</v>
      </c>
      <c r="K2019" s="59">
        <v>1</v>
      </c>
      <c r="L2019" s="59">
        <f t="shared" si="31"/>
        <v>1300</v>
      </c>
      <c r="M2019" s="59"/>
    </row>
    <row r="2020" spans="1:14" ht="30">
      <c r="A2020" s="56">
        <v>1809</v>
      </c>
      <c r="B2020" s="56">
        <v>1809</v>
      </c>
      <c r="C2020" s="56">
        <v>1809</v>
      </c>
      <c r="D2020" s="56" t="s">
        <v>2946</v>
      </c>
      <c r="F2020" s="56" t="s">
        <v>24</v>
      </c>
      <c r="G2020" s="56">
        <v>1</v>
      </c>
      <c r="H2020" s="56">
        <v>13</v>
      </c>
      <c r="I2020" s="56">
        <v>60</v>
      </c>
      <c r="J2020" s="59" t="s">
        <v>1181</v>
      </c>
      <c r="K2020" s="59">
        <v>1</v>
      </c>
      <c r="L2020" s="59">
        <f t="shared" si="31"/>
        <v>780</v>
      </c>
      <c r="M2020" s="59"/>
    </row>
    <row r="2021" spans="1:14" ht="30">
      <c r="A2021" s="56">
        <v>1882</v>
      </c>
      <c r="B2021" s="56">
        <v>1882</v>
      </c>
      <c r="C2021" s="56">
        <v>1882</v>
      </c>
      <c r="D2021" s="56" t="s">
        <v>3011</v>
      </c>
      <c r="F2021" s="56" t="s">
        <v>24</v>
      </c>
      <c r="G2021" s="56">
        <v>1</v>
      </c>
      <c r="H2021" s="56">
        <v>13</v>
      </c>
      <c r="I2021" s="56">
        <v>900</v>
      </c>
      <c r="J2021" s="59" t="s">
        <v>1181</v>
      </c>
      <c r="K2021" s="59">
        <v>1</v>
      </c>
      <c r="L2021" s="59">
        <f t="shared" si="31"/>
        <v>11700</v>
      </c>
      <c r="M2021" s="59"/>
    </row>
    <row r="2022" spans="1:14" ht="30">
      <c r="A2022" s="56">
        <v>1949</v>
      </c>
      <c r="B2022" s="56">
        <v>1949</v>
      </c>
      <c r="C2022" s="56">
        <v>1949</v>
      </c>
      <c r="D2022" s="56" t="s">
        <v>1241</v>
      </c>
      <c r="F2022" s="58" t="s">
        <v>1222</v>
      </c>
      <c r="G2022" s="58">
        <v>50</v>
      </c>
      <c r="H2022" s="56">
        <v>14</v>
      </c>
      <c r="I2022" s="56">
        <v>3200</v>
      </c>
      <c r="J2022" s="59" t="s">
        <v>1181</v>
      </c>
      <c r="K2022" s="59">
        <v>1</v>
      </c>
      <c r="L2022" s="59">
        <f t="shared" si="31"/>
        <v>44800</v>
      </c>
      <c r="M2022" s="59"/>
    </row>
    <row r="2023" spans="1:14" ht="30">
      <c r="A2023" s="56">
        <v>810</v>
      </c>
      <c r="B2023" s="56">
        <v>810</v>
      </c>
      <c r="C2023" s="56">
        <v>810</v>
      </c>
      <c r="D2023" s="56" t="s">
        <v>1299</v>
      </c>
      <c r="F2023" s="58" t="s">
        <v>1185</v>
      </c>
      <c r="G2023" s="58">
        <v>12</v>
      </c>
      <c r="H2023" s="56">
        <v>14</v>
      </c>
      <c r="I2023" s="56">
        <v>600</v>
      </c>
      <c r="J2023" s="59" t="s">
        <v>1181</v>
      </c>
      <c r="K2023" s="59">
        <v>1</v>
      </c>
      <c r="L2023" s="59">
        <f t="shared" si="31"/>
        <v>8400</v>
      </c>
      <c r="M2023" s="59"/>
    </row>
    <row r="2024" spans="1:14" ht="30">
      <c r="A2024" s="56">
        <v>799</v>
      </c>
      <c r="B2024" s="56">
        <v>799</v>
      </c>
      <c r="C2024" s="56">
        <v>799</v>
      </c>
      <c r="D2024" s="56" t="s">
        <v>1496</v>
      </c>
      <c r="F2024" s="58" t="s">
        <v>1185</v>
      </c>
      <c r="G2024" s="58">
        <v>10</v>
      </c>
      <c r="H2024" s="56">
        <v>14</v>
      </c>
      <c r="I2024" s="56">
        <v>651</v>
      </c>
      <c r="J2024" s="59" t="s">
        <v>1181</v>
      </c>
      <c r="K2024" s="59">
        <v>1</v>
      </c>
      <c r="L2024" s="59">
        <f t="shared" si="31"/>
        <v>9114</v>
      </c>
      <c r="M2024" s="59"/>
    </row>
    <row r="2025" spans="1:14" ht="30">
      <c r="A2025" s="56">
        <v>281</v>
      </c>
      <c r="B2025" s="56">
        <v>281</v>
      </c>
      <c r="C2025" s="56">
        <v>281</v>
      </c>
      <c r="D2025" s="56" t="s">
        <v>1763</v>
      </c>
      <c r="F2025" s="56" t="s">
        <v>1185</v>
      </c>
      <c r="G2025" s="56">
        <v>1</v>
      </c>
      <c r="H2025" s="56">
        <v>14</v>
      </c>
      <c r="I2025" s="56">
        <v>85</v>
      </c>
      <c r="J2025" s="59" t="s">
        <v>1181</v>
      </c>
      <c r="K2025" s="59">
        <v>1</v>
      </c>
      <c r="L2025" s="59">
        <f t="shared" si="31"/>
        <v>1190</v>
      </c>
      <c r="M2025" s="59"/>
    </row>
    <row r="2026" spans="1:14" ht="30">
      <c r="A2026" s="56">
        <v>292</v>
      </c>
      <c r="B2026" s="56">
        <v>292</v>
      </c>
      <c r="C2026" s="56">
        <v>292</v>
      </c>
      <c r="D2026" s="56" t="s">
        <v>1771</v>
      </c>
      <c r="F2026" s="56" t="s">
        <v>24</v>
      </c>
      <c r="G2026" s="56">
        <v>1</v>
      </c>
      <c r="H2026" s="56">
        <v>14</v>
      </c>
      <c r="I2026" s="56">
        <v>500</v>
      </c>
      <c r="J2026" s="59" t="s">
        <v>1181</v>
      </c>
      <c r="K2026" s="59">
        <v>1</v>
      </c>
      <c r="L2026" s="59">
        <f t="shared" si="31"/>
        <v>7000</v>
      </c>
      <c r="M2026" s="59"/>
    </row>
    <row r="2027" spans="1:14" ht="30">
      <c r="A2027" s="56">
        <v>320</v>
      </c>
      <c r="B2027" s="56">
        <v>320</v>
      </c>
      <c r="C2027" s="56">
        <v>320</v>
      </c>
      <c r="D2027" s="56" t="s">
        <v>1255</v>
      </c>
      <c r="F2027" s="58" t="s">
        <v>1794</v>
      </c>
      <c r="G2027" s="58">
        <v>1</v>
      </c>
      <c r="H2027" s="58">
        <v>14</v>
      </c>
      <c r="I2027" s="56">
        <v>350</v>
      </c>
      <c r="J2027" s="59" t="s">
        <v>1181</v>
      </c>
      <c r="K2027" s="59">
        <v>1</v>
      </c>
      <c r="L2027" s="59">
        <f t="shared" si="31"/>
        <v>4900</v>
      </c>
      <c r="M2027" s="59"/>
      <c r="N2027" s="58"/>
    </row>
    <row r="2028" spans="1:14" ht="30">
      <c r="A2028" s="56">
        <v>373</v>
      </c>
      <c r="B2028" s="56">
        <v>373</v>
      </c>
      <c r="C2028" s="56">
        <v>373</v>
      </c>
      <c r="D2028" s="56" t="s">
        <v>1846</v>
      </c>
      <c r="F2028" s="56" t="s">
        <v>24</v>
      </c>
      <c r="G2028" s="56">
        <v>1</v>
      </c>
      <c r="H2028" s="56">
        <v>14</v>
      </c>
      <c r="I2028" s="56">
        <v>250</v>
      </c>
      <c r="J2028" s="59" t="s">
        <v>1181</v>
      </c>
      <c r="K2028" s="59">
        <v>1</v>
      </c>
      <c r="L2028" s="59">
        <f t="shared" si="31"/>
        <v>3500</v>
      </c>
      <c r="M2028" s="59"/>
    </row>
    <row r="2029" spans="1:14" ht="30">
      <c r="A2029" s="56">
        <v>425</v>
      </c>
      <c r="B2029" s="56">
        <v>425</v>
      </c>
      <c r="C2029" s="56">
        <v>425</v>
      </c>
      <c r="D2029" s="56" t="s">
        <v>1894</v>
      </c>
      <c r="F2029" s="56" t="s">
        <v>24</v>
      </c>
      <c r="G2029" s="56">
        <v>1</v>
      </c>
      <c r="H2029" s="56">
        <v>14</v>
      </c>
      <c r="I2029" s="56">
        <v>600</v>
      </c>
      <c r="J2029" s="59" t="s">
        <v>1181</v>
      </c>
      <c r="K2029" s="59">
        <v>1</v>
      </c>
      <c r="L2029" s="59">
        <f t="shared" si="31"/>
        <v>8400</v>
      </c>
      <c r="M2029" s="59"/>
    </row>
    <row r="2030" spans="1:14" ht="30">
      <c r="A2030" s="56">
        <v>434</v>
      </c>
      <c r="B2030" s="56">
        <v>434</v>
      </c>
      <c r="C2030" s="56">
        <v>434</v>
      </c>
      <c r="D2030" s="56" t="s">
        <v>1903</v>
      </c>
      <c r="F2030" s="56" t="s">
        <v>24</v>
      </c>
      <c r="G2030" s="56">
        <v>1</v>
      </c>
      <c r="H2030" s="56">
        <v>14</v>
      </c>
      <c r="I2030" s="56">
        <v>250</v>
      </c>
      <c r="J2030" s="59" t="s">
        <v>1181</v>
      </c>
      <c r="K2030" s="59">
        <v>1</v>
      </c>
      <c r="L2030" s="59">
        <f t="shared" si="31"/>
        <v>3500</v>
      </c>
      <c r="M2030" s="59"/>
    </row>
    <row r="2031" spans="1:14" ht="30">
      <c r="A2031" s="56">
        <v>592</v>
      </c>
      <c r="B2031" s="56">
        <v>592</v>
      </c>
      <c r="C2031" s="56">
        <v>592</v>
      </c>
      <c r="D2031" s="56" t="s">
        <v>1248</v>
      </c>
      <c r="F2031" s="58" t="s">
        <v>24</v>
      </c>
      <c r="G2031" s="58">
        <v>1</v>
      </c>
      <c r="H2031" s="58">
        <v>14</v>
      </c>
      <c r="I2031" s="56">
        <v>55</v>
      </c>
      <c r="J2031" s="59" t="s">
        <v>1181</v>
      </c>
      <c r="K2031" s="59">
        <v>1</v>
      </c>
      <c r="L2031" s="59">
        <f t="shared" si="31"/>
        <v>770</v>
      </c>
      <c r="M2031" s="59"/>
      <c r="N2031" s="58"/>
    </row>
    <row r="2032" spans="1:14" ht="30">
      <c r="A2032" s="56">
        <v>1040</v>
      </c>
      <c r="B2032" s="56">
        <v>1040</v>
      </c>
      <c r="C2032" s="56">
        <v>1040</v>
      </c>
      <c r="D2032" s="56" t="s">
        <v>2330</v>
      </c>
      <c r="F2032" s="56" t="s">
        <v>24</v>
      </c>
      <c r="G2032" s="56">
        <v>1</v>
      </c>
      <c r="H2032" s="56">
        <v>14</v>
      </c>
      <c r="I2032" s="56">
        <v>880</v>
      </c>
      <c r="J2032" s="59" t="s">
        <v>1181</v>
      </c>
      <c r="K2032" s="59">
        <v>1</v>
      </c>
      <c r="L2032" s="59">
        <f t="shared" si="31"/>
        <v>12320</v>
      </c>
      <c r="M2032" s="59"/>
    </row>
    <row r="2033" spans="1:14" ht="30">
      <c r="A2033" s="56">
        <v>1247</v>
      </c>
      <c r="B2033" s="56">
        <v>1247</v>
      </c>
      <c r="C2033" s="56">
        <v>1247</v>
      </c>
      <c r="D2033" s="56" t="s">
        <v>1195</v>
      </c>
      <c r="F2033" s="58" t="s">
        <v>24</v>
      </c>
      <c r="G2033" s="58">
        <v>1</v>
      </c>
      <c r="H2033" s="58">
        <v>14</v>
      </c>
      <c r="I2033" s="56">
        <v>10</v>
      </c>
      <c r="J2033" s="59" t="s">
        <v>1181</v>
      </c>
      <c r="K2033" s="59">
        <v>1</v>
      </c>
      <c r="L2033" s="59">
        <f t="shared" si="31"/>
        <v>140</v>
      </c>
      <c r="M2033" s="59"/>
      <c r="N2033" s="58"/>
    </row>
    <row r="2034" spans="1:14" ht="30">
      <c r="A2034" s="56">
        <v>1321</v>
      </c>
      <c r="B2034" s="56">
        <v>1321</v>
      </c>
      <c r="C2034" s="56">
        <v>1321</v>
      </c>
      <c r="D2034" s="56" t="s">
        <v>2544</v>
      </c>
      <c r="F2034" s="56" t="s">
        <v>24</v>
      </c>
      <c r="G2034" s="56">
        <v>1</v>
      </c>
      <c r="H2034" s="56">
        <v>14</v>
      </c>
      <c r="I2034" s="56">
        <v>400</v>
      </c>
      <c r="J2034" s="59" t="s">
        <v>1181</v>
      </c>
      <c r="K2034" s="59">
        <v>1</v>
      </c>
      <c r="L2034" s="59">
        <f t="shared" si="31"/>
        <v>5600</v>
      </c>
      <c r="M2034" s="59"/>
    </row>
    <row r="2035" spans="1:14" ht="30">
      <c r="A2035" s="56">
        <v>1353</v>
      </c>
      <c r="B2035" s="56">
        <v>1353</v>
      </c>
      <c r="C2035" s="56">
        <v>1353</v>
      </c>
      <c r="D2035" s="56" t="s">
        <v>2575</v>
      </c>
      <c r="F2035" s="56" t="s">
        <v>24</v>
      </c>
      <c r="G2035" s="56">
        <v>1</v>
      </c>
      <c r="H2035" s="56">
        <v>14</v>
      </c>
      <c r="I2035" s="56">
        <v>250</v>
      </c>
      <c r="J2035" s="59" t="s">
        <v>1181</v>
      </c>
      <c r="K2035" s="59">
        <v>1</v>
      </c>
      <c r="L2035" s="59">
        <f t="shared" si="31"/>
        <v>3500</v>
      </c>
      <c r="M2035" s="59"/>
    </row>
    <row r="2036" spans="1:14" ht="30">
      <c r="A2036" s="56">
        <v>1432</v>
      </c>
      <c r="B2036" s="56">
        <v>1432</v>
      </c>
      <c r="C2036" s="56">
        <v>1432</v>
      </c>
      <c r="D2036" s="56" t="s">
        <v>1210</v>
      </c>
      <c r="F2036" s="58" t="s">
        <v>24</v>
      </c>
      <c r="G2036" s="58">
        <v>1</v>
      </c>
      <c r="H2036" s="58">
        <v>14</v>
      </c>
      <c r="I2036" s="56">
        <v>30</v>
      </c>
      <c r="J2036" s="59" t="s">
        <v>1181</v>
      </c>
      <c r="K2036" s="59">
        <v>1</v>
      </c>
      <c r="L2036" s="59">
        <f t="shared" si="31"/>
        <v>420</v>
      </c>
      <c r="M2036" s="59"/>
      <c r="N2036" s="58"/>
    </row>
    <row r="2037" spans="1:14" ht="30">
      <c r="A2037" s="56">
        <v>1588</v>
      </c>
      <c r="B2037" s="56">
        <v>1588</v>
      </c>
      <c r="C2037" s="56">
        <v>1588</v>
      </c>
      <c r="D2037" s="56" t="s">
        <v>2774</v>
      </c>
      <c r="F2037" s="56" t="s">
        <v>24</v>
      </c>
      <c r="G2037" s="56">
        <v>1</v>
      </c>
      <c r="H2037" s="56">
        <v>14</v>
      </c>
      <c r="I2037" s="56">
        <v>50</v>
      </c>
      <c r="J2037" s="59" t="s">
        <v>1181</v>
      </c>
      <c r="K2037" s="59">
        <v>1</v>
      </c>
      <c r="L2037" s="59">
        <f t="shared" si="31"/>
        <v>700</v>
      </c>
      <c r="M2037" s="59"/>
    </row>
    <row r="2038" spans="1:14" ht="30">
      <c r="A2038" s="56">
        <v>1632</v>
      </c>
      <c r="B2038" s="56">
        <v>1632</v>
      </c>
      <c r="C2038" s="56">
        <v>1632</v>
      </c>
      <c r="D2038" s="56" t="s">
        <v>2811</v>
      </c>
      <c r="F2038" s="56" t="s">
        <v>24</v>
      </c>
      <c r="G2038" s="56">
        <v>1</v>
      </c>
      <c r="H2038" s="56">
        <v>14</v>
      </c>
      <c r="I2038" s="56">
        <v>220</v>
      </c>
      <c r="J2038" s="59" t="s">
        <v>1181</v>
      </c>
      <c r="K2038" s="59">
        <v>1</v>
      </c>
      <c r="L2038" s="59">
        <f t="shared" si="31"/>
        <v>3080</v>
      </c>
      <c r="M2038" s="59"/>
    </row>
    <row r="2039" spans="1:14" ht="30">
      <c r="A2039" s="56">
        <v>1712</v>
      </c>
      <c r="B2039" s="56">
        <v>1712</v>
      </c>
      <c r="C2039" s="56">
        <v>1712</v>
      </c>
      <c r="D2039" s="56" t="s">
        <v>2865</v>
      </c>
      <c r="F2039" s="56" t="s">
        <v>24</v>
      </c>
      <c r="G2039" s="56">
        <v>1</v>
      </c>
      <c r="H2039" s="56">
        <v>14</v>
      </c>
      <c r="I2039" s="56">
        <v>139</v>
      </c>
      <c r="J2039" s="59" t="s">
        <v>1181</v>
      </c>
      <c r="K2039" s="59">
        <v>1</v>
      </c>
      <c r="L2039" s="59">
        <f t="shared" si="31"/>
        <v>1946</v>
      </c>
      <c r="M2039" s="59"/>
    </row>
    <row r="2040" spans="1:14" ht="30">
      <c r="A2040" s="56">
        <v>1723</v>
      </c>
      <c r="B2040" s="56">
        <v>1723</v>
      </c>
      <c r="C2040" s="56">
        <v>1723</v>
      </c>
      <c r="D2040" s="56" t="s">
        <v>2874</v>
      </c>
      <c r="F2040" s="56" t="s">
        <v>24</v>
      </c>
      <c r="G2040" s="56">
        <v>1</v>
      </c>
      <c r="H2040" s="56">
        <v>14</v>
      </c>
      <c r="I2040" s="56">
        <v>56</v>
      </c>
      <c r="J2040" s="59" t="s">
        <v>1181</v>
      </c>
      <c r="K2040" s="59">
        <v>1</v>
      </c>
      <c r="L2040" s="59">
        <f t="shared" si="31"/>
        <v>784</v>
      </c>
      <c r="M2040" s="59"/>
    </row>
    <row r="2041" spans="1:14" ht="30">
      <c r="A2041" s="56">
        <v>1881</v>
      </c>
      <c r="B2041" s="56">
        <v>1881</v>
      </c>
      <c r="C2041" s="56">
        <v>1881</v>
      </c>
      <c r="D2041" s="56" t="s">
        <v>3010</v>
      </c>
      <c r="F2041" s="56" t="s">
        <v>24</v>
      </c>
      <c r="G2041" s="56">
        <v>1</v>
      </c>
      <c r="H2041" s="56">
        <v>14</v>
      </c>
      <c r="I2041" s="56">
        <v>900</v>
      </c>
      <c r="J2041" s="59" t="s">
        <v>1181</v>
      </c>
      <c r="K2041" s="59">
        <v>1</v>
      </c>
      <c r="L2041" s="59">
        <f t="shared" si="31"/>
        <v>12600</v>
      </c>
      <c r="M2041" s="59"/>
    </row>
    <row r="2042" spans="1:14" ht="30">
      <c r="A2042" s="56">
        <v>595</v>
      </c>
      <c r="B2042" s="56">
        <v>595</v>
      </c>
      <c r="C2042" s="56">
        <v>595</v>
      </c>
      <c r="D2042" s="56" t="s">
        <v>1257</v>
      </c>
      <c r="F2042" s="58" t="s">
        <v>24</v>
      </c>
      <c r="G2042" s="58">
        <v>15</v>
      </c>
      <c r="H2042" s="58">
        <v>15</v>
      </c>
      <c r="I2042" s="56">
        <v>80</v>
      </c>
      <c r="J2042" s="59" t="s">
        <v>1181</v>
      </c>
      <c r="K2042" s="59">
        <v>1</v>
      </c>
      <c r="L2042" s="59">
        <f t="shared" si="31"/>
        <v>1200</v>
      </c>
      <c r="M2042" s="59"/>
      <c r="N2042" s="58"/>
    </row>
    <row r="2043" spans="1:14" ht="30">
      <c r="A2043" s="56">
        <v>311</v>
      </c>
      <c r="B2043" s="56">
        <v>311</v>
      </c>
      <c r="C2043" s="56">
        <v>311</v>
      </c>
      <c r="D2043" s="56" t="s">
        <v>1488</v>
      </c>
      <c r="F2043" s="58" t="s">
        <v>1198</v>
      </c>
      <c r="G2043" s="58">
        <v>10</v>
      </c>
      <c r="H2043" s="56">
        <v>15</v>
      </c>
      <c r="I2043" s="56">
        <v>4500</v>
      </c>
      <c r="J2043" s="59" t="s">
        <v>1181</v>
      </c>
      <c r="K2043" s="59">
        <v>1</v>
      </c>
      <c r="L2043" s="59">
        <f t="shared" si="31"/>
        <v>67500</v>
      </c>
      <c r="M2043" s="59"/>
    </row>
    <row r="2044" spans="1:14" ht="30">
      <c r="A2044" s="56">
        <v>1065</v>
      </c>
      <c r="B2044" s="56">
        <v>1065</v>
      </c>
      <c r="C2044" s="56">
        <v>1065</v>
      </c>
      <c r="D2044" s="56" t="s">
        <v>1509</v>
      </c>
      <c r="F2044" s="58" t="s">
        <v>1198</v>
      </c>
      <c r="G2044" s="58">
        <v>10</v>
      </c>
      <c r="H2044" s="56">
        <v>15</v>
      </c>
      <c r="I2044" s="56">
        <v>300</v>
      </c>
      <c r="J2044" s="59" t="s">
        <v>1181</v>
      </c>
      <c r="K2044" s="59">
        <v>1</v>
      </c>
      <c r="L2044" s="59">
        <f t="shared" si="31"/>
        <v>4500</v>
      </c>
      <c r="M2044" s="59"/>
    </row>
    <row r="2045" spans="1:14" ht="30">
      <c r="A2045" s="56">
        <v>607</v>
      </c>
      <c r="B2045" s="56">
        <v>607</v>
      </c>
      <c r="C2045" s="56">
        <v>607</v>
      </c>
      <c r="D2045" s="56" t="s">
        <v>2055</v>
      </c>
      <c r="F2045" s="56" t="s">
        <v>24</v>
      </c>
      <c r="G2045" s="56">
        <v>1</v>
      </c>
      <c r="H2045" s="56">
        <v>15</v>
      </c>
      <c r="I2045" s="56">
        <v>150</v>
      </c>
      <c r="J2045" s="59" t="s">
        <v>1181</v>
      </c>
      <c r="K2045" s="59">
        <v>1</v>
      </c>
      <c r="L2045" s="59">
        <f t="shared" si="31"/>
        <v>2250</v>
      </c>
      <c r="M2045" s="59"/>
    </row>
    <row r="2046" spans="1:14" ht="30">
      <c r="A2046" s="56">
        <v>630</v>
      </c>
      <c r="B2046" s="56">
        <v>630</v>
      </c>
      <c r="C2046" s="56">
        <v>630</v>
      </c>
      <c r="D2046" s="56" t="s">
        <v>2074</v>
      </c>
      <c r="F2046" s="56" t="s">
        <v>24</v>
      </c>
      <c r="G2046" s="56">
        <v>1</v>
      </c>
      <c r="H2046" s="56">
        <v>15</v>
      </c>
      <c r="I2046" s="56">
        <v>30</v>
      </c>
      <c r="J2046" s="59" t="s">
        <v>1181</v>
      </c>
      <c r="K2046" s="59">
        <v>1</v>
      </c>
      <c r="L2046" s="59">
        <f t="shared" si="31"/>
        <v>450</v>
      </c>
      <c r="M2046" s="59"/>
    </row>
    <row r="2047" spans="1:14" ht="30">
      <c r="A2047" s="56">
        <v>679</v>
      </c>
      <c r="B2047" s="56">
        <v>679</v>
      </c>
      <c r="C2047" s="56">
        <v>679</v>
      </c>
      <c r="D2047" s="56" t="s">
        <v>2123</v>
      </c>
      <c r="F2047" s="56" t="s">
        <v>24</v>
      </c>
      <c r="G2047" s="56">
        <v>1</v>
      </c>
      <c r="H2047" s="56">
        <v>15</v>
      </c>
      <c r="I2047" s="56">
        <v>2500</v>
      </c>
      <c r="J2047" s="59" t="s">
        <v>1181</v>
      </c>
      <c r="K2047" s="59">
        <v>1</v>
      </c>
      <c r="L2047" s="59">
        <f t="shared" si="31"/>
        <v>37500</v>
      </c>
      <c r="M2047" s="59"/>
    </row>
    <row r="2048" spans="1:14" ht="30">
      <c r="A2048" s="56">
        <v>1017</v>
      </c>
      <c r="B2048" s="56">
        <v>1017</v>
      </c>
      <c r="C2048" s="56">
        <v>1017</v>
      </c>
      <c r="D2048" s="56" t="s">
        <v>2309</v>
      </c>
      <c r="F2048" s="56" t="s">
        <v>24</v>
      </c>
      <c r="G2048" s="56">
        <v>1</v>
      </c>
      <c r="H2048" s="56">
        <v>15</v>
      </c>
      <c r="I2048" s="56">
        <v>400</v>
      </c>
      <c r="J2048" s="59" t="s">
        <v>1181</v>
      </c>
      <c r="K2048" s="59">
        <v>1</v>
      </c>
      <c r="L2048" s="59">
        <f t="shared" si="31"/>
        <v>6000</v>
      </c>
      <c r="M2048" s="59"/>
    </row>
    <row r="2049" spans="1:14" ht="30">
      <c r="A2049" s="56">
        <v>1082</v>
      </c>
      <c r="B2049" s="56">
        <v>1082</v>
      </c>
      <c r="C2049" s="56">
        <v>1082</v>
      </c>
      <c r="D2049" s="56" t="s">
        <v>2357</v>
      </c>
      <c r="F2049" s="56" t="s">
        <v>24</v>
      </c>
      <c r="G2049" s="56">
        <v>1</v>
      </c>
      <c r="H2049" s="56">
        <v>15</v>
      </c>
      <c r="I2049" s="56">
        <v>133</v>
      </c>
      <c r="J2049" s="59" t="s">
        <v>1181</v>
      </c>
      <c r="K2049" s="59">
        <v>1</v>
      </c>
      <c r="L2049" s="59">
        <f t="shared" si="31"/>
        <v>1995</v>
      </c>
      <c r="M2049" s="59"/>
    </row>
    <row r="2050" spans="1:14" ht="30">
      <c r="A2050" s="56">
        <v>1436</v>
      </c>
      <c r="B2050" s="56">
        <v>1436</v>
      </c>
      <c r="C2050" s="56">
        <v>1436</v>
      </c>
      <c r="D2050" s="56" t="s">
        <v>2637</v>
      </c>
      <c r="F2050" s="56" t="s">
        <v>24</v>
      </c>
      <c r="G2050" s="56">
        <v>1</v>
      </c>
      <c r="H2050" s="56">
        <v>15</v>
      </c>
      <c r="I2050" s="56">
        <v>20</v>
      </c>
      <c r="J2050" s="59" t="s">
        <v>1181</v>
      </c>
      <c r="K2050" s="59">
        <v>1</v>
      </c>
      <c r="L2050" s="59">
        <f t="shared" ref="L2050:L2113" si="32">H2050*I2050</f>
        <v>300</v>
      </c>
      <c r="M2050" s="59"/>
    </row>
    <row r="2051" spans="1:14" ht="30">
      <c r="A2051" s="56">
        <v>1714</v>
      </c>
      <c r="B2051" s="56">
        <v>1714</v>
      </c>
      <c r="C2051" s="56">
        <v>1714</v>
      </c>
      <c r="D2051" s="56" t="s">
        <v>2867</v>
      </c>
      <c r="F2051" s="56" t="s">
        <v>24</v>
      </c>
      <c r="G2051" s="56">
        <v>1</v>
      </c>
      <c r="H2051" s="56">
        <v>15</v>
      </c>
      <c r="I2051" s="56">
        <v>407</v>
      </c>
      <c r="J2051" s="59" t="s">
        <v>1181</v>
      </c>
      <c r="K2051" s="59">
        <v>1</v>
      </c>
      <c r="L2051" s="59">
        <f t="shared" si="32"/>
        <v>6105</v>
      </c>
      <c r="M2051" s="59"/>
    </row>
    <row r="2052" spans="1:14" ht="30">
      <c r="A2052" s="56">
        <v>1747</v>
      </c>
      <c r="B2052" s="56">
        <v>1747</v>
      </c>
      <c r="C2052" s="56">
        <v>1747</v>
      </c>
      <c r="D2052" s="56" t="s">
        <v>1472</v>
      </c>
      <c r="F2052" s="58" t="s">
        <v>24</v>
      </c>
      <c r="G2052" s="58">
        <v>1</v>
      </c>
      <c r="H2052" s="58">
        <v>15</v>
      </c>
      <c r="I2052" s="56">
        <v>30</v>
      </c>
      <c r="J2052" s="59" t="s">
        <v>1181</v>
      </c>
      <c r="K2052" s="59">
        <v>1</v>
      </c>
      <c r="L2052" s="59">
        <f t="shared" si="32"/>
        <v>450</v>
      </c>
      <c r="M2052" s="59"/>
    </row>
    <row r="2053" spans="1:14" ht="30">
      <c r="A2053" s="56">
        <v>1833</v>
      </c>
      <c r="B2053" s="56">
        <v>1833</v>
      </c>
      <c r="C2053" s="56">
        <v>1833</v>
      </c>
      <c r="D2053" s="56" t="s">
        <v>2966</v>
      </c>
      <c r="F2053" s="56" t="s">
        <v>24</v>
      </c>
      <c r="G2053" s="56">
        <v>1</v>
      </c>
      <c r="H2053" s="56">
        <v>15</v>
      </c>
      <c r="I2053" s="56">
        <v>650</v>
      </c>
      <c r="J2053" s="59" t="s">
        <v>1181</v>
      </c>
      <c r="K2053" s="59">
        <v>1</v>
      </c>
      <c r="L2053" s="59">
        <f t="shared" si="32"/>
        <v>9750</v>
      </c>
      <c r="M2053" s="59"/>
    </row>
    <row r="2054" spans="1:14" ht="30">
      <c r="A2054" s="56">
        <v>1252</v>
      </c>
      <c r="B2054" s="56">
        <v>1252</v>
      </c>
      <c r="C2054" s="56">
        <v>1252</v>
      </c>
      <c r="D2054" s="56" t="s">
        <v>1200</v>
      </c>
      <c r="F2054" s="58" t="s">
        <v>1201</v>
      </c>
      <c r="G2054" s="58">
        <v>100</v>
      </c>
      <c r="H2054" s="58">
        <v>16</v>
      </c>
      <c r="I2054" s="56">
        <v>1300</v>
      </c>
      <c r="J2054" s="59" t="s">
        <v>1181</v>
      </c>
      <c r="K2054" s="59">
        <v>1</v>
      </c>
      <c r="L2054" s="59">
        <f t="shared" si="32"/>
        <v>20800</v>
      </c>
      <c r="M2054" s="59"/>
      <c r="N2054" s="58"/>
    </row>
    <row r="2055" spans="1:14" ht="30">
      <c r="A2055" s="56">
        <v>1654</v>
      </c>
      <c r="B2055" s="56">
        <v>1654</v>
      </c>
      <c r="C2055" s="56">
        <v>1654</v>
      </c>
      <c r="D2055" s="56" t="s">
        <v>1456</v>
      </c>
      <c r="F2055" s="58" t="s">
        <v>1183</v>
      </c>
      <c r="G2055" s="58">
        <v>12</v>
      </c>
      <c r="H2055" s="56">
        <v>16</v>
      </c>
      <c r="I2055" s="56">
        <v>2000</v>
      </c>
      <c r="J2055" s="59" t="s">
        <v>1181</v>
      </c>
      <c r="K2055" s="59">
        <v>1</v>
      </c>
      <c r="L2055" s="59">
        <f t="shared" si="32"/>
        <v>32000</v>
      </c>
      <c r="M2055" s="59"/>
    </row>
    <row r="2056" spans="1:14" ht="30">
      <c r="A2056" s="56">
        <v>497</v>
      </c>
      <c r="B2056" s="56">
        <v>497</v>
      </c>
      <c r="C2056" s="56">
        <v>497</v>
      </c>
      <c r="D2056" s="56" t="s">
        <v>1960</v>
      </c>
      <c r="F2056" s="56" t="s">
        <v>24</v>
      </c>
      <c r="G2056" s="56">
        <v>1</v>
      </c>
      <c r="H2056" s="56">
        <v>16</v>
      </c>
      <c r="I2056" s="56">
        <v>81</v>
      </c>
      <c r="J2056" s="59" t="s">
        <v>1181</v>
      </c>
      <c r="K2056" s="59">
        <v>1</v>
      </c>
      <c r="L2056" s="59">
        <f t="shared" si="32"/>
        <v>1296</v>
      </c>
      <c r="M2056" s="59"/>
    </row>
    <row r="2057" spans="1:14" ht="30">
      <c r="A2057" s="56">
        <v>646</v>
      </c>
      <c r="B2057" s="56">
        <v>646</v>
      </c>
      <c r="C2057" s="56">
        <v>646</v>
      </c>
      <c r="D2057" s="56" t="s">
        <v>2090</v>
      </c>
      <c r="F2057" s="56" t="s">
        <v>24</v>
      </c>
      <c r="G2057" s="56">
        <v>1</v>
      </c>
      <c r="H2057" s="56">
        <v>16</v>
      </c>
      <c r="I2057" s="56">
        <v>150</v>
      </c>
      <c r="J2057" s="59" t="s">
        <v>1181</v>
      </c>
      <c r="K2057" s="59">
        <v>1</v>
      </c>
      <c r="L2057" s="59">
        <f t="shared" si="32"/>
        <v>2400</v>
      </c>
      <c r="M2057" s="59"/>
    </row>
    <row r="2058" spans="1:14" ht="30">
      <c r="A2058" s="56">
        <v>662</v>
      </c>
      <c r="B2058" s="56">
        <v>662</v>
      </c>
      <c r="C2058" s="56">
        <v>662</v>
      </c>
      <c r="D2058" s="56" t="s">
        <v>2106</v>
      </c>
      <c r="F2058" s="56" t="s">
        <v>24</v>
      </c>
      <c r="G2058" s="56">
        <v>1</v>
      </c>
      <c r="H2058" s="56">
        <v>16</v>
      </c>
      <c r="I2058" s="56">
        <v>800</v>
      </c>
      <c r="J2058" s="59" t="s">
        <v>1181</v>
      </c>
      <c r="K2058" s="59">
        <v>1</v>
      </c>
      <c r="L2058" s="59">
        <f t="shared" si="32"/>
        <v>12800</v>
      </c>
      <c r="M2058" s="59"/>
    </row>
    <row r="2059" spans="1:14" ht="30">
      <c r="A2059" s="56">
        <v>1003</v>
      </c>
      <c r="B2059" s="56">
        <v>1003</v>
      </c>
      <c r="C2059" s="56">
        <v>1003</v>
      </c>
      <c r="D2059" s="56" t="s">
        <v>2295</v>
      </c>
      <c r="F2059" s="56" t="s">
        <v>24</v>
      </c>
      <c r="G2059" s="56">
        <v>1</v>
      </c>
      <c r="H2059" s="56">
        <v>16</v>
      </c>
      <c r="I2059" s="56">
        <v>450</v>
      </c>
      <c r="J2059" s="59" t="s">
        <v>1181</v>
      </c>
      <c r="K2059" s="59">
        <v>1</v>
      </c>
      <c r="L2059" s="59">
        <f t="shared" si="32"/>
        <v>7200</v>
      </c>
      <c r="M2059" s="59"/>
    </row>
    <row r="2060" spans="1:14" ht="30">
      <c r="A2060" s="56">
        <v>1157</v>
      </c>
      <c r="B2060" s="56">
        <v>1157</v>
      </c>
      <c r="C2060" s="56">
        <v>1157</v>
      </c>
      <c r="D2060" s="56" t="s">
        <v>2418</v>
      </c>
      <c r="F2060" s="56" t="s">
        <v>24</v>
      </c>
      <c r="G2060" s="56">
        <v>1</v>
      </c>
      <c r="H2060" s="56">
        <v>16</v>
      </c>
      <c r="I2060" s="56">
        <v>800</v>
      </c>
      <c r="J2060" s="59" t="s">
        <v>1181</v>
      </c>
      <c r="K2060" s="59">
        <v>1</v>
      </c>
      <c r="L2060" s="59">
        <f t="shared" si="32"/>
        <v>12800</v>
      </c>
      <c r="M2060" s="59"/>
    </row>
    <row r="2061" spans="1:14" ht="30">
      <c r="A2061" s="56">
        <v>1177</v>
      </c>
      <c r="B2061" s="56">
        <v>1177</v>
      </c>
      <c r="C2061" s="56">
        <v>1177</v>
      </c>
      <c r="D2061" s="56" t="s">
        <v>1246</v>
      </c>
      <c r="F2061" s="58" t="s">
        <v>24</v>
      </c>
      <c r="G2061" s="58">
        <v>1</v>
      </c>
      <c r="H2061" s="58">
        <v>16</v>
      </c>
      <c r="I2061" s="56">
        <v>200</v>
      </c>
      <c r="J2061" s="59" t="s">
        <v>1181</v>
      </c>
      <c r="K2061" s="59">
        <v>1</v>
      </c>
      <c r="L2061" s="59">
        <f t="shared" si="32"/>
        <v>3200</v>
      </c>
      <c r="M2061" s="59"/>
      <c r="N2061" s="58"/>
    </row>
    <row r="2062" spans="1:14" ht="30">
      <c r="A2062" s="56">
        <v>1240</v>
      </c>
      <c r="B2062" s="56">
        <v>1240</v>
      </c>
      <c r="C2062" s="56">
        <v>1240</v>
      </c>
      <c r="D2062" s="56" t="s">
        <v>2478</v>
      </c>
      <c r="F2062" s="56" t="s">
        <v>24</v>
      </c>
      <c r="G2062" s="56">
        <v>1</v>
      </c>
      <c r="H2062" s="56">
        <v>16</v>
      </c>
      <c r="I2062" s="56">
        <v>60</v>
      </c>
      <c r="J2062" s="59" t="s">
        <v>1181</v>
      </c>
      <c r="K2062" s="59">
        <v>1</v>
      </c>
      <c r="L2062" s="59">
        <f t="shared" si="32"/>
        <v>960</v>
      </c>
      <c r="M2062" s="59"/>
    </row>
    <row r="2063" spans="1:14" ht="30">
      <c r="A2063" s="56">
        <v>1276</v>
      </c>
      <c r="B2063" s="56">
        <v>1276</v>
      </c>
      <c r="C2063" s="56">
        <v>1276</v>
      </c>
      <c r="D2063" s="56" t="s">
        <v>2501</v>
      </c>
      <c r="F2063" s="56" t="s">
        <v>24</v>
      </c>
      <c r="G2063" s="56">
        <v>1</v>
      </c>
      <c r="H2063" s="56">
        <v>16</v>
      </c>
      <c r="I2063" s="56">
        <v>450</v>
      </c>
      <c r="J2063" s="59" t="s">
        <v>1181</v>
      </c>
      <c r="K2063" s="59">
        <v>1</v>
      </c>
      <c r="L2063" s="59">
        <f t="shared" si="32"/>
        <v>7200</v>
      </c>
      <c r="M2063" s="59"/>
    </row>
    <row r="2064" spans="1:14" ht="30">
      <c r="A2064" s="56">
        <v>1319</v>
      </c>
      <c r="B2064" s="56">
        <v>1319</v>
      </c>
      <c r="C2064" s="56">
        <v>1319</v>
      </c>
      <c r="D2064" s="56" t="s">
        <v>2542</v>
      </c>
      <c r="F2064" s="56" t="s">
        <v>24</v>
      </c>
      <c r="G2064" s="56">
        <v>1</v>
      </c>
      <c r="H2064" s="56">
        <v>16</v>
      </c>
      <c r="I2064" s="56">
        <v>150</v>
      </c>
      <c r="J2064" s="59" t="s">
        <v>1181</v>
      </c>
      <c r="K2064" s="59">
        <v>1</v>
      </c>
      <c r="L2064" s="59">
        <f t="shared" si="32"/>
        <v>2400</v>
      </c>
      <c r="M2064" s="59"/>
    </row>
    <row r="2065" spans="1:14" ht="30">
      <c r="A2065" s="56">
        <v>1405</v>
      </c>
      <c r="B2065" s="56">
        <v>1405</v>
      </c>
      <c r="C2065" s="56">
        <v>1405</v>
      </c>
      <c r="D2065" s="56" t="s">
        <v>2617</v>
      </c>
      <c r="F2065" s="56" t="s">
        <v>24</v>
      </c>
      <c r="G2065" s="56">
        <v>1</v>
      </c>
      <c r="H2065" s="56">
        <v>16</v>
      </c>
      <c r="I2065" s="56">
        <v>90</v>
      </c>
      <c r="J2065" s="59" t="s">
        <v>1181</v>
      </c>
      <c r="K2065" s="59">
        <v>1</v>
      </c>
      <c r="L2065" s="59">
        <f t="shared" si="32"/>
        <v>1440</v>
      </c>
      <c r="M2065" s="59"/>
    </row>
    <row r="2066" spans="1:14" ht="30">
      <c r="A2066" s="56">
        <v>1687</v>
      </c>
      <c r="B2066" s="56">
        <v>1687</v>
      </c>
      <c r="C2066" s="56">
        <v>1687</v>
      </c>
      <c r="D2066" s="56" t="s">
        <v>2844</v>
      </c>
      <c r="F2066" s="56" t="s">
        <v>24</v>
      </c>
      <c r="G2066" s="56">
        <v>1</v>
      </c>
      <c r="H2066" s="56">
        <v>16</v>
      </c>
      <c r="I2066" s="56">
        <v>216</v>
      </c>
      <c r="J2066" s="59" t="s">
        <v>1181</v>
      </c>
      <c r="K2066" s="59">
        <v>1</v>
      </c>
      <c r="L2066" s="59">
        <f t="shared" si="32"/>
        <v>3456</v>
      </c>
      <c r="M2066" s="59"/>
    </row>
    <row r="2067" spans="1:14" ht="30">
      <c r="A2067" s="56">
        <v>798</v>
      </c>
      <c r="B2067" s="56">
        <v>798</v>
      </c>
      <c r="C2067" s="56">
        <v>798</v>
      </c>
      <c r="D2067" s="56" t="s">
        <v>1225</v>
      </c>
      <c r="F2067" s="58" t="s">
        <v>1183</v>
      </c>
      <c r="G2067" s="58">
        <v>50</v>
      </c>
      <c r="H2067" s="56">
        <v>17</v>
      </c>
      <c r="I2067" s="56">
        <v>600</v>
      </c>
      <c r="J2067" s="59" t="s">
        <v>1181</v>
      </c>
      <c r="K2067" s="59">
        <v>1</v>
      </c>
      <c r="L2067" s="59">
        <f t="shared" si="32"/>
        <v>10200</v>
      </c>
      <c r="M2067" s="59"/>
    </row>
    <row r="2068" spans="1:14" ht="30">
      <c r="A2068" s="56">
        <v>1950</v>
      </c>
      <c r="B2068" s="56">
        <v>1950</v>
      </c>
      <c r="C2068" s="56">
        <v>1950</v>
      </c>
      <c r="D2068" s="56" t="s">
        <v>1242</v>
      </c>
      <c r="F2068" s="58" t="s">
        <v>1222</v>
      </c>
      <c r="G2068" s="58">
        <v>50</v>
      </c>
      <c r="H2068" s="56">
        <v>17</v>
      </c>
      <c r="I2068" s="56">
        <v>2900</v>
      </c>
      <c r="J2068" s="59" t="s">
        <v>1181</v>
      </c>
      <c r="K2068" s="59">
        <v>1</v>
      </c>
      <c r="L2068" s="59">
        <f t="shared" si="32"/>
        <v>49300</v>
      </c>
      <c r="M2068" s="59"/>
    </row>
    <row r="2069" spans="1:14" ht="30">
      <c r="A2069" s="56">
        <v>801</v>
      </c>
      <c r="B2069" s="56">
        <v>801</v>
      </c>
      <c r="C2069" s="56">
        <v>801</v>
      </c>
      <c r="D2069" s="56" t="s">
        <v>1291</v>
      </c>
      <c r="F2069" s="58" t="s">
        <v>1185</v>
      </c>
      <c r="G2069" s="58">
        <v>12</v>
      </c>
      <c r="H2069" s="56">
        <v>17</v>
      </c>
      <c r="I2069" s="56">
        <v>787</v>
      </c>
      <c r="J2069" s="59" t="s">
        <v>1181</v>
      </c>
      <c r="K2069" s="59">
        <v>1</v>
      </c>
      <c r="L2069" s="59">
        <f t="shared" si="32"/>
        <v>13379</v>
      </c>
      <c r="M2069" s="59"/>
    </row>
    <row r="2070" spans="1:14" ht="30">
      <c r="A2070" s="56">
        <v>28</v>
      </c>
      <c r="B2070" s="56">
        <v>28</v>
      </c>
      <c r="C2070" s="56">
        <v>28</v>
      </c>
      <c r="D2070" s="56" t="s">
        <v>1551</v>
      </c>
      <c r="F2070" s="56" t="s">
        <v>24</v>
      </c>
      <c r="G2070" s="56">
        <v>1</v>
      </c>
      <c r="H2070" s="56">
        <v>17</v>
      </c>
      <c r="I2070" s="56">
        <v>520</v>
      </c>
      <c r="J2070" s="59" t="s">
        <v>1181</v>
      </c>
      <c r="K2070" s="59">
        <v>1</v>
      </c>
      <c r="L2070" s="59">
        <f t="shared" si="32"/>
        <v>8840</v>
      </c>
      <c r="M2070" s="59"/>
    </row>
    <row r="2071" spans="1:14" ht="30">
      <c r="A2071" s="56">
        <v>347</v>
      </c>
      <c r="B2071" s="56">
        <v>347</v>
      </c>
      <c r="C2071" s="56">
        <v>347</v>
      </c>
      <c r="D2071" s="56" t="s">
        <v>1820</v>
      </c>
      <c r="F2071" s="56" t="s">
        <v>24</v>
      </c>
      <c r="G2071" s="56">
        <v>1</v>
      </c>
      <c r="H2071" s="56">
        <v>17</v>
      </c>
      <c r="I2071" s="56">
        <v>450</v>
      </c>
      <c r="J2071" s="59" t="s">
        <v>1181</v>
      </c>
      <c r="K2071" s="59">
        <v>1</v>
      </c>
      <c r="L2071" s="59">
        <f t="shared" si="32"/>
        <v>7650</v>
      </c>
      <c r="M2071" s="59"/>
    </row>
    <row r="2072" spans="1:14" ht="30">
      <c r="A2072" s="56">
        <v>670</v>
      </c>
      <c r="B2072" s="56">
        <v>670</v>
      </c>
      <c r="C2072" s="56">
        <v>670</v>
      </c>
      <c r="D2072" s="56" t="s">
        <v>2114</v>
      </c>
      <c r="F2072" s="56" t="s">
        <v>24</v>
      </c>
      <c r="G2072" s="56">
        <v>1</v>
      </c>
      <c r="H2072" s="56">
        <v>17</v>
      </c>
      <c r="I2072" s="56">
        <v>4200</v>
      </c>
      <c r="J2072" s="59" t="s">
        <v>1181</v>
      </c>
      <c r="K2072" s="59">
        <v>1</v>
      </c>
      <c r="L2072" s="59">
        <f t="shared" si="32"/>
        <v>71400</v>
      </c>
      <c r="M2072" s="59"/>
    </row>
    <row r="2073" spans="1:14" ht="30">
      <c r="A2073" s="56">
        <v>1151</v>
      </c>
      <c r="B2073" s="56">
        <v>1151</v>
      </c>
      <c r="C2073" s="56">
        <v>1151</v>
      </c>
      <c r="D2073" s="56" t="s">
        <v>1191</v>
      </c>
      <c r="F2073" s="58" t="s">
        <v>24</v>
      </c>
      <c r="G2073" s="58">
        <v>1</v>
      </c>
      <c r="H2073" s="58">
        <v>17</v>
      </c>
      <c r="I2073" s="56">
        <v>40</v>
      </c>
      <c r="J2073" s="59" t="s">
        <v>1181</v>
      </c>
      <c r="K2073" s="59">
        <v>1</v>
      </c>
      <c r="L2073" s="59">
        <f t="shared" si="32"/>
        <v>680</v>
      </c>
      <c r="M2073" s="59"/>
      <c r="N2073" s="58"/>
    </row>
    <row r="2074" spans="1:14" ht="30">
      <c r="A2074" s="56">
        <v>1354</v>
      </c>
      <c r="B2074" s="56">
        <v>1354</v>
      </c>
      <c r="C2074" s="56">
        <v>1354</v>
      </c>
      <c r="D2074" s="56" t="s">
        <v>2576</v>
      </c>
      <c r="F2074" s="56" t="s">
        <v>24</v>
      </c>
      <c r="G2074" s="56">
        <v>1</v>
      </c>
      <c r="H2074" s="56">
        <v>17</v>
      </c>
      <c r="I2074" s="56">
        <v>150</v>
      </c>
      <c r="J2074" s="59" t="s">
        <v>1181</v>
      </c>
      <c r="K2074" s="59">
        <v>1</v>
      </c>
      <c r="L2074" s="59">
        <f t="shared" si="32"/>
        <v>2550</v>
      </c>
      <c r="M2074" s="59"/>
    </row>
    <row r="2075" spans="1:14" ht="30">
      <c r="A2075" s="56">
        <v>1473</v>
      </c>
      <c r="B2075" s="56">
        <v>1473</v>
      </c>
      <c r="C2075" s="56">
        <v>1473</v>
      </c>
      <c r="D2075" s="56" t="s">
        <v>2668</v>
      </c>
      <c r="F2075" s="56" t="s">
        <v>24</v>
      </c>
      <c r="G2075" s="56">
        <v>1</v>
      </c>
      <c r="H2075" s="56">
        <v>17</v>
      </c>
      <c r="I2075" s="56">
        <v>62</v>
      </c>
      <c r="J2075" s="59" t="s">
        <v>1181</v>
      </c>
      <c r="K2075" s="59">
        <v>1</v>
      </c>
      <c r="L2075" s="59">
        <f t="shared" si="32"/>
        <v>1054</v>
      </c>
      <c r="M2075" s="59"/>
    </row>
    <row r="2076" spans="1:14" ht="30">
      <c r="A2076" s="56">
        <v>1438</v>
      </c>
      <c r="B2076" s="56">
        <v>1438</v>
      </c>
      <c r="C2076" s="56">
        <v>1438</v>
      </c>
      <c r="D2076" s="56" t="s">
        <v>1235</v>
      </c>
      <c r="F2076" s="58" t="s">
        <v>1198</v>
      </c>
      <c r="G2076" s="58">
        <v>50</v>
      </c>
      <c r="H2076" s="56">
        <v>18</v>
      </c>
      <c r="I2076" s="56">
        <v>350</v>
      </c>
      <c r="J2076" s="59" t="s">
        <v>1181</v>
      </c>
      <c r="K2076" s="59">
        <v>1</v>
      </c>
      <c r="L2076" s="59">
        <f t="shared" si="32"/>
        <v>6300</v>
      </c>
      <c r="M2076" s="59"/>
    </row>
    <row r="2077" spans="1:14" ht="30">
      <c r="A2077" s="56">
        <v>796</v>
      </c>
      <c r="B2077" s="56">
        <v>796</v>
      </c>
      <c r="C2077" s="56">
        <v>796</v>
      </c>
      <c r="D2077" s="56" t="s">
        <v>1289</v>
      </c>
      <c r="F2077" s="58" t="s">
        <v>1185</v>
      </c>
      <c r="G2077" s="58">
        <v>12</v>
      </c>
      <c r="H2077" s="56">
        <v>18</v>
      </c>
      <c r="I2077" s="56">
        <v>612</v>
      </c>
      <c r="J2077" s="59" t="s">
        <v>1181</v>
      </c>
      <c r="K2077" s="59">
        <v>1</v>
      </c>
      <c r="L2077" s="59">
        <f t="shared" si="32"/>
        <v>11016</v>
      </c>
      <c r="M2077" s="59"/>
    </row>
    <row r="2078" spans="1:14" ht="30">
      <c r="A2078" s="56">
        <v>498</v>
      </c>
      <c r="B2078" s="56">
        <v>498</v>
      </c>
      <c r="C2078" s="56">
        <v>498</v>
      </c>
      <c r="D2078" s="56" t="s">
        <v>1961</v>
      </c>
      <c r="F2078" s="56" t="s">
        <v>24</v>
      </c>
      <c r="G2078" s="56">
        <v>1</v>
      </c>
      <c r="H2078" s="56">
        <v>18</v>
      </c>
      <c r="I2078" s="56">
        <v>190</v>
      </c>
      <c r="J2078" s="59" t="s">
        <v>1181</v>
      </c>
      <c r="K2078" s="59">
        <v>1</v>
      </c>
      <c r="L2078" s="59">
        <f t="shared" si="32"/>
        <v>3420</v>
      </c>
      <c r="M2078" s="59"/>
    </row>
    <row r="2079" spans="1:14" ht="30">
      <c r="A2079" s="56">
        <v>526</v>
      </c>
      <c r="B2079" s="56">
        <v>526</v>
      </c>
      <c r="C2079" s="56">
        <v>526</v>
      </c>
      <c r="D2079" s="56" t="s">
        <v>1988</v>
      </c>
      <c r="F2079" s="56" t="s">
        <v>24</v>
      </c>
      <c r="G2079" s="56">
        <v>1</v>
      </c>
      <c r="H2079" s="56">
        <v>18</v>
      </c>
      <c r="I2079" s="56">
        <v>280</v>
      </c>
      <c r="J2079" s="59" t="s">
        <v>1181</v>
      </c>
      <c r="K2079" s="59">
        <v>1</v>
      </c>
      <c r="L2079" s="59">
        <f t="shared" si="32"/>
        <v>5040</v>
      </c>
      <c r="M2079" s="59"/>
    </row>
    <row r="2080" spans="1:14" ht="30">
      <c r="A2080" s="56">
        <v>588</v>
      </c>
      <c r="B2080" s="56">
        <v>588</v>
      </c>
      <c r="C2080" s="56">
        <v>588</v>
      </c>
      <c r="D2080" s="56" t="s">
        <v>2043</v>
      </c>
      <c r="F2080" s="56" t="s">
        <v>24</v>
      </c>
      <c r="G2080" s="56">
        <v>1</v>
      </c>
      <c r="H2080" s="56">
        <v>18</v>
      </c>
      <c r="I2080" s="56">
        <v>40</v>
      </c>
      <c r="J2080" s="59" t="s">
        <v>1181</v>
      </c>
      <c r="K2080" s="59">
        <v>1</v>
      </c>
      <c r="L2080" s="59">
        <f t="shared" si="32"/>
        <v>720</v>
      </c>
      <c r="M2080" s="59"/>
    </row>
    <row r="2081" spans="1:13" ht="30">
      <c r="A2081" s="56">
        <v>591</v>
      </c>
      <c r="B2081" s="56">
        <v>591</v>
      </c>
      <c r="C2081" s="56">
        <v>591</v>
      </c>
      <c r="D2081" s="56" t="s">
        <v>2046</v>
      </c>
      <c r="F2081" s="56" t="s">
        <v>24</v>
      </c>
      <c r="G2081" s="56">
        <v>1</v>
      </c>
      <c r="H2081" s="56">
        <v>18</v>
      </c>
      <c r="I2081" s="56">
        <v>160</v>
      </c>
      <c r="J2081" s="59" t="s">
        <v>1181</v>
      </c>
      <c r="K2081" s="59">
        <v>1</v>
      </c>
      <c r="L2081" s="59">
        <f t="shared" si="32"/>
        <v>2880</v>
      </c>
      <c r="M2081" s="59"/>
    </row>
    <row r="2082" spans="1:13" ht="30">
      <c r="A2082" s="56">
        <v>1004</v>
      </c>
      <c r="B2082" s="56">
        <v>1004</v>
      </c>
      <c r="C2082" s="56">
        <v>1004</v>
      </c>
      <c r="D2082" s="56" t="s">
        <v>2296</v>
      </c>
      <c r="F2082" s="56" t="s">
        <v>24</v>
      </c>
      <c r="G2082" s="56">
        <v>1</v>
      </c>
      <c r="H2082" s="56">
        <v>18</v>
      </c>
      <c r="I2082" s="56">
        <v>80</v>
      </c>
      <c r="J2082" s="59" t="s">
        <v>1181</v>
      </c>
      <c r="K2082" s="59">
        <v>1</v>
      </c>
      <c r="L2082" s="59">
        <f t="shared" si="32"/>
        <v>1440</v>
      </c>
      <c r="M2082" s="59"/>
    </row>
    <row r="2083" spans="1:13" ht="30">
      <c r="A2083" s="56">
        <v>1080</v>
      </c>
      <c r="B2083" s="56">
        <v>1080</v>
      </c>
      <c r="C2083" s="56">
        <v>1080</v>
      </c>
      <c r="D2083" s="56" t="s">
        <v>2355</v>
      </c>
      <c r="F2083" s="56" t="s">
        <v>24</v>
      </c>
      <c r="G2083" s="56">
        <v>1</v>
      </c>
      <c r="H2083" s="56">
        <v>18</v>
      </c>
      <c r="I2083" s="56">
        <v>183</v>
      </c>
      <c r="J2083" s="59" t="s">
        <v>1181</v>
      </c>
      <c r="K2083" s="59">
        <v>1</v>
      </c>
      <c r="L2083" s="59">
        <f t="shared" si="32"/>
        <v>3294</v>
      </c>
      <c r="M2083" s="59"/>
    </row>
    <row r="2084" spans="1:13" ht="30">
      <c r="A2084" s="56">
        <v>1081</v>
      </c>
      <c r="B2084" s="56">
        <v>1081</v>
      </c>
      <c r="C2084" s="56">
        <v>1081</v>
      </c>
      <c r="D2084" s="56" t="s">
        <v>2356</v>
      </c>
      <c r="F2084" s="56" t="s">
        <v>24</v>
      </c>
      <c r="G2084" s="56">
        <v>1</v>
      </c>
      <c r="H2084" s="56">
        <v>18</v>
      </c>
      <c r="I2084" s="56">
        <v>155</v>
      </c>
      <c r="J2084" s="59" t="s">
        <v>1181</v>
      </c>
      <c r="K2084" s="59">
        <v>1</v>
      </c>
      <c r="L2084" s="59">
        <f t="shared" si="32"/>
        <v>2790</v>
      </c>
      <c r="M2084" s="59"/>
    </row>
    <row r="2085" spans="1:13" ht="30">
      <c r="A2085" s="56">
        <v>1256</v>
      </c>
      <c r="B2085" s="56">
        <v>1256</v>
      </c>
      <c r="C2085" s="56">
        <v>1256</v>
      </c>
      <c r="D2085" s="56" t="s">
        <v>1231</v>
      </c>
      <c r="F2085" s="56" t="s">
        <v>1201</v>
      </c>
      <c r="G2085" s="56">
        <v>50</v>
      </c>
      <c r="H2085" s="56">
        <v>19</v>
      </c>
      <c r="I2085" s="56">
        <v>1300</v>
      </c>
      <c r="J2085" s="59" t="s">
        <v>1181</v>
      </c>
      <c r="K2085" s="59">
        <v>1</v>
      </c>
      <c r="L2085" s="59">
        <f t="shared" si="32"/>
        <v>24700</v>
      </c>
      <c r="M2085" s="59"/>
    </row>
    <row r="2086" spans="1:13" ht="30">
      <c r="A2086" s="56">
        <v>423</v>
      </c>
      <c r="B2086" s="56">
        <v>423</v>
      </c>
      <c r="C2086" s="56">
        <v>423</v>
      </c>
      <c r="D2086" s="56" t="s">
        <v>1892</v>
      </c>
      <c r="F2086" s="56" t="s">
        <v>24</v>
      </c>
      <c r="G2086" s="56">
        <v>1</v>
      </c>
      <c r="H2086" s="56">
        <v>19</v>
      </c>
      <c r="I2086" s="56">
        <v>750</v>
      </c>
      <c r="J2086" s="59" t="s">
        <v>1181</v>
      </c>
      <c r="K2086" s="59">
        <v>1</v>
      </c>
      <c r="L2086" s="59">
        <f t="shared" si="32"/>
        <v>14250</v>
      </c>
      <c r="M2086" s="59"/>
    </row>
    <row r="2087" spans="1:13" ht="30">
      <c r="A2087" s="56">
        <v>905</v>
      </c>
      <c r="B2087" s="56">
        <v>905</v>
      </c>
      <c r="C2087" s="56">
        <v>905</v>
      </c>
      <c r="D2087" s="56" t="s">
        <v>2248</v>
      </c>
      <c r="F2087" s="56" t="s">
        <v>24</v>
      </c>
      <c r="G2087" s="56">
        <v>1</v>
      </c>
      <c r="H2087" s="56">
        <v>19</v>
      </c>
      <c r="I2087" s="56">
        <v>100</v>
      </c>
      <c r="J2087" s="59" t="s">
        <v>1181</v>
      </c>
      <c r="K2087" s="59">
        <v>1</v>
      </c>
      <c r="L2087" s="59">
        <f t="shared" si="32"/>
        <v>1900</v>
      </c>
      <c r="M2087" s="59"/>
    </row>
    <row r="2088" spans="1:13" ht="30">
      <c r="A2088" s="56">
        <v>980</v>
      </c>
      <c r="B2088" s="56">
        <v>980</v>
      </c>
      <c r="C2088" s="56">
        <v>980</v>
      </c>
      <c r="D2088" s="56" t="s">
        <v>2280</v>
      </c>
      <c r="F2088" s="56" t="s">
        <v>24</v>
      </c>
      <c r="G2088" s="56">
        <v>1</v>
      </c>
      <c r="H2088" s="56">
        <v>19</v>
      </c>
      <c r="I2088" s="56">
        <v>120</v>
      </c>
      <c r="J2088" s="59" t="s">
        <v>1181</v>
      </c>
      <c r="K2088" s="59">
        <v>1</v>
      </c>
      <c r="L2088" s="59">
        <f t="shared" si="32"/>
        <v>2280</v>
      </c>
      <c r="M2088" s="59"/>
    </row>
    <row r="2089" spans="1:13" ht="30">
      <c r="A2089" s="56">
        <v>1087</v>
      </c>
      <c r="B2089" s="56">
        <v>1087</v>
      </c>
      <c r="C2089" s="56">
        <v>1087</v>
      </c>
      <c r="D2089" s="56" t="s">
        <v>2361</v>
      </c>
      <c r="F2089" s="56" t="s">
        <v>24</v>
      </c>
      <c r="G2089" s="56">
        <v>1</v>
      </c>
      <c r="H2089" s="56">
        <v>19</v>
      </c>
      <c r="I2089" s="56">
        <v>69</v>
      </c>
      <c r="J2089" s="59" t="s">
        <v>1181</v>
      </c>
      <c r="K2089" s="59">
        <v>1</v>
      </c>
      <c r="L2089" s="59">
        <f t="shared" si="32"/>
        <v>1311</v>
      </c>
      <c r="M2089" s="59"/>
    </row>
    <row r="2090" spans="1:13" ht="30">
      <c r="A2090" s="56">
        <v>1191</v>
      </c>
      <c r="B2090" s="56">
        <v>1191</v>
      </c>
      <c r="C2090" s="56">
        <v>1191</v>
      </c>
      <c r="D2090" s="56" t="s">
        <v>2441</v>
      </c>
      <c r="F2090" s="56" t="s">
        <v>24</v>
      </c>
      <c r="G2090" s="56">
        <v>1</v>
      </c>
      <c r="H2090" s="56">
        <v>19</v>
      </c>
      <c r="I2090" s="56">
        <v>1800</v>
      </c>
      <c r="J2090" s="59" t="s">
        <v>1181</v>
      </c>
      <c r="K2090" s="59">
        <v>1</v>
      </c>
      <c r="L2090" s="59">
        <f t="shared" si="32"/>
        <v>34200</v>
      </c>
      <c r="M2090" s="59"/>
    </row>
    <row r="2091" spans="1:13" ht="30">
      <c r="A2091" s="56">
        <v>1662</v>
      </c>
      <c r="B2091" s="56">
        <v>1662</v>
      </c>
      <c r="C2091" s="56">
        <v>1662</v>
      </c>
      <c r="D2091" s="56" t="s">
        <v>2829</v>
      </c>
      <c r="F2091" s="56" t="s">
        <v>24</v>
      </c>
      <c r="G2091" s="56">
        <v>1</v>
      </c>
      <c r="H2091" s="56">
        <v>19</v>
      </c>
      <c r="I2091" s="56">
        <v>450</v>
      </c>
      <c r="J2091" s="59" t="s">
        <v>1181</v>
      </c>
      <c r="K2091" s="59">
        <v>1</v>
      </c>
      <c r="L2091" s="59">
        <f t="shared" si="32"/>
        <v>8550</v>
      </c>
      <c r="M2091" s="59"/>
    </row>
    <row r="2092" spans="1:13" ht="30">
      <c r="A2092" s="56">
        <v>1676</v>
      </c>
      <c r="B2092" s="56">
        <v>1676</v>
      </c>
      <c r="C2092" s="56">
        <v>1676</v>
      </c>
      <c r="D2092" s="56" t="s">
        <v>2837</v>
      </c>
      <c r="F2092" s="56" t="s">
        <v>24</v>
      </c>
      <c r="G2092" s="56">
        <v>1</v>
      </c>
      <c r="H2092" s="56">
        <v>19</v>
      </c>
      <c r="I2092" s="56">
        <v>138</v>
      </c>
      <c r="J2092" s="59" t="s">
        <v>1181</v>
      </c>
      <c r="K2092" s="59">
        <v>1</v>
      </c>
      <c r="L2092" s="59">
        <f t="shared" si="32"/>
        <v>2622</v>
      </c>
      <c r="M2092" s="59"/>
    </row>
    <row r="2093" spans="1:13" ht="30">
      <c r="A2093" s="56">
        <v>1677</v>
      </c>
      <c r="B2093" s="56">
        <v>1677</v>
      </c>
      <c r="C2093" s="56">
        <v>1677</v>
      </c>
      <c r="D2093" s="56" t="s">
        <v>2838</v>
      </c>
      <c r="F2093" s="56" t="s">
        <v>24</v>
      </c>
      <c r="G2093" s="56">
        <v>1</v>
      </c>
      <c r="H2093" s="56">
        <v>19</v>
      </c>
      <c r="I2093" s="56">
        <v>146</v>
      </c>
      <c r="J2093" s="59" t="s">
        <v>1181</v>
      </c>
      <c r="K2093" s="59">
        <v>1</v>
      </c>
      <c r="L2093" s="59">
        <f t="shared" si="32"/>
        <v>2774</v>
      </c>
      <c r="M2093" s="59"/>
    </row>
    <row r="2094" spans="1:13" ht="30">
      <c r="A2094" s="56">
        <v>1951</v>
      </c>
      <c r="B2094" s="56">
        <v>1951</v>
      </c>
      <c r="C2094" s="56">
        <v>1951</v>
      </c>
      <c r="D2094" s="56" t="s">
        <v>1243</v>
      </c>
      <c r="F2094" s="58" t="s">
        <v>1244</v>
      </c>
      <c r="G2094" s="58">
        <v>50</v>
      </c>
      <c r="H2094" s="56">
        <v>20</v>
      </c>
      <c r="I2094" s="56">
        <v>3435</v>
      </c>
      <c r="J2094" s="59" t="s">
        <v>1181</v>
      </c>
      <c r="K2094" s="59">
        <v>1</v>
      </c>
      <c r="L2094" s="59">
        <f t="shared" si="32"/>
        <v>68700</v>
      </c>
      <c r="M2094" s="59"/>
    </row>
    <row r="2095" spans="1:13" ht="30">
      <c r="A2095" s="56">
        <v>29</v>
      </c>
      <c r="B2095" s="56">
        <v>29</v>
      </c>
      <c r="C2095" s="56">
        <v>29</v>
      </c>
      <c r="D2095" s="56" t="s">
        <v>1552</v>
      </c>
      <c r="F2095" s="56" t="s">
        <v>24</v>
      </c>
      <c r="G2095" s="56">
        <v>1</v>
      </c>
      <c r="H2095" s="56">
        <v>20</v>
      </c>
      <c r="I2095" s="56">
        <v>375</v>
      </c>
      <c r="J2095" s="59" t="s">
        <v>1181</v>
      </c>
      <c r="K2095" s="59">
        <v>1</v>
      </c>
      <c r="L2095" s="59">
        <f t="shared" si="32"/>
        <v>7500</v>
      </c>
      <c r="M2095" s="59"/>
    </row>
    <row r="2096" spans="1:13" ht="30">
      <c r="A2096" s="56">
        <v>492</v>
      </c>
      <c r="B2096" s="56">
        <v>492</v>
      </c>
      <c r="C2096" s="56">
        <v>492</v>
      </c>
      <c r="D2096" s="56" t="s">
        <v>1957</v>
      </c>
      <c r="F2096" s="56" t="s">
        <v>24</v>
      </c>
      <c r="G2096" s="56">
        <v>1</v>
      </c>
      <c r="H2096" s="56">
        <v>20</v>
      </c>
      <c r="I2096" s="56">
        <v>80</v>
      </c>
      <c r="J2096" s="59" t="s">
        <v>1181</v>
      </c>
      <c r="K2096" s="59">
        <v>1</v>
      </c>
      <c r="L2096" s="59">
        <f t="shared" si="32"/>
        <v>1600</v>
      </c>
      <c r="M2096" s="59"/>
    </row>
    <row r="2097" spans="1:14" ht="30">
      <c r="A2097" s="56">
        <v>1063</v>
      </c>
      <c r="B2097" s="56">
        <v>1063</v>
      </c>
      <c r="C2097" s="56">
        <v>1063</v>
      </c>
      <c r="D2097" s="56" t="s">
        <v>2342</v>
      </c>
      <c r="F2097" s="56" t="s">
        <v>24</v>
      </c>
      <c r="G2097" s="56">
        <v>1</v>
      </c>
      <c r="H2097" s="56">
        <v>20</v>
      </c>
      <c r="I2097" s="56">
        <v>200</v>
      </c>
      <c r="J2097" s="59" t="s">
        <v>1181</v>
      </c>
      <c r="K2097" s="59">
        <v>1</v>
      </c>
      <c r="L2097" s="59">
        <f t="shared" si="32"/>
        <v>4000</v>
      </c>
      <c r="M2097" s="59"/>
    </row>
    <row r="2098" spans="1:14" ht="30">
      <c r="A2098" s="56">
        <v>1090</v>
      </c>
      <c r="B2098" s="56">
        <v>1090</v>
      </c>
      <c r="C2098" s="56">
        <v>1090</v>
      </c>
      <c r="D2098" s="56" t="s">
        <v>2364</v>
      </c>
      <c r="F2098" s="56" t="s">
        <v>24</v>
      </c>
      <c r="G2098" s="56">
        <v>1</v>
      </c>
      <c r="H2098" s="56">
        <v>20</v>
      </c>
      <c r="I2098" s="56">
        <v>30</v>
      </c>
      <c r="J2098" s="59" t="s">
        <v>1181</v>
      </c>
      <c r="K2098" s="59">
        <v>1</v>
      </c>
      <c r="L2098" s="59">
        <f t="shared" si="32"/>
        <v>600</v>
      </c>
      <c r="M2098" s="59"/>
    </row>
    <row r="2099" spans="1:14" ht="30">
      <c r="A2099" s="56">
        <v>1107</v>
      </c>
      <c r="B2099" s="56">
        <v>1107</v>
      </c>
      <c r="C2099" s="56">
        <v>1107</v>
      </c>
      <c r="D2099" s="56" t="s">
        <v>1189</v>
      </c>
      <c r="F2099" s="58" t="s">
        <v>1201</v>
      </c>
      <c r="G2099" s="58">
        <v>1</v>
      </c>
      <c r="H2099" s="58">
        <v>20</v>
      </c>
      <c r="I2099" s="56">
        <v>25</v>
      </c>
      <c r="J2099" s="59" t="s">
        <v>1181</v>
      </c>
      <c r="K2099" s="59">
        <v>1</v>
      </c>
      <c r="L2099" s="59">
        <f t="shared" si="32"/>
        <v>500</v>
      </c>
      <c r="M2099" s="59"/>
      <c r="N2099" s="58"/>
    </row>
    <row r="2100" spans="1:14" ht="30">
      <c r="A2100" s="56">
        <v>1419</v>
      </c>
      <c r="B2100" s="56">
        <v>1419</v>
      </c>
      <c r="C2100" s="56">
        <v>1419</v>
      </c>
      <c r="D2100" s="56" t="s">
        <v>2628</v>
      </c>
      <c r="F2100" s="56" t="s">
        <v>24</v>
      </c>
      <c r="G2100" s="56">
        <v>1</v>
      </c>
      <c r="H2100" s="56">
        <v>20</v>
      </c>
      <c r="I2100" s="56">
        <v>123</v>
      </c>
      <c r="J2100" s="59" t="s">
        <v>1181</v>
      </c>
      <c r="K2100" s="59">
        <v>1</v>
      </c>
      <c r="L2100" s="59">
        <f t="shared" si="32"/>
        <v>2460</v>
      </c>
      <c r="M2100" s="59"/>
    </row>
    <row r="2101" spans="1:14" ht="30">
      <c r="A2101" s="56">
        <v>1471</v>
      </c>
      <c r="B2101" s="56">
        <v>1471</v>
      </c>
      <c r="C2101" s="56">
        <v>1471</v>
      </c>
      <c r="D2101" s="56" t="s">
        <v>2666</v>
      </c>
      <c r="F2101" s="56" t="s">
        <v>24</v>
      </c>
      <c r="G2101" s="56">
        <v>1</v>
      </c>
      <c r="H2101" s="56">
        <v>20</v>
      </c>
      <c r="I2101" s="56">
        <v>46</v>
      </c>
      <c r="J2101" s="59" t="s">
        <v>1181</v>
      </c>
      <c r="K2101" s="59">
        <v>1</v>
      </c>
      <c r="L2101" s="59">
        <f t="shared" si="32"/>
        <v>920</v>
      </c>
      <c r="M2101" s="59"/>
    </row>
    <row r="2102" spans="1:14" ht="30">
      <c r="A2102" s="56">
        <v>1628</v>
      </c>
      <c r="B2102" s="56">
        <v>1628</v>
      </c>
      <c r="C2102" s="56">
        <v>1628</v>
      </c>
      <c r="D2102" s="56" t="s">
        <v>2807</v>
      </c>
      <c r="F2102" s="56" t="s">
        <v>24</v>
      </c>
      <c r="G2102" s="56">
        <v>1</v>
      </c>
      <c r="H2102" s="56">
        <v>20</v>
      </c>
      <c r="I2102" s="56">
        <v>160</v>
      </c>
      <c r="J2102" s="59" t="s">
        <v>1181</v>
      </c>
      <c r="K2102" s="59">
        <v>1</v>
      </c>
      <c r="L2102" s="59">
        <f t="shared" si="32"/>
        <v>3200</v>
      </c>
      <c r="M2102" s="59"/>
    </row>
    <row r="2103" spans="1:14" ht="30">
      <c r="A2103" s="56">
        <v>1659</v>
      </c>
      <c r="B2103" s="56">
        <v>1659</v>
      </c>
      <c r="C2103" s="56">
        <v>1659</v>
      </c>
      <c r="D2103" s="56" t="s">
        <v>2826</v>
      </c>
      <c r="F2103" s="56" t="s">
        <v>24</v>
      </c>
      <c r="G2103" s="56">
        <v>1</v>
      </c>
      <c r="H2103" s="56">
        <v>20</v>
      </c>
      <c r="I2103" s="56">
        <v>450</v>
      </c>
      <c r="J2103" s="59" t="s">
        <v>1181</v>
      </c>
      <c r="K2103" s="59">
        <v>1</v>
      </c>
      <c r="L2103" s="59">
        <f t="shared" si="32"/>
        <v>9000</v>
      </c>
      <c r="M2103" s="59"/>
    </row>
    <row r="2104" spans="1:14" ht="30">
      <c r="A2104" s="56">
        <v>1675</v>
      </c>
      <c r="B2104" s="56">
        <v>1675</v>
      </c>
      <c r="C2104" s="56">
        <v>1675</v>
      </c>
      <c r="D2104" s="56" t="s">
        <v>2836</v>
      </c>
      <c r="F2104" s="56" t="s">
        <v>24</v>
      </c>
      <c r="G2104" s="56">
        <v>1</v>
      </c>
      <c r="H2104" s="56">
        <v>20</v>
      </c>
      <c r="I2104" s="56">
        <v>149</v>
      </c>
      <c r="J2104" s="59" t="s">
        <v>1181</v>
      </c>
      <c r="K2104" s="59">
        <v>1</v>
      </c>
      <c r="L2104" s="59">
        <f t="shared" si="32"/>
        <v>2980</v>
      </c>
      <c r="M2104" s="59"/>
    </row>
    <row r="2105" spans="1:14" ht="30">
      <c r="A2105" s="56">
        <v>1694</v>
      </c>
      <c r="B2105" s="56">
        <v>1694</v>
      </c>
      <c r="C2105" s="56">
        <v>1694</v>
      </c>
      <c r="D2105" s="56" t="s">
        <v>2849</v>
      </c>
      <c r="F2105" s="56" t="s">
        <v>24</v>
      </c>
      <c r="G2105" s="56">
        <v>1</v>
      </c>
      <c r="H2105" s="56">
        <v>20</v>
      </c>
      <c r="I2105" s="56">
        <v>96</v>
      </c>
      <c r="J2105" s="59" t="s">
        <v>1181</v>
      </c>
      <c r="K2105" s="59">
        <v>1</v>
      </c>
      <c r="L2105" s="59">
        <f t="shared" si="32"/>
        <v>1920</v>
      </c>
      <c r="M2105" s="59"/>
    </row>
    <row r="2106" spans="1:14" ht="30">
      <c r="A2106" s="56">
        <v>264</v>
      </c>
      <c r="B2106" s="56">
        <v>264</v>
      </c>
      <c r="C2106" s="56">
        <v>264</v>
      </c>
      <c r="D2106" s="56" t="s">
        <v>1750</v>
      </c>
      <c r="F2106" s="56" t="s">
        <v>24</v>
      </c>
      <c r="G2106" s="56">
        <v>1</v>
      </c>
      <c r="H2106" s="56">
        <v>21</v>
      </c>
      <c r="I2106" s="56">
        <v>250</v>
      </c>
      <c r="J2106" s="59" t="s">
        <v>1181</v>
      </c>
      <c r="K2106" s="59">
        <v>1</v>
      </c>
      <c r="L2106" s="59">
        <f t="shared" si="32"/>
        <v>5250</v>
      </c>
      <c r="M2106" s="59"/>
    </row>
    <row r="2107" spans="1:14" ht="30">
      <c r="A2107" s="56">
        <v>388</v>
      </c>
      <c r="B2107" s="56">
        <v>388</v>
      </c>
      <c r="C2107" s="56">
        <v>388</v>
      </c>
      <c r="D2107" s="56" t="s">
        <v>1861</v>
      </c>
      <c r="F2107" s="56" t="s">
        <v>24</v>
      </c>
      <c r="G2107" s="56">
        <v>1</v>
      </c>
      <c r="H2107" s="56">
        <v>21</v>
      </c>
      <c r="I2107" s="56">
        <v>250</v>
      </c>
      <c r="J2107" s="59" t="s">
        <v>1181</v>
      </c>
      <c r="K2107" s="59">
        <v>1</v>
      </c>
      <c r="L2107" s="59">
        <f t="shared" si="32"/>
        <v>5250</v>
      </c>
      <c r="M2107" s="59"/>
    </row>
    <row r="2108" spans="1:14" ht="30">
      <c r="A2108" s="56">
        <v>496</v>
      </c>
      <c r="B2108" s="56">
        <v>496</v>
      </c>
      <c r="C2108" s="56">
        <v>496</v>
      </c>
      <c r="D2108" s="56" t="s">
        <v>1959</v>
      </c>
      <c r="F2108" s="56" t="s">
        <v>24</v>
      </c>
      <c r="G2108" s="56">
        <v>1</v>
      </c>
      <c r="H2108" s="56">
        <v>21</v>
      </c>
      <c r="I2108" s="56">
        <v>58</v>
      </c>
      <c r="J2108" s="59" t="s">
        <v>1181</v>
      </c>
      <c r="K2108" s="59">
        <v>1</v>
      </c>
      <c r="L2108" s="59">
        <f t="shared" si="32"/>
        <v>1218</v>
      </c>
      <c r="M2108" s="59"/>
    </row>
    <row r="2109" spans="1:14" ht="30">
      <c r="A2109" s="56">
        <v>1154</v>
      </c>
      <c r="B2109" s="56">
        <v>1154</v>
      </c>
      <c r="C2109" s="56">
        <v>1154</v>
      </c>
      <c r="D2109" s="56" t="s">
        <v>2416</v>
      </c>
      <c r="F2109" s="56" t="s">
        <v>24</v>
      </c>
      <c r="G2109" s="56">
        <v>1</v>
      </c>
      <c r="H2109" s="56">
        <v>21</v>
      </c>
      <c r="I2109" s="56">
        <v>400</v>
      </c>
      <c r="J2109" s="59" t="s">
        <v>1181</v>
      </c>
      <c r="K2109" s="59">
        <v>1</v>
      </c>
      <c r="L2109" s="59">
        <f t="shared" si="32"/>
        <v>8400</v>
      </c>
      <c r="M2109" s="59"/>
    </row>
    <row r="2110" spans="1:14" ht="30">
      <c r="A2110" s="56">
        <v>1204</v>
      </c>
      <c r="B2110" s="56">
        <v>1204</v>
      </c>
      <c r="C2110" s="56">
        <v>1204</v>
      </c>
      <c r="D2110" s="56" t="s">
        <v>2452</v>
      </c>
      <c r="F2110" s="56" t="s">
        <v>24</v>
      </c>
      <c r="G2110" s="56">
        <v>1</v>
      </c>
      <c r="H2110" s="56">
        <v>21</v>
      </c>
      <c r="I2110" s="56">
        <v>80</v>
      </c>
      <c r="J2110" s="59" t="s">
        <v>1181</v>
      </c>
      <c r="K2110" s="59">
        <v>1</v>
      </c>
      <c r="L2110" s="59">
        <f t="shared" si="32"/>
        <v>1680</v>
      </c>
      <c r="M2110" s="59"/>
    </row>
    <row r="2111" spans="1:14" ht="30">
      <c r="A2111" s="56">
        <v>1215</v>
      </c>
      <c r="B2111" s="56">
        <v>1215</v>
      </c>
      <c r="C2111" s="56">
        <v>1215</v>
      </c>
      <c r="D2111" s="56" t="s">
        <v>2463</v>
      </c>
      <c r="F2111" s="56" t="s">
        <v>24</v>
      </c>
      <c r="G2111" s="56">
        <v>1</v>
      </c>
      <c r="H2111" s="56">
        <v>21</v>
      </c>
      <c r="I2111" s="56">
        <v>20</v>
      </c>
      <c r="J2111" s="59" t="s">
        <v>1181</v>
      </c>
      <c r="K2111" s="59">
        <v>1</v>
      </c>
      <c r="L2111" s="59">
        <f t="shared" si="32"/>
        <v>420</v>
      </c>
      <c r="M2111" s="59"/>
    </row>
    <row r="2112" spans="1:14" ht="30">
      <c r="A2112" s="56">
        <v>1496</v>
      </c>
      <c r="B2112" s="56">
        <v>1496</v>
      </c>
      <c r="C2112" s="56">
        <v>1496</v>
      </c>
      <c r="D2112" s="56" t="s">
        <v>2688</v>
      </c>
      <c r="F2112" s="56" t="s">
        <v>24</v>
      </c>
      <c r="G2112" s="56">
        <v>1</v>
      </c>
      <c r="H2112" s="56">
        <v>21</v>
      </c>
      <c r="I2112" s="56">
        <v>350</v>
      </c>
      <c r="J2112" s="59" t="s">
        <v>1181</v>
      </c>
      <c r="K2112" s="59">
        <v>1</v>
      </c>
      <c r="L2112" s="59">
        <f t="shared" si="32"/>
        <v>7350</v>
      </c>
      <c r="M2112" s="59"/>
    </row>
    <row r="2113" spans="1:13" ht="30">
      <c r="A2113" s="56">
        <v>1582</v>
      </c>
      <c r="B2113" s="56">
        <v>1582</v>
      </c>
      <c r="C2113" s="56">
        <v>1582</v>
      </c>
      <c r="D2113" s="56" t="s">
        <v>2768</v>
      </c>
      <c r="F2113" s="56" t="s">
        <v>24</v>
      </c>
      <c r="G2113" s="56">
        <v>1</v>
      </c>
      <c r="H2113" s="56">
        <v>21</v>
      </c>
      <c r="I2113" s="56">
        <v>30</v>
      </c>
      <c r="J2113" s="59" t="s">
        <v>1181</v>
      </c>
      <c r="K2113" s="59">
        <v>1</v>
      </c>
      <c r="L2113" s="59">
        <f t="shared" si="32"/>
        <v>630</v>
      </c>
      <c r="M2113" s="59"/>
    </row>
    <row r="2114" spans="1:13" ht="30">
      <c r="A2114" s="56">
        <v>262</v>
      </c>
      <c r="B2114" s="56">
        <v>262</v>
      </c>
      <c r="C2114" s="56">
        <v>262</v>
      </c>
      <c r="D2114" s="56" t="s">
        <v>1748</v>
      </c>
      <c r="F2114" s="56" t="s">
        <v>24</v>
      </c>
      <c r="G2114" s="56">
        <v>1</v>
      </c>
      <c r="H2114" s="56">
        <v>22</v>
      </c>
      <c r="I2114" s="56">
        <v>200</v>
      </c>
      <c r="J2114" s="59" t="s">
        <v>1181</v>
      </c>
      <c r="K2114" s="59">
        <v>1</v>
      </c>
      <c r="L2114" s="59">
        <f t="shared" ref="L2114:L2177" si="33">H2114*I2114</f>
        <v>4400</v>
      </c>
      <c r="M2114" s="59"/>
    </row>
    <row r="2115" spans="1:13" ht="30">
      <c r="A2115" s="56">
        <v>485</v>
      </c>
      <c r="B2115" s="56">
        <v>485</v>
      </c>
      <c r="C2115" s="56">
        <v>485</v>
      </c>
      <c r="D2115" s="56" t="s">
        <v>1950</v>
      </c>
      <c r="F2115" s="56" t="s">
        <v>24</v>
      </c>
      <c r="G2115" s="56">
        <v>1</v>
      </c>
      <c r="H2115" s="56">
        <v>22</v>
      </c>
      <c r="I2115" s="56">
        <v>240</v>
      </c>
      <c r="J2115" s="59" t="s">
        <v>1181</v>
      </c>
      <c r="K2115" s="59">
        <v>1</v>
      </c>
      <c r="L2115" s="59">
        <f t="shared" si="33"/>
        <v>5280</v>
      </c>
      <c r="M2115" s="59"/>
    </row>
    <row r="2116" spans="1:13" ht="30">
      <c r="A2116" s="56">
        <v>586</v>
      </c>
      <c r="B2116" s="56">
        <v>586</v>
      </c>
      <c r="C2116" s="56">
        <v>586</v>
      </c>
      <c r="D2116" s="56" t="s">
        <v>2041</v>
      </c>
      <c r="F2116" s="56" t="s">
        <v>24</v>
      </c>
      <c r="G2116" s="56">
        <v>1</v>
      </c>
      <c r="H2116" s="56">
        <v>22</v>
      </c>
      <c r="I2116" s="56">
        <v>160</v>
      </c>
      <c r="J2116" s="59" t="s">
        <v>1181</v>
      </c>
      <c r="K2116" s="59">
        <v>1</v>
      </c>
      <c r="L2116" s="59">
        <f t="shared" si="33"/>
        <v>3520</v>
      </c>
      <c r="M2116" s="59"/>
    </row>
    <row r="2117" spans="1:13" ht="30">
      <c r="A2117" s="56">
        <v>1036</v>
      </c>
      <c r="B2117" s="56">
        <v>1036</v>
      </c>
      <c r="C2117" s="56">
        <v>1036</v>
      </c>
      <c r="D2117" s="56" t="s">
        <v>2328</v>
      </c>
      <c r="F2117" s="56" t="s">
        <v>24</v>
      </c>
      <c r="G2117" s="56">
        <v>1</v>
      </c>
      <c r="H2117" s="56">
        <v>22</v>
      </c>
      <c r="I2117" s="56">
        <v>300</v>
      </c>
      <c r="J2117" s="59" t="s">
        <v>1181</v>
      </c>
      <c r="K2117" s="59">
        <v>1</v>
      </c>
      <c r="L2117" s="59">
        <f t="shared" si="33"/>
        <v>6600</v>
      </c>
      <c r="M2117" s="59"/>
    </row>
    <row r="2118" spans="1:13" ht="30">
      <c r="A2118" s="56">
        <v>1442</v>
      </c>
      <c r="B2118" s="56">
        <v>1442</v>
      </c>
      <c r="C2118" s="56">
        <v>1442</v>
      </c>
      <c r="D2118" s="56" t="s">
        <v>2639</v>
      </c>
      <c r="F2118" s="56" t="s">
        <v>24</v>
      </c>
      <c r="G2118" s="56">
        <v>1</v>
      </c>
      <c r="H2118" s="56">
        <v>22</v>
      </c>
      <c r="I2118" s="56">
        <v>35</v>
      </c>
      <c r="J2118" s="59" t="s">
        <v>1181</v>
      </c>
      <c r="K2118" s="59">
        <v>1</v>
      </c>
      <c r="L2118" s="59">
        <f t="shared" si="33"/>
        <v>770</v>
      </c>
      <c r="M2118" s="59"/>
    </row>
    <row r="2119" spans="1:13" ht="30">
      <c r="A2119" s="56">
        <v>1949</v>
      </c>
      <c r="B2119" s="56">
        <v>1949</v>
      </c>
      <c r="C2119" s="56">
        <v>1949</v>
      </c>
      <c r="D2119" s="56" t="s">
        <v>1241</v>
      </c>
      <c r="F2119" s="58" t="s">
        <v>3076</v>
      </c>
      <c r="G2119" s="58">
        <v>1</v>
      </c>
      <c r="H2119" s="58">
        <v>22</v>
      </c>
      <c r="I2119" s="56">
        <v>2800</v>
      </c>
      <c r="J2119" s="59" t="s">
        <v>1181</v>
      </c>
      <c r="K2119" s="59">
        <v>1</v>
      </c>
      <c r="L2119" s="59">
        <f t="shared" si="33"/>
        <v>61600</v>
      </c>
      <c r="M2119" s="59"/>
    </row>
    <row r="2120" spans="1:13" ht="30">
      <c r="A2120" s="56">
        <v>2</v>
      </c>
      <c r="B2120" s="56">
        <v>2</v>
      </c>
      <c r="C2120" s="56">
        <v>2</v>
      </c>
      <c r="D2120" s="56" t="s">
        <v>1525</v>
      </c>
      <c r="F2120" s="56" t="s">
        <v>24</v>
      </c>
      <c r="G2120" s="56">
        <v>1</v>
      </c>
      <c r="H2120" s="56">
        <v>23</v>
      </c>
      <c r="I2120" s="56">
        <v>500</v>
      </c>
      <c r="J2120" s="59" t="s">
        <v>1181</v>
      </c>
      <c r="K2120" s="59">
        <v>1</v>
      </c>
      <c r="L2120" s="59">
        <f t="shared" si="33"/>
        <v>11500</v>
      </c>
      <c r="M2120" s="59"/>
    </row>
    <row r="2121" spans="1:13" ht="30">
      <c r="A2121" s="56">
        <v>1306</v>
      </c>
      <c r="B2121" s="56">
        <v>1306</v>
      </c>
      <c r="C2121" s="56">
        <v>1306</v>
      </c>
      <c r="D2121" s="56" t="s">
        <v>2530</v>
      </c>
      <c r="F2121" s="56" t="s">
        <v>24</v>
      </c>
      <c r="G2121" s="56">
        <v>1</v>
      </c>
      <c r="H2121" s="56">
        <v>23</v>
      </c>
      <c r="I2121" s="56">
        <v>118</v>
      </c>
      <c r="J2121" s="59" t="s">
        <v>1181</v>
      </c>
      <c r="K2121" s="59">
        <v>1</v>
      </c>
      <c r="L2121" s="59">
        <f t="shared" si="33"/>
        <v>2714</v>
      </c>
      <c r="M2121" s="59"/>
    </row>
    <row r="2122" spans="1:13" ht="30">
      <c r="A2122" s="56">
        <v>1594</v>
      </c>
      <c r="B2122" s="56">
        <v>1594</v>
      </c>
      <c r="C2122" s="56">
        <v>1594</v>
      </c>
      <c r="D2122" s="56" t="s">
        <v>2780</v>
      </c>
      <c r="F2122" s="56" t="s">
        <v>24</v>
      </c>
      <c r="G2122" s="56">
        <v>1</v>
      </c>
      <c r="H2122" s="56">
        <v>23</v>
      </c>
      <c r="I2122" s="56">
        <v>35</v>
      </c>
      <c r="J2122" s="59" t="s">
        <v>1181</v>
      </c>
      <c r="K2122" s="59">
        <v>1</v>
      </c>
      <c r="L2122" s="59">
        <f t="shared" si="33"/>
        <v>805</v>
      </c>
      <c r="M2122" s="59"/>
    </row>
    <row r="2123" spans="1:13" ht="30">
      <c r="A2123" s="56">
        <v>1601</v>
      </c>
      <c r="B2123" s="56">
        <v>1601</v>
      </c>
      <c r="C2123" s="56">
        <v>1601</v>
      </c>
      <c r="D2123" s="56" t="s">
        <v>2784</v>
      </c>
      <c r="F2123" s="56" t="s">
        <v>24</v>
      </c>
      <c r="G2123" s="56">
        <v>1</v>
      </c>
      <c r="H2123" s="56">
        <v>23</v>
      </c>
      <c r="I2123" s="56">
        <v>85</v>
      </c>
      <c r="J2123" s="59" t="s">
        <v>1181</v>
      </c>
      <c r="K2123" s="59">
        <v>1</v>
      </c>
      <c r="L2123" s="59">
        <f t="shared" si="33"/>
        <v>1955</v>
      </c>
      <c r="M2123" s="59"/>
    </row>
    <row r="2124" spans="1:13" ht="30">
      <c r="A2124" s="56">
        <v>1732</v>
      </c>
      <c r="B2124" s="56">
        <v>1732</v>
      </c>
      <c r="C2124" s="56">
        <v>1732</v>
      </c>
      <c r="D2124" s="56" t="s">
        <v>2883</v>
      </c>
      <c r="F2124" s="56" t="s">
        <v>24</v>
      </c>
      <c r="G2124" s="56">
        <v>1</v>
      </c>
      <c r="H2124" s="56">
        <v>23</v>
      </c>
      <c r="I2124" s="56">
        <v>130</v>
      </c>
      <c r="J2124" s="59" t="s">
        <v>1181</v>
      </c>
      <c r="K2124" s="59">
        <v>1</v>
      </c>
      <c r="L2124" s="59">
        <f t="shared" si="33"/>
        <v>2990</v>
      </c>
      <c r="M2124" s="59"/>
    </row>
    <row r="2125" spans="1:13" ht="30">
      <c r="A2125" s="56">
        <v>263</v>
      </c>
      <c r="B2125" s="56">
        <v>263</v>
      </c>
      <c r="C2125" s="56">
        <v>263</v>
      </c>
      <c r="D2125" s="56" t="s">
        <v>1749</v>
      </c>
      <c r="F2125" s="56" t="s">
        <v>24</v>
      </c>
      <c r="G2125" s="56">
        <v>1</v>
      </c>
      <c r="H2125" s="56">
        <v>24</v>
      </c>
      <c r="I2125" s="56">
        <v>150</v>
      </c>
      <c r="J2125" s="59" t="s">
        <v>1181</v>
      </c>
      <c r="K2125" s="59">
        <v>1</v>
      </c>
      <c r="L2125" s="59">
        <f t="shared" si="33"/>
        <v>3600</v>
      </c>
      <c r="M2125" s="59"/>
    </row>
    <row r="2126" spans="1:13" ht="30">
      <c r="A2126" s="56">
        <v>1088</v>
      </c>
      <c r="B2126" s="56">
        <v>1088</v>
      </c>
      <c r="C2126" s="56">
        <v>1088</v>
      </c>
      <c r="D2126" s="56" t="s">
        <v>2362</v>
      </c>
      <c r="F2126" s="56" t="s">
        <v>24</v>
      </c>
      <c r="G2126" s="56">
        <v>1</v>
      </c>
      <c r="H2126" s="56">
        <v>24</v>
      </c>
      <c r="I2126" s="56">
        <v>36</v>
      </c>
      <c r="J2126" s="59" t="s">
        <v>1181</v>
      </c>
      <c r="K2126" s="59">
        <v>1</v>
      </c>
      <c r="L2126" s="59">
        <f t="shared" si="33"/>
        <v>864</v>
      </c>
      <c r="M2126" s="59"/>
    </row>
    <row r="2127" spans="1:13" ht="30">
      <c r="A2127" s="56">
        <v>1104</v>
      </c>
      <c r="B2127" s="56">
        <v>1104</v>
      </c>
      <c r="C2127" s="56">
        <v>1104</v>
      </c>
      <c r="D2127" s="56" t="s">
        <v>2374</v>
      </c>
      <c r="F2127" s="56" t="s">
        <v>24</v>
      </c>
      <c r="G2127" s="56">
        <v>1</v>
      </c>
      <c r="H2127" s="56">
        <v>24</v>
      </c>
      <c r="I2127" s="56">
        <v>40</v>
      </c>
      <c r="J2127" s="59" t="s">
        <v>1181</v>
      </c>
      <c r="K2127" s="59">
        <v>1</v>
      </c>
      <c r="L2127" s="59">
        <f t="shared" si="33"/>
        <v>960</v>
      </c>
      <c r="M2127" s="59"/>
    </row>
    <row r="2128" spans="1:13" ht="30">
      <c r="A2128" s="56">
        <v>1160</v>
      </c>
      <c r="B2128" s="56">
        <v>1160</v>
      </c>
      <c r="C2128" s="56">
        <v>1160</v>
      </c>
      <c r="D2128" s="56" t="s">
        <v>2421</v>
      </c>
      <c r="F2128" s="56" t="s">
        <v>24</v>
      </c>
      <c r="G2128" s="56">
        <v>1</v>
      </c>
      <c r="H2128" s="56">
        <v>24</v>
      </c>
      <c r="I2128" s="56">
        <v>450</v>
      </c>
      <c r="J2128" s="59" t="s">
        <v>1181</v>
      </c>
      <c r="K2128" s="59">
        <v>1</v>
      </c>
      <c r="L2128" s="59">
        <f t="shared" si="33"/>
        <v>10800</v>
      </c>
      <c r="M2128" s="59"/>
    </row>
    <row r="2129" spans="1:14" ht="30">
      <c r="A2129" s="56">
        <v>1299</v>
      </c>
      <c r="B2129" s="56">
        <v>1299</v>
      </c>
      <c r="C2129" s="56">
        <v>1299</v>
      </c>
      <c r="D2129" s="56" t="s">
        <v>2524</v>
      </c>
      <c r="F2129" s="56" t="s">
        <v>24</v>
      </c>
      <c r="G2129" s="56">
        <v>1</v>
      </c>
      <c r="H2129" s="56">
        <v>24</v>
      </c>
      <c r="I2129" s="56">
        <v>270</v>
      </c>
      <c r="J2129" s="59" t="s">
        <v>1181</v>
      </c>
      <c r="K2129" s="59">
        <v>1</v>
      </c>
      <c r="L2129" s="59">
        <f t="shared" si="33"/>
        <v>6480</v>
      </c>
      <c r="M2129" s="59"/>
    </row>
    <row r="2130" spans="1:14" ht="30">
      <c r="A2130" s="56">
        <v>1490</v>
      </c>
      <c r="B2130" s="56">
        <v>1490</v>
      </c>
      <c r="C2130" s="56">
        <v>1490</v>
      </c>
      <c r="D2130" s="56" t="s">
        <v>2682</v>
      </c>
      <c r="F2130" s="56" t="s">
        <v>24</v>
      </c>
      <c r="G2130" s="56">
        <v>1</v>
      </c>
      <c r="H2130" s="56">
        <v>24</v>
      </c>
      <c r="I2130" s="56">
        <v>400</v>
      </c>
      <c r="J2130" s="59" t="s">
        <v>1181</v>
      </c>
      <c r="K2130" s="59">
        <v>1</v>
      </c>
      <c r="L2130" s="59">
        <f t="shared" si="33"/>
        <v>9600</v>
      </c>
      <c r="M2130" s="59"/>
    </row>
    <row r="2131" spans="1:14" ht="30">
      <c r="A2131" s="56">
        <v>1494</v>
      </c>
      <c r="B2131" s="56">
        <v>1494</v>
      </c>
      <c r="C2131" s="56">
        <v>1494</v>
      </c>
      <c r="D2131" s="56" t="s">
        <v>2686</v>
      </c>
      <c r="F2131" s="56" t="s">
        <v>24</v>
      </c>
      <c r="G2131" s="56">
        <v>1</v>
      </c>
      <c r="H2131" s="56">
        <v>24</v>
      </c>
      <c r="I2131" s="56">
        <v>450</v>
      </c>
      <c r="J2131" s="59" t="s">
        <v>1181</v>
      </c>
      <c r="K2131" s="59">
        <v>1</v>
      </c>
      <c r="L2131" s="59">
        <f t="shared" si="33"/>
        <v>10800</v>
      </c>
      <c r="M2131" s="59"/>
    </row>
    <row r="2132" spans="1:14" ht="30">
      <c r="A2132" s="56">
        <v>1502</v>
      </c>
      <c r="B2132" s="56">
        <v>1502</v>
      </c>
      <c r="C2132" s="56">
        <v>1502</v>
      </c>
      <c r="D2132" s="56" t="s">
        <v>2693</v>
      </c>
      <c r="F2132" s="56" t="s">
        <v>24</v>
      </c>
      <c r="G2132" s="56">
        <v>1</v>
      </c>
      <c r="H2132" s="56">
        <v>24</v>
      </c>
      <c r="I2132" s="56">
        <v>120</v>
      </c>
      <c r="J2132" s="59" t="s">
        <v>1181</v>
      </c>
      <c r="K2132" s="59">
        <v>1</v>
      </c>
      <c r="L2132" s="59">
        <f t="shared" si="33"/>
        <v>2880</v>
      </c>
      <c r="M2132" s="59"/>
    </row>
    <row r="2133" spans="1:14" ht="30">
      <c r="A2133" s="56">
        <v>1584</v>
      </c>
      <c r="B2133" s="56">
        <v>1584</v>
      </c>
      <c r="C2133" s="56">
        <v>1584</v>
      </c>
      <c r="D2133" s="56" t="s">
        <v>2770</v>
      </c>
      <c r="F2133" s="56" t="s">
        <v>24</v>
      </c>
      <c r="G2133" s="56">
        <v>1</v>
      </c>
      <c r="H2133" s="56">
        <v>24</v>
      </c>
      <c r="I2133" s="56">
        <v>260</v>
      </c>
      <c r="J2133" s="59" t="s">
        <v>1181</v>
      </c>
      <c r="K2133" s="59">
        <v>1</v>
      </c>
      <c r="L2133" s="59">
        <f t="shared" si="33"/>
        <v>6240</v>
      </c>
      <c r="M2133" s="59"/>
    </row>
    <row r="2134" spans="1:14" ht="30">
      <c r="A2134" s="56">
        <v>1623</v>
      </c>
      <c r="B2134" s="56">
        <v>1623</v>
      </c>
      <c r="C2134" s="56">
        <v>1623</v>
      </c>
      <c r="D2134" s="56" t="s">
        <v>2803</v>
      </c>
      <c r="F2134" s="56" t="s">
        <v>24</v>
      </c>
      <c r="G2134" s="56">
        <v>1</v>
      </c>
      <c r="H2134" s="56">
        <v>24</v>
      </c>
      <c r="I2134" s="56">
        <v>439</v>
      </c>
      <c r="J2134" s="59" t="s">
        <v>1181</v>
      </c>
      <c r="K2134" s="59">
        <v>1</v>
      </c>
      <c r="L2134" s="59">
        <f t="shared" si="33"/>
        <v>10536</v>
      </c>
      <c r="M2134" s="59"/>
    </row>
    <row r="2135" spans="1:14" ht="30">
      <c r="A2135" s="56">
        <v>1658</v>
      </c>
      <c r="B2135" s="56">
        <v>1658</v>
      </c>
      <c r="C2135" s="56">
        <v>1658</v>
      </c>
      <c r="D2135" s="56" t="s">
        <v>2825</v>
      </c>
      <c r="F2135" s="56" t="s">
        <v>24</v>
      </c>
      <c r="G2135" s="56">
        <v>1</v>
      </c>
      <c r="H2135" s="56">
        <v>24</v>
      </c>
      <c r="I2135" s="56">
        <v>390</v>
      </c>
      <c r="J2135" s="59" t="s">
        <v>1181</v>
      </c>
      <c r="K2135" s="59">
        <v>1</v>
      </c>
      <c r="L2135" s="59">
        <f t="shared" si="33"/>
        <v>9360</v>
      </c>
      <c r="M2135" s="59"/>
    </row>
    <row r="2136" spans="1:14" ht="30">
      <c r="A2136" s="56">
        <v>1692</v>
      </c>
      <c r="B2136" s="56">
        <v>1692</v>
      </c>
      <c r="C2136" s="56">
        <v>1692</v>
      </c>
      <c r="D2136" s="56" t="s">
        <v>2847</v>
      </c>
      <c r="F2136" s="56" t="s">
        <v>24</v>
      </c>
      <c r="G2136" s="56">
        <v>1</v>
      </c>
      <c r="H2136" s="56">
        <v>24</v>
      </c>
      <c r="I2136" s="56">
        <v>45</v>
      </c>
      <c r="J2136" s="59" t="s">
        <v>1181</v>
      </c>
      <c r="K2136" s="59">
        <v>1</v>
      </c>
      <c r="L2136" s="59">
        <f t="shared" si="33"/>
        <v>1080</v>
      </c>
      <c r="M2136" s="59"/>
    </row>
    <row r="2137" spans="1:14" ht="30">
      <c r="A2137" s="56">
        <v>1693</v>
      </c>
      <c r="B2137" s="56">
        <v>1693</v>
      </c>
      <c r="C2137" s="56">
        <v>1693</v>
      </c>
      <c r="D2137" s="56" t="s">
        <v>2848</v>
      </c>
      <c r="F2137" s="56" t="s">
        <v>24</v>
      </c>
      <c r="G2137" s="56">
        <v>1</v>
      </c>
      <c r="H2137" s="56">
        <v>24</v>
      </c>
      <c r="I2137" s="56">
        <v>36</v>
      </c>
      <c r="J2137" s="59" t="s">
        <v>1181</v>
      </c>
      <c r="K2137" s="59">
        <v>1</v>
      </c>
      <c r="L2137" s="59">
        <f t="shared" si="33"/>
        <v>864</v>
      </c>
      <c r="M2137" s="59"/>
    </row>
    <row r="2138" spans="1:14" ht="30">
      <c r="A2138" s="56">
        <v>590</v>
      </c>
      <c r="B2138" s="56">
        <v>590</v>
      </c>
      <c r="C2138" s="56">
        <v>590</v>
      </c>
      <c r="D2138" s="56" t="s">
        <v>2045</v>
      </c>
      <c r="F2138" s="56" t="s">
        <v>24</v>
      </c>
      <c r="G2138" s="56">
        <v>1</v>
      </c>
      <c r="H2138" s="56">
        <v>25</v>
      </c>
      <c r="I2138" s="56">
        <v>80</v>
      </c>
      <c r="J2138" s="59" t="s">
        <v>1181</v>
      </c>
      <c r="K2138" s="59">
        <v>1</v>
      </c>
      <c r="L2138" s="59">
        <f t="shared" si="33"/>
        <v>2000</v>
      </c>
      <c r="M2138" s="59"/>
    </row>
    <row r="2139" spans="1:14" ht="30">
      <c r="A2139" s="56">
        <v>605</v>
      </c>
      <c r="B2139" s="56">
        <v>605</v>
      </c>
      <c r="C2139" s="56">
        <v>605</v>
      </c>
      <c r="D2139" s="56" t="s">
        <v>2053</v>
      </c>
      <c r="F2139" s="56" t="s">
        <v>24</v>
      </c>
      <c r="G2139" s="56">
        <v>1</v>
      </c>
      <c r="H2139" s="56">
        <v>25</v>
      </c>
      <c r="I2139" s="56">
        <v>110</v>
      </c>
      <c r="J2139" s="59" t="s">
        <v>1181</v>
      </c>
      <c r="K2139" s="59">
        <v>1</v>
      </c>
      <c r="L2139" s="59">
        <f t="shared" si="33"/>
        <v>2750</v>
      </c>
      <c r="M2139" s="59"/>
    </row>
    <row r="2140" spans="1:14" ht="30">
      <c r="A2140" s="56">
        <v>932</v>
      </c>
      <c r="B2140" s="56">
        <v>932</v>
      </c>
      <c r="C2140" s="56">
        <v>932</v>
      </c>
      <c r="D2140" s="56" t="s">
        <v>2259</v>
      </c>
      <c r="F2140" s="56" t="s">
        <v>24</v>
      </c>
      <c r="G2140" s="56">
        <v>1</v>
      </c>
      <c r="H2140" s="56">
        <v>25</v>
      </c>
      <c r="I2140" s="56">
        <v>70</v>
      </c>
      <c r="J2140" s="59" t="s">
        <v>1181</v>
      </c>
      <c r="K2140" s="59">
        <v>1</v>
      </c>
      <c r="L2140" s="59">
        <f t="shared" si="33"/>
        <v>1750</v>
      </c>
      <c r="M2140" s="59"/>
    </row>
    <row r="2141" spans="1:14" ht="30">
      <c r="A2141" s="56">
        <v>1244</v>
      </c>
      <c r="B2141" s="56">
        <v>1244</v>
      </c>
      <c r="C2141" s="56">
        <v>1244</v>
      </c>
      <c r="D2141" s="56" t="s">
        <v>1227</v>
      </c>
      <c r="F2141" s="56" t="s">
        <v>1201</v>
      </c>
      <c r="G2141" s="56">
        <v>50</v>
      </c>
      <c r="H2141" s="56">
        <v>26</v>
      </c>
      <c r="I2141" s="56">
        <v>70</v>
      </c>
      <c r="J2141" s="59" t="s">
        <v>1181</v>
      </c>
      <c r="K2141" s="59">
        <v>1</v>
      </c>
      <c r="L2141" s="59">
        <f t="shared" si="33"/>
        <v>1820</v>
      </c>
      <c r="M2141" s="59"/>
    </row>
    <row r="2142" spans="1:14" ht="30">
      <c r="A2142" s="56">
        <v>78</v>
      </c>
      <c r="B2142" s="56">
        <v>78</v>
      </c>
      <c r="C2142" s="56">
        <v>78</v>
      </c>
      <c r="D2142" s="56" t="s">
        <v>1599</v>
      </c>
      <c r="F2142" s="56" t="s">
        <v>24</v>
      </c>
      <c r="G2142" s="56">
        <v>1</v>
      </c>
      <c r="H2142" s="56">
        <v>26</v>
      </c>
      <c r="I2142" s="56">
        <v>800</v>
      </c>
      <c r="J2142" s="59" t="s">
        <v>1181</v>
      </c>
      <c r="K2142" s="59">
        <v>1</v>
      </c>
      <c r="L2142" s="59">
        <f t="shared" si="33"/>
        <v>20800</v>
      </c>
      <c r="M2142" s="59"/>
    </row>
    <row r="2143" spans="1:14" ht="30">
      <c r="A2143" s="56">
        <v>631</v>
      </c>
      <c r="B2143" s="56">
        <v>631</v>
      </c>
      <c r="C2143" s="56">
        <v>631</v>
      </c>
      <c r="D2143" s="56" t="s">
        <v>2075</v>
      </c>
      <c r="F2143" s="56" t="s">
        <v>24</v>
      </c>
      <c r="G2143" s="56">
        <v>1</v>
      </c>
      <c r="H2143" s="56">
        <v>26</v>
      </c>
      <c r="I2143" s="56">
        <v>93</v>
      </c>
      <c r="J2143" s="59" t="s">
        <v>1181</v>
      </c>
      <c r="K2143" s="59">
        <v>1</v>
      </c>
      <c r="L2143" s="59">
        <f t="shared" si="33"/>
        <v>2418</v>
      </c>
      <c r="M2143" s="59"/>
    </row>
    <row r="2144" spans="1:14" ht="30">
      <c r="A2144" s="56">
        <v>1253</v>
      </c>
      <c r="B2144" s="56">
        <v>1253</v>
      </c>
      <c r="C2144" s="56">
        <v>1253</v>
      </c>
      <c r="D2144" s="56" t="s">
        <v>1228</v>
      </c>
      <c r="F2144" s="58" t="s">
        <v>1201</v>
      </c>
      <c r="G2144" s="58">
        <v>1</v>
      </c>
      <c r="H2144" s="58">
        <v>26</v>
      </c>
      <c r="I2144" s="56">
        <v>26</v>
      </c>
      <c r="J2144" s="59" t="s">
        <v>1181</v>
      </c>
      <c r="K2144" s="59">
        <v>1</v>
      </c>
      <c r="L2144" s="59">
        <f t="shared" si="33"/>
        <v>676</v>
      </c>
      <c r="M2144" s="59"/>
      <c r="N2144" s="58"/>
    </row>
    <row r="2145" spans="1:14" ht="30">
      <c r="A2145" s="56">
        <v>1338</v>
      </c>
      <c r="B2145" s="56">
        <v>1338</v>
      </c>
      <c r="C2145" s="56">
        <v>1338</v>
      </c>
      <c r="D2145" s="56" t="s">
        <v>2561</v>
      </c>
      <c r="F2145" s="56" t="s">
        <v>24</v>
      </c>
      <c r="G2145" s="56">
        <v>1</v>
      </c>
      <c r="H2145" s="56">
        <v>26</v>
      </c>
      <c r="I2145" s="56">
        <v>250</v>
      </c>
      <c r="J2145" s="59" t="s">
        <v>1181</v>
      </c>
      <c r="K2145" s="59">
        <v>1</v>
      </c>
      <c r="L2145" s="59">
        <f t="shared" si="33"/>
        <v>6500</v>
      </c>
      <c r="M2145" s="59"/>
    </row>
    <row r="2146" spans="1:14" ht="30">
      <c r="A2146" s="56">
        <v>1438</v>
      </c>
      <c r="B2146" s="56">
        <v>1438</v>
      </c>
      <c r="C2146" s="56">
        <v>1438</v>
      </c>
      <c r="D2146" s="56" t="s">
        <v>1235</v>
      </c>
      <c r="F2146" s="58" t="s">
        <v>24</v>
      </c>
      <c r="G2146" s="58">
        <v>1</v>
      </c>
      <c r="H2146" s="58">
        <v>26</v>
      </c>
      <c r="I2146" s="56">
        <v>15</v>
      </c>
      <c r="J2146" s="59" t="s">
        <v>1181</v>
      </c>
      <c r="K2146" s="59">
        <v>1</v>
      </c>
      <c r="L2146" s="59">
        <f t="shared" si="33"/>
        <v>390</v>
      </c>
      <c r="M2146" s="59"/>
      <c r="N2146" s="58"/>
    </row>
    <row r="2147" spans="1:14" ht="30">
      <c r="A2147" s="56">
        <v>1475</v>
      </c>
      <c r="B2147" s="56">
        <v>1475</v>
      </c>
      <c r="C2147" s="56">
        <v>1475</v>
      </c>
      <c r="D2147" s="56" t="s">
        <v>2669</v>
      </c>
      <c r="F2147" s="56" t="s">
        <v>24</v>
      </c>
      <c r="G2147" s="56">
        <v>1</v>
      </c>
      <c r="H2147" s="56">
        <v>26</v>
      </c>
      <c r="I2147" s="56">
        <v>180</v>
      </c>
      <c r="J2147" s="59" t="s">
        <v>1181</v>
      </c>
      <c r="K2147" s="59">
        <v>1</v>
      </c>
      <c r="L2147" s="59">
        <f t="shared" si="33"/>
        <v>4680</v>
      </c>
      <c r="M2147" s="59"/>
    </row>
    <row r="2148" spans="1:14" ht="30">
      <c r="A2148" s="56">
        <v>1575</v>
      </c>
      <c r="B2148" s="56">
        <v>1575</v>
      </c>
      <c r="C2148" s="56">
        <v>1575</v>
      </c>
      <c r="D2148" s="56" t="s">
        <v>2764</v>
      </c>
      <c r="F2148" s="56" t="s">
        <v>24</v>
      </c>
      <c r="G2148" s="56">
        <v>1</v>
      </c>
      <c r="H2148" s="56">
        <v>26</v>
      </c>
      <c r="I2148" s="56">
        <v>30</v>
      </c>
      <c r="J2148" s="59" t="s">
        <v>1181</v>
      </c>
      <c r="K2148" s="59">
        <v>1</v>
      </c>
      <c r="L2148" s="59">
        <f t="shared" si="33"/>
        <v>780</v>
      </c>
      <c r="M2148" s="59"/>
    </row>
    <row r="2149" spans="1:14" ht="30">
      <c r="A2149" s="56">
        <v>832</v>
      </c>
      <c r="B2149" s="56">
        <v>832</v>
      </c>
      <c r="C2149" s="56">
        <v>832</v>
      </c>
      <c r="D2149" s="56" t="s">
        <v>2222</v>
      </c>
      <c r="F2149" s="56" t="s">
        <v>24</v>
      </c>
      <c r="G2149" s="56">
        <v>1</v>
      </c>
      <c r="H2149" s="56">
        <v>27</v>
      </c>
      <c r="I2149" s="56">
        <v>50</v>
      </c>
      <c r="J2149" s="59" t="s">
        <v>1181</v>
      </c>
      <c r="K2149" s="59">
        <v>1</v>
      </c>
      <c r="L2149" s="59">
        <f t="shared" si="33"/>
        <v>1350</v>
      </c>
      <c r="M2149" s="59"/>
    </row>
    <row r="2150" spans="1:14" ht="30">
      <c r="A2150" s="56">
        <v>1666</v>
      </c>
      <c r="B2150" s="56">
        <v>1666</v>
      </c>
      <c r="C2150" s="56">
        <v>1666</v>
      </c>
      <c r="D2150" s="56" t="s">
        <v>2832</v>
      </c>
      <c r="F2150" s="56" t="s">
        <v>24</v>
      </c>
      <c r="G2150" s="56">
        <v>1</v>
      </c>
      <c r="H2150" s="56">
        <v>27</v>
      </c>
      <c r="I2150" s="56">
        <v>250</v>
      </c>
      <c r="J2150" s="59" t="s">
        <v>1181</v>
      </c>
      <c r="K2150" s="59">
        <v>1</v>
      </c>
      <c r="L2150" s="59">
        <f t="shared" si="33"/>
        <v>6750</v>
      </c>
      <c r="M2150" s="59"/>
    </row>
    <row r="2151" spans="1:14" ht="30">
      <c r="A2151" s="56">
        <v>587</v>
      </c>
      <c r="B2151" s="56">
        <v>587</v>
      </c>
      <c r="C2151" s="56">
        <v>587</v>
      </c>
      <c r="D2151" s="56" t="s">
        <v>2042</v>
      </c>
      <c r="F2151" s="56" t="s">
        <v>24</v>
      </c>
      <c r="G2151" s="56">
        <v>1</v>
      </c>
      <c r="H2151" s="56">
        <v>28</v>
      </c>
      <c r="I2151" s="56">
        <v>28</v>
      </c>
      <c r="J2151" s="59" t="s">
        <v>1181</v>
      </c>
      <c r="K2151" s="59">
        <v>1</v>
      </c>
      <c r="L2151" s="59">
        <f t="shared" si="33"/>
        <v>784</v>
      </c>
      <c r="M2151" s="59"/>
    </row>
    <row r="2152" spans="1:14" ht="30">
      <c r="A2152" s="56">
        <v>1614</v>
      </c>
      <c r="B2152" s="56">
        <v>1614</v>
      </c>
      <c r="C2152" s="56">
        <v>1614</v>
      </c>
      <c r="D2152" s="56" t="s">
        <v>2796</v>
      </c>
      <c r="F2152" s="56" t="s">
        <v>24</v>
      </c>
      <c r="G2152" s="56">
        <v>1</v>
      </c>
      <c r="H2152" s="56">
        <v>28</v>
      </c>
      <c r="I2152" s="56">
        <v>40</v>
      </c>
      <c r="J2152" s="59" t="s">
        <v>1181</v>
      </c>
      <c r="K2152" s="59">
        <v>1</v>
      </c>
      <c r="L2152" s="59">
        <f t="shared" si="33"/>
        <v>1120</v>
      </c>
      <c r="M2152" s="59"/>
    </row>
    <row r="2153" spans="1:14" ht="30">
      <c r="A2153" s="56">
        <v>1688</v>
      </c>
      <c r="B2153" s="56">
        <v>1688</v>
      </c>
      <c r="C2153" s="56">
        <v>1688</v>
      </c>
      <c r="D2153" s="56" t="s">
        <v>2845</v>
      </c>
      <c r="F2153" s="56" t="s">
        <v>24</v>
      </c>
      <c r="G2153" s="56">
        <v>1</v>
      </c>
      <c r="H2153" s="56">
        <v>28</v>
      </c>
      <c r="I2153" s="56">
        <v>46</v>
      </c>
      <c r="J2153" s="59" t="s">
        <v>1181</v>
      </c>
      <c r="K2153" s="59">
        <v>1</v>
      </c>
      <c r="L2153" s="59">
        <f t="shared" si="33"/>
        <v>1288</v>
      </c>
      <c r="M2153" s="59"/>
    </row>
    <row r="2154" spans="1:14" ht="30">
      <c r="A2154" s="56">
        <v>304</v>
      </c>
      <c r="B2154" s="56">
        <v>304</v>
      </c>
      <c r="C2154" s="56">
        <v>304</v>
      </c>
      <c r="D2154" s="56" t="s">
        <v>1780</v>
      </c>
      <c r="F2154" s="56" t="s">
        <v>24</v>
      </c>
      <c r="G2154" s="56">
        <v>1</v>
      </c>
      <c r="H2154" s="56">
        <v>29</v>
      </c>
      <c r="I2154" s="56">
        <v>120</v>
      </c>
      <c r="J2154" s="59" t="s">
        <v>1181</v>
      </c>
      <c r="K2154" s="59">
        <v>1</v>
      </c>
      <c r="L2154" s="59">
        <f t="shared" si="33"/>
        <v>3480</v>
      </c>
      <c r="M2154" s="59"/>
    </row>
    <row r="2155" spans="1:14" ht="30">
      <c r="A2155" s="56">
        <v>1161</v>
      </c>
      <c r="B2155" s="56">
        <v>1161</v>
      </c>
      <c r="C2155" s="56">
        <v>1161</v>
      </c>
      <c r="D2155" s="56" t="s">
        <v>2422</v>
      </c>
      <c r="F2155" s="56" t="s">
        <v>24</v>
      </c>
      <c r="G2155" s="56">
        <v>1</v>
      </c>
      <c r="H2155" s="56">
        <v>29</v>
      </c>
      <c r="I2155" s="56">
        <v>500</v>
      </c>
      <c r="J2155" s="59" t="s">
        <v>1181</v>
      </c>
      <c r="K2155" s="59">
        <v>1</v>
      </c>
      <c r="L2155" s="59">
        <f t="shared" si="33"/>
        <v>14500</v>
      </c>
      <c r="M2155" s="59"/>
    </row>
    <row r="2156" spans="1:14" ht="30">
      <c r="A2156" s="56">
        <v>1320</v>
      </c>
      <c r="B2156" s="56">
        <v>1320</v>
      </c>
      <c r="C2156" s="56">
        <v>1320</v>
      </c>
      <c r="D2156" s="56" t="s">
        <v>2543</v>
      </c>
      <c r="F2156" s="56" t="s">
        <v>24</v>
      </c>
      <c r="G2156" s="56">
        <v>1</v>
      </c>
      <c r="H2156" s="56">
        <v>29</v>
      </c>
      <c r="I2156" s="56">
        <v>250</v>
      </c>
      <c r="J2156" s="59" t="s">
        <v>1181</v>
      </c>
      <c r="K2156" s="59">
        <v>1</v>
      </c>
      <c r="L2156" s="59">
        <f t="shared" si="33"/>
        <v>7250</v>
      </c>
      <c r="M2156" s="59"/>
    </row>
    <row r="2157" spans="1:14" ht="30">
      <c r="A2157" s="56">
        <v>1355</v>
      </c>
      <c r="B2157" s="56">
        <v>1355</v>
      </c>
      <c r="C2157" s="56">
        <v>1355</v>
      </c>
      <c r="D2157" s="56" t="s">
        <v>2577</v>
      </c>
      <c r="F2157" s="56" t="s">
        <v>24</v>
      </c>
      <c r="G2157" s="56">
        <v>1</v>
      </c>
      <c r="H2157" s="56">
        <v>29</v>
      </c>
      <c r="I2157" s="56">
        <v>300</v>
      </c>
      <c r="J2157" s="59" t="s">
        <v>1181</v>
      </c>
      <c r="K2157" s="59">
        <v>1</v>
      </c>
      <c r="L2157" s="59">
        <f t="shared" si="33"/>
        <v>8700</v>
      </c>
      <c r="M2157" s="59"/>
    </row>
    <row r="2158" spans="1:14" ht="30">
      <c r="A2158" s="56">
        <v>1468</v>
      </c>
      <c r="B2158" s="56">
        <v>1468</v>
      </c>
      <c r="C2158" s="56">
        <v>1468</v>
      </c>
      <c r="D2158" s="56" t="s">
        <v>2663</v>
      </c>
      <c r="F2158" s="56" t="s">
        <v>24</v>
      </c>
      <c r="G2158" s="56">
        <v>1</v>
      </c>
      <c r="H2158" s="56">
        <v>29</v>
      </c>
      <c r="I2158" s="56">
        <v>68</v>
      </c>
      <c r="J2158" s="59" t="s">
        <v>1181</v>
      </c>
      <c r="K2158" s="59">
        <v>1</v>
      </c>
      <c r="L2158" s="59">
        <f t="shared" si="33"/>
        <v>1972</v>
      </c>
      <c r="M2158" s="59"/>
    </row>
    <row r="2159" spans="1:14" ht="30">
      <c r="A2159" s="56">
        <v>1663</v>
      </c>
      <c r="B2159" s="56">
        <v>1663</v>
      </c>
      <c r="C2159" s="56">
        <v>1663</v>
      </c>
      <c r="D2159" s="56" t="s">
        <v>1239</v>
      </c>
      <c r="F2159" s="58" t="s">
        <v>24</v>
      </c>
      <c r="G2159" s="58">
        <v>1</v>
      </c>
      <c r="H2159" s="58">
        <v>29</v>
      </c>
      <c r="I2159" s="56">
        <v>80</v>
      </c>
      <c r="J2159" s="59" t="s">
        <v>1181</v>
      </c>
      <c r="K2159" s="59">
        <v>1</v>
      </c>
      <c r="L2159" s="59">
        <f t="shared" si="33"/>
        <v>2320</v>
      </c>
      <c r="M2159" s="59"/>
    </row>
    <row r="2160" spans="1:14" ht="30">
      <c r="A2160" s="56">
        <v>603</v>
      </c>
      <c r="B2160" s="56">
        <v>603</v>
      </c>
      <c r="C2160" s="56">
        <v>603</v>
      </c>
      <c r="D2160" s="56" t="s">
        <v>2052</v>
      </c>
      <c r="F2160" s="56" t="s">
        <v>24</v>
      </c>
      <c r="G2160" s="56">
        <v>1</v>
      </c>
      <c r="H2160" s="56">
        <v>30</v>
      </c>
      <c r="I2160" s="56">
        <v>73</v>
      </c>
      <c r="J2160" s="59" t="s">
        <v>1181</v>
      </c>
      <c r="K2160" s="59">
        <v>1</v>
      </c>
      <c r="L2160" s="59">
        <f t="shared" si="33"/>
        <v>2190</v>
      </c>
      <c r="M2160" s="59"/>
    </row>
    <row r="2161" spans="1:14" ht="30">
      <c r="A2161" s="56">
        <v>1627</v>
      </c>
      <c r="B2161" s="56">
        <v>1627</v>
      </c>
      <c r="C2161" s="56">
        <v>1627</v>
      </c>
      <c r="D2161" s="56" t="s">
        <v>2806</v>
      </c>
      <c r="F2161" s="56" t="s">
        <v>24</v>
      </c>
      <c r="G2161" s="56">
        <v>1</v>
      </c>
      <c r="H2161" s="56">
        <v>30</v>
      </c>
      <c r="I2161" s="56">
        <v>200</v>
      </c>
      <c r="J2161" s="59" t="s">
        <v>1181</v>
      </c>
      <c r="K2161" s="59">
        <v>1</v>
      </c>
      <c r="L2161" s="59">
        <f t="shared" si="33"/>
        <v>6000</v>
      </c>
      <c r="M2161" s="59"/>
    </row>
    <row r="2162" spans="1:14" ht="30">
      <c r="A2162" s="56">
        <v>1729</v>
      </c>
      <c r="B2162" s="56">
        <v>1729</v>
      </c>
      <c r="C2162" s="56">
        <v>1729</v>
      </c>
      <c r="D2162" s="56" t="s">
        <v>2880</v>
      </c>
      <c r="F2162" s="56" t="s">
        <v>24</v>
      </c>
      <c r="G2162" s="56">
        <v>1</v>
      </c>
      <c r="H2162" s="56">
        <v>30</v>
      </c>
      <c r="I2162" s="56">
        <v>180</v>
      </c>
      <c r="J2162" s="59" t="s">
        <v>1181</v>
      </c>
      <c r="K2162" s="59">
        <v>1</v>
      </c>
      <c r="L2162" s="59">
        <f t="shared" si="33"/>
        <v>5400</v>
      </c>
      <c r="M2162" s="59"/>
    </row>
    <row r="2163" spans="1:14" ht="30">
      <c r="A2163" s="56">
        <v>1071</v>
      </c>
      <c r="B2163" s="56">
        <v>1071</v>
      </c>
      <c r="C2163" s="56">
        <v>1071</v>
      </c>
      <c r="D2163" s="56" t="s">
        <v>2348</v>
      </c>
      <c r="F2163" s="56" t="s">
        <v>24</v>
      </c>
      <c r="G2163" s="56">
        <v>1</v>
      </c>
      <c r="H2163" s="56">
        <v>31</v>
      </c>
      <c r="I2163" s="56">
        <v>65</v>
      </c>
      <c r="J2163" s="59" t="s">
        <v>1181</v>
      </c>
      <c r="K2163" s="59">
        <v>1</v>
      </c>
      <c r="L2163" s="59">
        <f t="shared" si="33"/>
        <v>2015</v>
      </c>
      <c r="M2163" s="59"/>
    </row>
    <row r="2164" spans="1:14" ht="30">
      <c r="A2164" s="56">
        <v>1250</v>
      </c>
      <c r="B2164" s="56">
        <v>1250</v>
      </c>
      <c r="C2164" s="56">
        <v>1250</v>
      </c>
      <c r="D2164" s="56" t="s">
        <v>1199</v>
      </c>
      <c r="F2164" s="58" t="s">
        <v>24</v>
      </c>
      <c r="G2164" s="58">
        <v>1</v>
      </c>
      <c r="H2164" s="58">
        <v>31</v>
      </c>
      <c r="I2164" s="56">
        <v>15</v>
      </c>
      <c r="J2164" s="59" t="s">
        <v>1181</v>
      </c>
      <c r="K2164" s="59">
        <v>1</v>
      </c>
      <c r="L2164" s="59">
        <f t="shared" si="33"/>
        <v>465</v>
      </c>
      <c r="M2164" s="59"/>
      <c r="N2164" s="58"/>
    </row>
    <row r="2165" spans="1:14" ht="30">
      <c r="A2165" s="56">
        <v>1480</v>
      </c>
      <c r="B2165" s="56">
        <v>1480</v>
      </c>
      <c r="C2165" s="56">
        <v>1480</v>
      </c>
      <c r="D2165" s="56" t="s">
        <v>2673</v>
      </c>
      <c r="F2165" s="56" t="s">
        <v>24</v>
      </c>
      <c r="G2165" s="56">
        <v>1</v>
      </c>
      <c r="H2165" s="56">
        <v>31</v>
      </c>
      <c r="I2165" s="56">
        <v>19</v>
      </c>
      <c r="J2165" s="59" t="s">
        <v>1181</v>
      </c>
      <c r="K2165" s="59">
        <v>1</v>
      </c>
      <c r="L2165" s="59">
        <f t="shared" si="33"/>
        <v>589</v>
      </c>
      <c r="M2165" s="59"/>
    </row>
    <row r="2166" spans="1:14" ht="30">
      <c r="A2166" s="56">
        <v>1674</v>
      </c>
      <c r="B2166" s="56">
        <v>1674</v>
      </c>
      <c r="C2166" s="56">
        <v>1674</v>
      </c>
      <c r="D2166" s="56" t="s">
        <v>2835</v>
      </c>
      <c r="F2166" s="56" t="s">
        <v>24</v>
      </c>
      <c r="G2166" s="56">
        <v>1</v>
      </c>
      <c r="H2166" s="56">
        <v>32</v>
      </c>
      <c r="I2166" s="56">
        <v>150</v>
      </c>
      <c r="J2166" s="59" t="s">
        <v>1181</v>
      </c>
      <c r="K2166" s="59">
        <v>1</v>
      </c>
      <c r="L2166" s="59">
        <f t="shared" si="33"/>
        <v>4800</v>
      </c>
      <c r="M2166" s="59"/>
    </row>
    <row r="2167" spans="1:14" ht="30">
      <c r="A2167" s="56">
        <v>600</v>
      </c>
      <c r="B2167" s="56">
        <v>600</v>
      </c>
      <c r="C2167" s="56">
        <v>600</v>
      </c>
      <c r="D2167" s="56" t="s">
        <v>2050</v>
      </c>
      <c r="F2167" s="56" t="s">
        <v>24</v>
      </c>
      <c r="G2167" s="56">
        <v>1</v>
      </c>
      <c r="H2167" s="56">
        <v>33</v>
      </c>
      <c r="I2167" s="56">
        <v>22</v>
      </c>
      <c r="J2167" s="59" t="s">
        <v>1181</v>
      </c>
      <c r="K2167" s="59">
        <v>1</v>
      </c>
      <c r="L2167" s="59">
        <f t="shared" si="33"/>
        <v>726</v>
      </c>
      <c r="M2167" s="59"/>
    </row>
    <row r="2168" spans="1:14" ht="30">
      <c r="A2168" s="56">
        <v>1491</v>
      </c>
      <c r="B2168" s="56">
        <v>1491</v>
      </c>
      <c r="C2168" s="56">
        <v>1491</v>
      </c>
      <c r="D2168" s="56" t="s">
        <v>2683</v>
      </c>
      <c r="F2168" s="56" t="s">
        <v>24</v>
      </c>
      <c r="G2168" s="56">
        <v>1</v>
      </c>
      <c r="H2168" s="56">
        <v>33</v>
      </c>
      <c r="I2168" s="56">
        <v>250</v>
      </c>
      <c r="J2168" s="59" t="s">
        <v>1181</v>
      </c>
      <c r="K2168" s="59">
        <v>1</v>
      </c>
      <c r="L2168" s="59">
        <f t="shared" si="33"/>
        <v>8250</v>
      </c>
      <c r="M2168" s="59"/>
    </row>
    <row r="2169" spans="1:14" ht="30">
      <c r="A2169" s="56">
        <v>1356</v>
      </c>
      <c r="B2169" s="56">
        <v>1356</v>
      </c>
      <c r="C2169" s="56">
        <v>1356</v>
      </c>
      <c r="D2169" s="56" t="s">
        <v>2578</v>
      </c>
      <c r="F2169" s="56" t="s">
        <v>24</v>
      </c>
      <c r="G2169" s="56">
        <v>1</v>
      </c>
      <c r="H2169" s="56">
        <v>34</v>
      </c>
      <c r="I2169" s="56">
        <v>150</v>
      </c>
      <c r="J2169" s="59" t="s">
        <v>1181</v>
      </c>
      <c r="K2169" s="59">
        <v>1</v>
      </c>
      <c r="L2169" s="59">
        <f t="shared" si="33"/>
        <v>5100</v>
      </c>
      <c r="M2169" s="59"/>
    </row>
    <row r="2170" spans="1:14" ht="30">
      <c r="A2170" s="56">
        <v>1427</v>
      </c>
      <c r="B2170" s="56">
        <v>1427</v>
      </c>
      <c r="C2170" s="56">
        <v>1427</v>
      </c>
      <c r="D2170" s="56" t="s">
        <v>1184</v>
      </c>
      <c r="F2170" s="58" t="s">
        <v>24</v>
      </c>
      <c r="G2170" s="58">
        <v>1</v>
      </c>
      <c r="H2170" s="58">
        <v>34</v>
      </c>
      <c r="I2170" s="56">
        <v>10</v>
      </c>
      <c r="J2170" s="59" t="s">
        <v>1181</v>
      </c>
      <c r="K2170" s="59">
        <v>1</v>
      </c>
      <c r="L2170" s="59">
        <f t="shared" si="33"/>
        <v>340</v>
      </c>
      <c r="M2170" s="59"/>
      <c r="N2170" s="58"/>
    </row>
    <row r="2171" spans="1:14" ht="30">
      <c r="A2171" s="56">
        <v>312</v>
      </c>
      <c r="B2171" s="56">
        <v>312</v>
      </c>
      <c r="C2171" s="56">
        <v>312</v>
      </c>
      <c r="D2171" s="56" t="s">
        <v>1787</v>
      </c>
      <c r="F2171" s="56" t="s">
        <v>24</v>
      </c>
      <c r="G2171" s="56">
        <v>1</v>
      </c>
      <c r="H2171" s="56">
        <v>35</v>
      </c>
      <c r="I2171" s="56">
        <v>850</v>
      </c>
      <c r="J2171" s="59" t="s">
        <v>1181</v>
      </c>
      <c r="K2171" s="59">
        <v>1</v>
      </c>
      <c r="L2171" s="59">
        <f t="shared" si="33"/>
        <v>29750</v>
      </c>
      <c r="M2171" s="59"/>
    </row>
    <row r="2172" spans="1:14" ht="30">
      <c r="A2172" s="56">
        <v>608</v>
      </c>
      <c r="B2172" s="56">
        <v>608</v>
      </c>
      <c r="C2172" s="56">
        <v>608</v>
      </c>
      <c r="D2172" s="56" t="s">
        <v>2056</v>
      </c>
      <c r="F2172" s="56" t="s">
        <v>24</v>
      </c>
      <c r="G2172" s="56">
        <v>1</v>
      </c>
      <c r="H2172" s="56">
        <v>35</v>
      </c>
      <c r="I2172" s="56">
        <v>150</v>
      </c>
      <c r="J2172" s="59" t="s">
        <v>1181</v>
      </c>
      <c r="K2172" s="59">
        <v>1</v>
      </c>
      <c r="L2172" s="59">
        <f t="shared" si="33"/>
        <v>5250</v>
      </c>
      <c r="M2172" s="59"/>
    </row>
    <row r="2173" spans="1:14" ht="30">
      <c r="A2173" s="56">
        <v>1248</v>
      </c>
      <c r="B2173" s="56">
        <v>1248</v>
      </c>
      <c r="C2173" s="56">
        <v>1248</v>
      </c>
      <c r="D2173" s="56" t="s">
        <v>1196</v>
      </c>
      <c r="F2173" s="58" t="s">
        <v>24</v>
      </c>
      <c r="G2173" s="58">
        <v>1</v>
      </c>
      <c r="H2173" s="58">
        <v>35</v>
      </c>
      <c r="I2173" s="56">
        <v>35</v>
      </c>
      <c r="J2173" s="59" t="s">
        <v>1181</v>
      </c>
      <c r="K2173" s="59">
        <v>1</v>
      </c>
      <c r="L2173" s="59">
        <f t="shared" si="33"/>
        <v>1225</v>
      </c>
      <c r="M2173" s="59"/>
      <c r="N2173" s="58"/>
    </row>
    <row r="2174" spans="1:14" ht="30">
      <c r="A2174" s="56">
        <v>1586</v>
      </c>
      <c r="B2174" s="56">
        <v>1586</v>
      </c>
      <c r="C2174" s="56">
        <v>1586</v>
      </c>
      <c r="D2174" s="56" t="s">
        <v>2772</v>
      </c>
      <c r="F2174" s="56" t="s">
        <v>24</v>
      </c>
      <c r="G2174" s="56">
        <v>1</v>
      </c>
      <c r="H2174" s="56">
        <v>35</v>
      </c>
      <c r="I2174" s="56">
        <v>180</v>
      </c>
      <c r="J2174" s="59" t="s">
        <v>1181</v>
      </c>
      <c r="K2174" s="59">
        <v>1</v>
      </c>
      <c r="L2174" s="59">
        <f t="shared" si="33"/>
        <v>6300</v>
      </c>
      <c r="M2174" s="59"/>
    </row>
    <row r="2175" spans="1:14" ht="30">
      <c r="A2175" s="56">
        <v>612</v>
      </c>
      <c r="B2175" s="56">
        <v>612</v>
      </c>
      <c r="C2175" s="56">
        <v>612</v>
      </c>
      <c r="D2175" s="56" t="s">
        <v>1279</v>
      </c>
      <c r="F2175" s="58" t="s">
        <v>1180</v>
      </c>
      <c r="G2175" s="58">
        <v>12</v>
      </c>
      <c r="H2175" s="56">
        <v>36</v>
      </c>
      <c r="I2175" s="56">
        <v>300</v>
      </c>
      <c r="J2175" s="59" t="s">
        <v>1181</v>
      </c>
      <c r="K2175" s="59">
        <v>1</v>
      </c>
      <c r="L2175" s="59">
        <f t="shared" si="33"/>
        <v>10800</v>
      </c>
      <c r="M2175" s="59"/>
    </row>
    <row r="2176" spans="1:14" ht="30">
      <c r="A2176" s="56">
        <v>532</v>
      </c>
      <c r="B2176" s="56">
        <v>532</v>
      </c>
      <c r="C2176" s="56">
        <v>532</v>
      </c>
      <c r="D2176" s="56" t="s">
        <v>1994</v>
      </c>
      <c r="F2176" s="56" t="s">
        <v>24</v>
      </c>
      <c r="G2176" s="56">
        <v>1</v>
      </c>
      <c r="H2176" s="56">
        <v>36</v>
      </c>
      <c r="I2176" s="56">
        <v>45</v>
      </c>
      <c r="J2176" s="59" t="s">
        <v>1181</v>
      </c>
      <c r="K2176" s="59">
        <v>1</v>
      </c>
      <c r="L2176" s="59">
        <f t="shared" si="33"/>
        <v>1620</v>
      </c>
      <c r="M2176" s="59"/>
    </row>
    <row r="2177" spans="1:13" ht="30">
      <c r="A2177" s="56">
        <v>1469</v>
      </c>
      <c r="B2177" s="56">
        <v>1469</v>
      </c>
      <c r="C2177" s="56">
        <v>1469</v>
      </c>
      <c r="D2177" s="56" t="s">
        <v>2664</v>
      </c>
      <c r="F2177" s="56" t="s">
        <v>24</v>
      </c>
      <c r="G2177" s="56">
        <v>1</v>
      </c>
      <c r="H2177" s="56">
        <v>36</v>
      </c>
      <c r="I2177" s="56">
        <v>71</v>
      </c>
      <c r="J2177" s="59" t="s">
        <v>1181</v>
      </c>
      <c r="K2177" s="59">
        <v>1</v>
      </c>
      <c r="L2177" s="59">
        <f t="shared" si="33"/>
        <v>2556</v>
      </c>
      <c r="M2177" s="59"/>
    </row>
    <row r="2178" spans="1:13" ht="30">
      <c r="A2178" s="56">
        <v>487</v>
      </c>
      <c r="B2178" s="56">
        <v>487</v>
      </c>
      <c r="C2178" s="56">
        <v>487</v>
      </c>
      <c r="D2178" s="56" t="s">
        <v>1952</v>
      </c>
      <c r="F2178" s="56" t="s">
        <v>24</v>
      </c>
      <c r="G2178" s="56">
        <v>1</v>
      </c>
      <c r="H2178" s="56">
        <v>37</v>
      </c>
      <c r="I2178" s="56">
        <v>75</v>
      </c>
      <c r="J2178" s="59" t="s">
        <v>1181</v>
      </c>
      <c r="K2178" s="59">
        <v>1</v>
      </c>
      <c r="L2178" s="59">
        <f t="shared" ref="L2178:L2241" si="34">H2178*I2178</f>
        <v>2775</v>
      </c>
      <c r="M2178" s="59"/>
    </row>
    <row r="2179" spans="1:13" ht="30">
      <c r="A2179" s="56">
        <v>577</v>
      </c>
      <c r="B2179" s="56">
        <v>577</v>
      </c>
      <c r="C2179" s="56">
        <v>577</v>
      </c>
      <c r="D2179" s="56" t="s">
        <v>2035</v>
      </c>
      <c r="F2179" s="56" t="s">
        <v>24</v>
      </c>
      <c r="G2179" s="56">
        <v>1</v>
      </c>
      <c r="H2179" s="56">
        <v>38</v>
      </c>
      <c r="I2179" s="56">
        <v>70</v>
      </c>
      <c r="J2179" s="59" t="s">
        <v>1181</v>
      </c>
      <c r="K2179" s="59">
        <v>1</v>
      </c>
      <c r="L2179" s="59">
        <f t="shared" si="34"/>
        <v>2660</v>
      </c>
      <c r="M2179" s="59"/>
    </row>
    <row r="2180" spans="1:13" ht="30">
      <c r="A2180" s="56">
        <v>634</v>
      </c>
      <c r="B2180" s="56">
        <v>634</v>
      </c>
      <c r="C2180" s="56">
        <v>634</v>
      </c>
      <c r="D2180" s="56" t="s">
        <v>2078</v>
      </c>
      <c r="F2180" s="56" t="s">
        <v>24</v>
      </c>
      <c r="G2180" s="56">
        <v>1</v>
      </c>
      <c r="H2180" s="56">
        <v>38</v>
      </c>
      <c r="I2180" s="56">
        <v>130</v>
      </c>
      <c r="J2180" s="59" t="s">
        <v>1181</v>
      </c>
      <c r="K2180" s="59">
        <v>1</v>
      </c>
      <c r="L2180" s="59">
        <f t="shared" si="34"/>
        <v>4940</v>
      </c>
      <c r="M2180" s="59"/>
    </row>
    <row r="2181" spans="1:13" ht="30">
      <c r="A2181" s="56">
        <v>644</v>
      </c>
      <c r="B2181" s="56">
        <v>644</v>
      </c>
      <c r="C2181" s="56">
        <v>644</v>
      </c>
      <c r="D2181" s="56" t="s">
        <v>2088</v>
      </c>
      <c r="F2181" s="56" t="s">
        <v>24</v>
      </c>
      <c r="G2181" s="56">
        <v>1</v>
      </c>
      <c r="H2181" s="56">
        <v>38</v>
      </c>
      <c r="I2181" s="56">
        <v>140</v>
      </c>
      <c r="J2181" s="59" t="s">
        <v>1181</v>
      </c>
      <c r="K2181" s="59">
        <v>1</v>
      </c>
      <c r="L2181" s="59">
        <f t="shared" si="34"/>
        <v>5320</v>
      </c>
      <c r="M2181" s="59"/>
    </row>
    <row r="2182" spans="1:13" ht="30">
      <c r="A2182" s="56">
        <v>1421</v>
      </c>
      <c r="B2182" s="56">
        <v>1421</v>
      </c>
      <c r="C2182" s="56">
        <v>1421</v>
      </c>
      <c r="D2182" s="56" t="s">
        <v>2630</v>
      </c>
      <c r="F2182" s="56" t="s">
        <v>24</v>
      </c>
      <c r="G2182" s="56">
        <v>1</v>
      </c>
      <c r="H2182" s="56">
        <v>38</v>
      </c>
      <c r="I2182" s="56">
        <v>260</v>
      </c>
      <c r="J2182" s="59" t="s">
        <v>1181</v>
      </c>
      <c r="K2182" s="59">
        <v>1</v>
      </c>
      <c r="L2182" s="59">
        <f t="shared" si="34"/>
        <v>9880</v>
      </c>
      <c r="M2182" s="59"/>
    </row>
    <row r="2183" spans="1:13" ht="30">
      <c r="A2183" s="56">
        <v>1576</v>
      </c>
      <c r="B2183" s="56">
        <v>1576</v>
      </c>
      <c r="C2183" s="56">
        <v>1576</v>
      </c>
      <c r="D2183" s="56" t="s">
        <v>2765</v>
      </c>
      <c r="F2183" s="56" t="s">
        <v>24</v>
      </c>
      <c r="G2183" s="56">
        <v>1</v>
      </c>
      <c r="H2183" s="56">
        <v>38</v>
      </c>
      <c r="I2183" s="56">
        <v>20</v>
      </c>
      <c r="J2183" s="59" t="s">
        <v>1181</v>
      </c>
      <c r="K2183" s="59">
        <v>1</v>
      </c>
      <c r="L2183" s="59">
        <f t="shared" si="34"/>
        <v>760</v>
      </c>
      <c r="M2183" s="59"/>
    </row>
    <row r="2184" spans="1:13" ht="30">
      <c r="A2184" s="56">
        <v>1066</v>
      </c>
      <c r="B2184" s="56">
        <v>1066</v>
      </c>
      <c r="C2184" s="56">
        <v>1066</v>
      </c>
      <c r="D2184" s="56" t="s">
        <v>2343</v>
      </c>
      <c r="F2184" s="56" t="s">
        <v>24</v>
      </c>
      <c r="G2184" s="56">
        <v>1</v>
      </c>
      <c r="H2184" s="56">
        <v>39</v>
      </c>
      <c r="I2184" s="56">
        <v>20</v>
      </c>
      <c r="J2184" s="59" t="s">
        <v>1181</v>
      </c>
      <c r="K2184" s="59">
        <v>1</v>
      </c>
      <c r="L2184" s="59">
        <f t="shared" si="34"/>
        <v>780</v>
      </c>
      <c r="M2184" s="59"/>
    </row>
    <row r="2185" spans="1:13" ht="30">
      <c r="A2185" s="56">
        <v>1172</v>
      </c>
      <c r="B2185" s="56">
        <v>1172</v>
      </c>
      <c r="C2185" s="56">
        <v>1172</v>
      </c>
      <c r="D2185" s="56" t="s">
        <v>2430</v>
      </c>
      <c r="F2185" s="56" t="s">
        <v>24</v>
      </c>
      <c r="G2185" s="56">
        <v>1</v>
      </c>
      <c r="H2185" s="56">
        <v>39</v>
      </c>
      <c r="I2185" s="56">
        <v>34</v>
      </c>
      <c r="J2185" s="59" t="s">
        <v>1181</v>
      </c>
      <c r="K2185" s="59">
        <v>1</v>
      </c>
      <c r="L2185" s="59">
        <f t="shared" si="34"/>
        <v>1326</v>
      </c>
      <c r="M2185" s="59"/>
    </row>
    <row r="2186" spans="1:13" ht="30">
      <c r="A2186" s="56">
        <v>1239</v>
      </c>
      <c r="B2186" s="56">
        <v>1239</v>
      </c>
      <c r="C2186" s="56">
        <v>1239</v>
      </c>
      <c r="D2186" s="56" t="s">
        <v>2477</v>
      </c>
      <c r="F2186" s="56" t="s">
        <v>24</v>
      </c>
      <c r="G2186" s="56">
        <v>1</v>
      </c>
      <c r="H2186" s="56">
        <v>39</v>
      </c>
      <c r="I2186" s="56">
        <v>100</v>
      </c>
      <c r="J2186" s="59" t="s">
        <v>1181</v>
      </c>
      <c r="K2186" s="59">
        <v>1</v>
      </c>
      <c r="L2186" s="59">
        <f t="shared" si="34"/>
        <v>3900</v>
      </c>
      <c r="M2186" s="59"/>
    </row>
    <row r="2187" spans="1:13" ht="30">
      <c r="A2187" s="56">
        <v>1313</v>
      </c>
      <c r="B2187" s="56">
        <v>1313</v>
      </c>
      <c r="C2187" s="56">
        <v>1313</v>
      </c>
      <c r="D2187" s="56" t="s">
        <v>2537</v>
      </c>
      <c r="F2187" s="56" t="s">
        <v>24</v>
      </c>
      <c r="G2187" s="56">
        <v>1</v>
      </c>
      <c r="H2187" s="56">
        <v>39</v>
      </c>
      <c r="I2187" s="56">
        <v>63</v>
      </c>
      <c r="J2187" s="59" t="s">
        <v>1181</v>
      </c>
      <c r="K2187" s="59">
        <v>1</v>
      </c>
      <c r="L2187" s="59">
        <f t="shared" si="34"/>
        <v>2457</v>
      </c>
      <c r="M2187" s="59"/>
    </row>
    <row r="2188" spans="1:13" ht="30">
      <c r="A2188" s="56">
        <v>1422</v>
      </c>
      <c r="B2188" s="56">
        <v>1422</v>
      </c>
      <c r="C2188" s="56">
        <v>1422</v>
      </c>
      <c r="D2188" s="56" t="s">
        <v>2631</v>
      </c>
      <c r="F2188" s="56" t="s">
        <v>24</v>
      </c>
      <c r="G2188" s="56">
        <v>1</v>
      </c>
      <c r="H2188" s="56">
        <v>39</v>
      </c>
      <c r="I2188" s="56">
        <v>150</v>
      </c>
      <c r="J2188" s="59" t="s">
        <v>1181</v>
      </c>
      <c r="K2188" s="59">
        <v>1</v>
      </c>
      <c r="L2188" s="59">
        <f t="shared" si="34"/>
        <v>5850</v>
      </c>
      <c r="M2188" s="59"/>
    </row>
    <row r="2189" spans="1:13" ht="30">
      <c r="A2189" s="56">
        <v>1311</v>
      </c>
      <c r="B2189" s="56">
        <v>1311</v>
      </c>
      <c r="C2189" s="56">
        <v>1311</v>
      </c>
      <c r="D2189" s="56" t="s">
        <v>2535</v>
      </c>
      <c r="F2189" s="56" t="s">
        <v>24</v>
      </c>
      <c r="G2189" s="56">
        <v>1</v>
      </c>
      <c r="H2189" s="56">
        <v>40</v>
      </c>
      <c r="I2189" s="56">
        <v>200</v>
      </c>
      <c r="J2189" s="59" t="s">
        <v>1181</v>
      </c>
      <c r="K2189" s="59">
        <v>1</v>
      </c>
      <c r="L2189" s="59">
        <f t="shared" si="34"/>
        <v>8000</v>
      </c>
      <c r="M2189" s="59"/>
    </row>
    <row r="2190" spans="1:13" ht="30">
      <c r="A2190" s="56">
        <v>1443</v>
      </c>
      <c r="B2190" s="56">
        <v>1443</v>
      </c>
      <c r="C2190" s="56">
        <v>1443</v>
      </c>
      <c r="D2190" s="56" t="s">
        <v>2640</v>
      </c>
      <c r="F2190" s="56" t="s">
        <v>24</v>
      </c>
      <c r="G2190" s="56">
        <v>1</v>
      </c>
      <c r="H2190" s="56">
        <v>41</v>
      </c>
      <c r="I2190" s="56">
        <v>30</v>
      </c>
      <c r="J2190" s="59" t="s">
        <v>1181</v>
      </c>
      <c r="K2190" s="59">
        <v>1</v>
      </c>
      <c r="L2190" s="59">
        <f t="shared" si="34"/>
        <v>1230</v>
      </c>
      <c r="M2190" s="59"/>
    </row>
    <row r="2191" spans="1:13" ht="30">
      <c r="A2191" s="56">
        <v>1652</v>
      </c>
      <c r="B2191" s="56">
        <v>1652</v>
      </c>
      <c r="C2191" s="56">
        <v>1652</v>
      </c>
      <c r="D2191" s="56" t="s">
        <v>2823</v>
      </c>
      <c r="F2191" s="56" t="s">
        <v>24</v>
      </c>
      <c r="G2191" s="56">
        <v>1</v>
      </c>
      <c r="H2191" s="56">
        <v>42</v>
      </c>
      <c r="I2191" s="56">
        <v>200</v>
      </c>
      <c r="J2191" s="59" t="s">
        <v>1181</v>
      </c>
      <c r="K2191" s="59">
        <v>1</v>
      </c>
      <c r="L2191" s="59">
        <f t="shared" si="34"/>
        <v>8400</v>
      </c>
      <c r="M2191" s="59"/>
    </row>
    <row r="2192" spans="1:13" ht="30">
      <c r="A2192" s="56">
        <v>1255</v>
      </c>
      <c r="B2192" s="56">
        <v>1255</v>
      </c>
      <c r="C2192" s="56">
        <v>1255</v>
      </c>
      <c r="D2192" s="56" t="s">
        <v>1230</v>
      </c>
      <c r="F2192" s="56" t="s">
        <v>1201</v>
      </c>
      <c r="G2192" s="56">
        <v>50</v>
      </c>
      <c r="H2192" s="56">
        <v>43</v>
      </c>
      <c r="I2192" s="56">
        <v>1300</v>
      </c>
      <c r="J2192" s="59" t="s">
        <v>1181</v>
      </c>
      <c r="K2192" s="59">
        <v>1</v>
      </c>
      <c r="L2192" s="59">
        <f t="shared" si="34"/>
        <v>55900</v>
      </c>
      <c r="M2192" s="59"/>
    </row>
    <row r="2193" spans="1:14" ht="30">
      <c r="A2193" s="56">
        <v>1037</v>
      </c>
      <c r="B2193" s="56">
        <v>1037</v>
      </c>
      <c r="C2193" s="56">
        <v>1037</v>
      </c>
      <c r="D2193" s="56" t="s">
        <v>2329</v>
      </c>
      <c r="F2193" s="56" t="s">
        <v>24</v>
      </c>
      <c r="G2193" s="56">
        <v>1</v>
      </c>
      <c r="H2193" s="56">
        <v>44</v>
      </c>
      <c r="I2193" s="56">
        <v>127</v>
      </c>
      <c r="J2193" s="59" t="s">
        <v>1181</v>
      </c>
      <c r="K2193" s="59">
        <v>1</v>
      </c>
      <c r="L2193" s="59">
        <f t="shared" si="34"/>
        <v>5588</v>
      </c>
      <c r="M2193" s="59"/>
    </row>
    <row r="2194" spans="1:14" ht="30">
      <c r="A2194" s="56">
        <v>1642</v>
      </c>
      <c r="B2194" s="56">
        <v>1642</v>
      </c>
      <c r="C2194" s="56">
        <v>1642</v>
      </c>
      <c r="D2194" s="56" t="s">
        <v>2818</v>
      </c>
      <c r="F2194" s="56" t="s">
        <v>24</v>
      </c>
      <c r="G2194" s="56">
        <v>1</v>
      </c>
      <c r="H2194" s="56">
        <v>44</v>
      </c>
      <c r="I2194" s="56">
        <v>190</v>
      </c>
      <c r="J2194" s="59" t="s">
        <v>1181</v>
      </c>
      <c r="K2194" s="59">
        <v>1</v>
      </c>
      <c r="L2194" s="59">
        <f t="shared" si="34"/>
        <v>8360</v>
      </c>
      <c r="M2194" s="59"/>
    </row>
    <row r="2195" spans="1:14" ht="30">
      <c r="A2195" s="56">
        <v>293</v>
      </c>
      <c r="B2195" s="56">
        <v>293</v>
      </c>
      <c r="C2195" s="56">
        <v>293</v>
      </c>
      <c r="D2195" s="56" t="s">
        <v>1772</v>
      </c>
      <c r="F2195" s="56" t="s">
        <v>24</v>
      </c>
      <c r="G2195" s="56">
        <v>1</v>
      </c>
      <c r="H2195" s="56">
        <v>45</v>
      </c>
      <c r="I2195" s="56">
        <v>350</v>
      </c>
      <c r="J2195" s="59" t="s">
        <v>1181</v>
      </c>
      <c r="K2195" s="59">
        <v>1</v>
      </c>
      <c r="L2195" s="59">
        <f t="shared" si="34"/>
        <v>15750</v>
      </c>
      <c r="M2195" s="59"/>
    </row>
    <row r="2196" spans="1:14" ht="30">
      <c r="A2196" s="56">
        <v>1254</v>
      </c>
      <c r="B2196" s="56">
        <v>1254</v>
      </c>
      <c r="C2196" s="56">
        <v>1254</v>
      </c>
      <c r="D2196" s="56" t="s">
        <v>1229</v>
      </c>
      <c r="F2196" s="58" t="s">
        <v>24</v>
      </c>
      <c r="G2196" s="58">
        <v>1</v>
      </c>
      <c r="H2196" s="58">
        <v>45</v>
      </c>
      <c r="I2196" s="56">
        <v>26</v>
      </c>
      <c r="J2196" s="59" t="s">
        <v>1181</v>
      </c>
      <c r="K2196" s="59">
        <v>1</v>
      </c>
      <c r="L2196" s="59">
        <f t="shared" si="34"/>
        <v>1170</v>
      </c>
      <c r="M2196" s="59"/>
      <c r="N2196" s="58"/>
    </row>
    <row r="2197" spans="1:14" ht="30">
      <c r="A2197" s="56">
        <v>1472</v>
      </c>
      <c r="B2197" s="56">
        <v>1472</v>
      </c>
      <c r="C2197" s="56">
        <v>1472</v>
      </c>
      <c r="D2197" s="56" t="s">
        <v>2667</v>
      </c>
      <c r="F2197" s="56" t="s">
        <v>24</v>
      </c>
      <c r="G2197" s="56">
        <v>1</v>
      </c>
      <c r="H2197" s="56">
        <v>45</v>
      </c>
      <c r="I2197" s="56">
        <v>62</v>
      </c>
      <c r="J2197" s="59" t="s">
        <v>1181</v>
      </c>
      <c r="K2197" s="59">
        <v>1</v>
      </c>
      <c r="L2197" s="59">
        <f t="shared" si="34"/>
        <v>2790</v>
      </c>
      <c r="M2197" s="59"/>
    </row>
    <row r="2198" spans="1:14" ht="30">
      <c r="A2198" s="56">
        <v>1711</v>
      </c>
      <c r="B2198" s="56">
        <v>1711</v>
      </c>
      <c r="C2198" s="56">
        <v>1711</v>
      </c>
      <c r="D2198" s="56" t="s">
        <v>2864</v>
      </c>
      <c r="F2198" s="56" t="s">
        <v>24</v>
      </c>
      <c r="G2198" s="56">
        <v>1</v>
      </c>
      <c r="H2198" s="56">
        <v>46</v>
      </c>
      <c r="I2198" s="56">
        <v>35</v>
      </c>
      <c r="J2198" s="59" t="s">
        <v>1181</v>
      </c>
      <c r="K2198" s="59">
        <v>1</v>
      </c>
      <c r="L2198" s="59">
        <f t="shared" si="34"/>
        <v>1610</v>
      </c>
      <c r="M2198" s="59"/>
    </row>
    <row r="2199" spans="1:14" ht="30">
      <c r="A2199" s="56">
        <v>1437</v>
      </c>
      <c r="B2199" s="56">
        <v>1437</v>
      </c>
      <c r="C2199" s="56">
        <v>1437</v>
      </c>
      <c r="D2199" s="56" t="s">
        <v>1212</v>
      </c>
      <c r="F2199" s="58" t="s">
        <v>24</v>
      </c>
      <c r="G2199" s="58">
        <v>1</v>
      </c>
      <c r="H2199" s="58">
        <v>47</v>
      </c>
      <c r="I2199" s="56">
        <v>20</v>
      </c>
      <c r="J2199" s="59" t="s">
        <v>1181</v>
      </c>
      <c r="K2199" s="59">
        <v>1</v>
      </c>
      <c r="L2199" s="59">
        <f t="shared" si="34"/>
        <v>940</v>
      </c>
      <c r="M2199" s="59"/>
      <c r="N2199" s="58"/>
    </row>
    <row r="2200" spans="1:14" ht="30">
      <c r="A2200" s="56">
        <v>1440</v>
      </c>
      <c r="B2200" s="56">
        <v>1440</v>
      </c>
      <c r="C2200" s="56">
        <v>1440</v>
      </c>
      <c r="D2200" s="56" t="s">
        <v>2638</v>
      </c>
      <c r="F2200" s="56" t="s">
        <v>24</v>
      </c>
      <c r="G2200" s="56">
        <v>1</v>
      </c>
      <c r="H2200" s="56">
        <v>47</v>
      </c>
      <c r="I2200" s="56">
        <v>48</v>
      </c>
      <c r="J2200" s="59" t="s">
        <v>1181</v>
      </c>
      <c r="K2200" s="59">
        <v>1</v>
      </c>
      <c r="L2200" s="59">
        <f t="shared" si="34"/>
        <v>2256</v>
      </c>
      <c r="M2200" s="59"/>
    </row>
    <row r="2201" spans="1:14" ht="30">
      <c r="A2201" s="56">
        <v>1657</v>
      </c>
      <c r="B2201" s="56">
        <v>1657</v>
      </c>
      <c r="C2201" s="56">
        <v>1657</v>
      </c>
      <c r="D2201" s="56" t="s">
        <v>2824</v>
      </c>
      <c r="F2201" s="56" t="s">
        <v>24</v>
      </c>
      <c r="G2201" s="56">
        <v>1</v>
      </c>
      <c r="H2201" s="56">
        <v>48</v>
      </c>
      <c r="I2201" s="56">
        <v>450</v>
      </c>
      <c r="J2201" s="59" t="s">
        <v>1181</v>
      </c>
      <c r="K2201" s="59">
        <v>1</v>
      </c>
      <c r="L2201" s="59">
        <f t="shared" si="34"/>
        <v>21600</v>
      </c>
      <c r="M2201" s="59"/>
    </row>
    <row r="2202" spans="1:14" ht="30">
      <c r="A2202" s="56">
        <v>168</v>
      </c>
      <c r="B2202" s="56">
        <v>168</v>
      </c>
      <c r="C2202" s="56">
        <v>168</v>
      </c>
      <c r="D2202" s="56" t="s">
        <v>1672</v>
      </c>
      <c r="F2202" s="56" t="s">
        <v>24</v>
      </c>
      <c r="G2202" s="56">
        <v>1</v>
      </c>
      <c r="H2202" s="56">
        <v>49</v>
      </c>
      <c r="I2202" s="56">
        <v>800</v>
      </c>
      <c r="J2202" s="59" t="s">
        <v>1181</v>
      </c>
      <c r="K2202" s="59">
        <v>1</v>
      </c>
      <c r="L2202" s="59">
        <f t="shared" si="34"/>
        <v>39200</v>
      </c>
      <c r="M2202" s="59"/>
    </row>
    <row r="2203" spans="1:14" ht="30">
      <c r="A2203" s="56">
        <v>1167</v>
      </c>
      <c r="B2203" s="56">
        <v>1167</v>
      </c>
      <c r="C2203" s="56">
        <v>1167</v>
      </c>
      <c r="D2203" s="56" t="s">
        <v>2425</v>
      </c>
      <c r="F2203" s="56" t="s">
        <v>24</v>
      </c>
      <c r="G2203" s="56">
        <v>1</v>
      </c>
      <c r="H2203" s="56">
        <v>49</v>
      </c>
      <c r="I2203" s="56">
        <v>30</v>
      </c>
      <c r="J2203" s="59" t="s">
        <v>1181</v>
      </c>
      <c r="K2203" s="59">
        <v>1</v>
      </c>
      <c r="L2203" s="59">
        <f t="shared" si="34"/>
        <v>1470</v>
      </c>
      <c r="M2203" s="59"/>
    </row>
    <row r="2204" spans="1:14" ht="30">
      <c r="A2204" s="56">
        <v>1257</v>
      </c>
      <c r="B2204" s="56">
        <v>1257</v>
      </c>
      <c r="C2204" s="56">
        <v>1257</v>
      </c>
      <c r="D2204" s="56" t="s">
        <v>1232</v>
      </c>
      <c r="F2204" s="56" t="s">
        <v>1201</v>
      </c>
      <c r="G2204" s="56">
        <v>50</v>
      </c>
      <c r="H2204" s="56">
        <v>50</v>
      </c>
      <c r="I2204" s="56">
        <v>1300</v>
      </c>
      <c r="J2204" s="59" t="s">
        <v>1181</v>
      </c>
      <c r="K2204" s="59">
        <v>1</v>
      </c>
      <c r="L2204" s="59">
        <f t="shared" si="34"/>
        <v>65000</v>
      </c>
      <c r="M2204" s="59"/>
    </row>
    <row r="2205" spans="1:14" ht="30">
      <c r="A2205" s="56">
        <v>1241</v>
      </c>
      <c r="B2205" s="56">
        <v>1241</v>
      </c>
      <c r="C2205" s="56">
        <v>1241</v>
      </c>
      <c r="D2205" s="56" t="s">
        <v>2479</v>
      </c>
      <c r="F2205" s="56" t="s">
        <v>24</v>
      </c>
      <c r="G2205" s="56">
        <v>1</v>
      </c>
      <c r="H2205" s="56">
        <v>50</v>
      </c>
      <c r="I2205" s="56">
        <v>70</v>
      </c>
      <c r="J2205" s="59" t="s">
        <v>1181</v>
      </c>
      <c r="K2205" s="59">
        <v>1</v>
      </c>
      <c r="L2205" s="59">
        <f t="shared" si="34"/>
        <v>3500</v>
      </c>
      <c r="M2205" s="59"/>
    </row>
    <row r="2206" spans="1:14" ht="30">
      <c r="A2206" s="56">
        <v>1243</v>
      </c>
      <c r="B2206" s="56">
        <v>1243</v>
      </c>
      <c r="C2206" s="56">
        <v>1243</v>
      </c>
      <c r="D2206" s="56" t="s">
        <v>2480</v>
      </c>
      <c r="F2206" s="56" t="s">
        <v>1201</v>
      </c>
      <c r="G2206" s="56">
        <v>1</v>
      </c>
      <c r="H2206" s="56">
        <v>50</v>
      </c>
      <c r="I2206" s="56">
        <v>40</v>
      </c>
      <c r="J2206" s="59" t="s">
        <v>1181</v>
      </c>
      <c r="K2206" s="59">
        <v>1</v>
      </c>
      <c r="L2206" s="59">
        <f t="shared" si="34"/>
        <v>2000</v>
      </c>
      <c r="M2206" s="59"/>
    </row>
    <row r="2207" spans="1:14" ht="30">
      <c r="A2207" s="56">
        <v>1696</v>
      </c>
      <c r="B2207" s="56">
        <v>1696</v>
      </c>
      <c r="C2207" s="56">
        <v>1696</v>
      </c>
      <c r="D2207" s="56" t="s">
        <v>2851</v>
      </c>
      <c r="F2207" s="56" t="s">
        <v>24</v>
      </c>
      <c r="G2207" s="56">
        <v>1</v>
      </c>
      <c r="H2207" s="56">
        <v>50</v>
      </c>
      <c r="I2207" s="56">
        <v>86</v>
      </c>
      <c r="J2207" s="59" t="s">
        <v>1181</v>
      </c>
      <c r="K2207" s="59">
        <v>1</v>
      </c>
      <c r="L2207" s="59">
        <f t="shared" si="34"/>
        <v>4300</v>
      </c>
      <c r="M2207" s="59"/>
    </row>
    <row r="2208" spans="1:14" ht="30">
      <c r="A2208" s="56">
        <v>547</v>
      </c>
      <c r="B2208" s="56">
        <v>547</v>
      </c>
      <c r="C2208" s="56">
        <v>547</v>
      </c>
      <c r="D2208" s="56" t="s">
        <v>2009</v>
      </c>
      <c r="F2208" s="56" t="s">
        <v>24</v>
      </c>
      <c r="G2208" s="56">
        <v>1</v>
      </c>
      <c r="H2208" s="56">
        <v>51</v>
      </c>
      <c r="I2208" s="56">
        <v>95</v>
      </c>
      <c r="J2208" s="59" t="s">
        <v>1181</v>
      </c>
      <c r="K2208" s="59">
        <v>1</v>
      </c>
      <c r="L2208" s="59">
        <f t="shared" si="34"/>
        <v>4845</v>
      </c>
      <c r="M2208" s="59"/>
    </row>
    <row r="2209" spans="1:14" ht="30">
      <c r="A2209" s="56">
        <v>596</v>
      </c>
      <c r="B2209" s="56">
        <v>596</v>
      </c>
      <c r="C2209" s="56">
        <v>596</v>
      </c>
      <c r="D2209" s="56" t="s">
        <v>2047</v>
      </c>
      <c r="F2209" s="56" t="s">
        <v>24</v>
      </c>
      <c r="G2209" s="56">
        <v>1</v>
      </c>
      <c r="H2209" s="56">
        <v>52</v>
      </c>
      <c r="I2209" s="56">
        <v>160</v>
      </c>
      <c r="J2209" s="59" t="s">
        <v>1181</v>
      </c>
      <c r="K2209" s="59">
        <v>1</v>
      </c>
      <c r="L2209" s="59">
        <f t="shared" si="34"/>
        <v>8320</v>
      </c>
      <c r="M2209" s="59"/>
    </row>
    <row r="2210" spans="1:14" ht="30">
      <c r="A2210" s="56">
        <v>597</v>
      </c>
      <c r="B2210" s="56">
        <v>597</v>
      </c>
      <c r="C2210" s="56">
        <v>597</v>
      </c>
      <c r="D2210" s="56" t="s">
        <v>2048</v>
      </c>
      <c r="F2210" s="56" t="s">
        <v>24</v>
      </c>
      <c r="G2210" s="56">
        <v>1</v>
      </c>
      <c r="H2210" s="56">
        <v>52</v>
      </c>
      <c r="I2210" s="56">
        <v>70</v>
      </c>
      <c r="J2210" s="59" t="s">
        <v>1181</v>
      </c>
      <c r="K2210" s="59">
        <v>1</v>
      </c>
      <c r="L2210" s="59">
        <f t="shared" si="34"/>
        <v>3640</v>
      </c>
      <c r="M2210" s="59"/>
    </row>
    <row r="2211" spans="1:14" ht="30">
      <c r="A2211" s="56">
        <v>635</v>
      </c>
      <c r="B2211" s="56">
        <v>635</v>
      </c>
      <c r="C2211" s="56">
        <v>635</v>
      </c>
      <c r="D2211" s="56" t="s">
        <v>2079</v>
      </c>
      <c r="F2211" s="56" t="s">
        <v>24</v>
      </c>
      <c r="G2211" s="56">
        <v>1</v>
      </c>
      <c r="H2211" s="56">
        <v>52</v>
      </c>
      <c r="I2211" s="56">
        <v>130</v>
      </c>
      <c r="J2211" s="59" t="s">
        <v>1181</v>
      </c>
      <c r="K2211" s="59">
        <v>1</v>
      </c>
      <c r="L2211" s="59">
        <f t="shared" si="34"/>
        <v>6760</v>
      </c>
      <c r="M2211" s="59"/>
    </row>
    <row r="2212" spans="1:14" ht="30">
      <c r="A2212" s="56">
        <v>983</v>
      </c>
      <c r="B2212" s="56">
        <v>983</v>
      </c>
      <c r="C2212" s="56">
        <v>983</v>
      </c>
      <c r="D2212" s="56" t="s">
        <v>2282</v>
      </c>
      <c r="F2212" s="56" t="s">
        <v>24</v>
      </c>
      <c r="G2212" s="56">
        <v>1</v>
      </c>
      <c r="H2212" s="56">
        <v>52</v>
      </c>
      <c r="I2212" s="56">
        <v>55</v>
      </c>
      <c r="J2212" s="59" t="s">
        <v>1181</v>
      </c>
      <c r="K2212" s="59">
        <v>1</v>
      </c>
      <c r="L2212" s="59">
        <f t="shared" si="34"/>
        <v>2860</v>
      </c>
      <c r="M2212" s="59"/>
    </row>
    <row r="2213" spans="1:14" ht="30">
      <c r="A2213" s="56">
        <v>1041</v>
      </c>
      <c r="B2213" s="56">
        <v>1041</v>
      </c>
      <c r="C2213" s="56">
        <v>1041</v>
      </c>
      <c r="D2213" s="56" t="s">
        <v>2331</v>
      </c>
      <c r="F2213" s="56" t="s">
        <v>24</v>
      </c>
      <c r="G2213" s="56">
        <v>1</v>
      </c>
      <c r="H2213" s="56">
        <v>53</v>
      </c>
      <c r="I2213" s="56">
        <v>230</v>
      </c>
      <c r="J2213" s="59" t="s">
        <v>1181</v>
      </c>
      <c r="K2213" s="59">
        <v>1</v>
      </c>
      <c r="L2213" s="59">
        <f t="shared" si="34"/>
        <v>12190</v>
      </c>
      <c r="M2213" s="59"/>
    </row>
    <row r="2214" spans="1:14" ht="30">
      <c r="A2214" s="56">
        <v>1042</v>
      </c>
      <c r="B2214" s="56">
        <v>1042</v>
      </c>
      <c r="C2214" s="56">
        <v>1042</v>
      </c>
      <c r="D2214" s="56" t="s">
        <v>2332</v>
      </c>
      <c r="F2214" s="56" t="s">
        <v>24</v>
      </c>
      <c r="G2214" s="56">
        <v>1</v>
      </c>
      <c r="H2214" s="56">
        <v>53</v>
      </c>
      <c r="I2214" s="56">
        <v>210</v>
      </c>
      <c r="J2214" s="59" t="s">
        <v>1181</v>
      </c>
      <c r="K2214" s="59">
        <v>1</v>
      </c>
      <c r="L2214" s="59">
        <f t="shared" si="34"/>
        <v>11130</v>
      </c>
      <c r="M2214" s="59"/>
    </row>
    <row r="2215" spans="1:14" ht="30">
      <c r="A2215" s="56">
        <v>1435</v>
      </c>
      <c r="B2215" s="56">
        <v>1435</v>
      </c>
      <c r="C2215" s="56">
        <v>1435</v>
      </c>
      <c r="D2215" s="56" t="s">
        <v>1211</v>
      </c>
      <c r="F2215" s="58" t="s">
        <v>24</v>
      </c>
      <c r="G2215" s="58">
        <v>1</v>
      </c>
      <c r="H2215" s="58">
        <v>54</v>
      </c>
      <c r="I2215" s="56">
        <v>20</v>
      </c>
      <c r="J2215" s="59" t="s">
        <v>1181</v>
      </c>
      <c r="K2215" s="59">
        <v>1</v>
      </c>
      <c r="L2215" s="59">
        <f t="shared" si="34"/>
        <v>1080</v>
      </c>
      <c r="M2215" s="59"/>
      <c r="N2215" s="58"/>
    </row>
    <row r="2216" spans="1:14" ht="30">
      <c r="A2216" s="56">
        <v>1478</v>
      </c>
      <c r="B2216" s="56">
        <v>1478</v>
      </c>
      <c r="C2216" s="56">
        <v>1478</v>
      </c>
      <c r="D2216" s="56" t="s">
        <v>2672</v>
      </c>
      <c r="F2216" s="56" t="s">
        <v>24</v>
      </c>
      <c r="G2216" s="56">
        <v>1</v>
      </c>
      <c r="H2216" s="56">
        <v>54</v>
      </c>
      <c r="I2216" s="56">
        <v>22</v>
      </c>
      <c r="J2216" s="59" t="s">
        <v>1181</v>
      </c>
      <c r="K2216" s="59">
        <v>1</v>
      </c>
      <c r="L2216" s="59">
        <f t="shared" si="34"/>
        <v>1188</v>
      </c>
      <c r="M2216" s="59"/>
    </row>
    <row r="2217" spans="1:14" ht="30">
      <c r="A2217" s="56">
        <v>1312</v>
      </c>
      <c r="B2217" s="56">
        <v>1312</v>
      </c>
      <c r="C2217" s="56">
        <v>1312</v>
      </c>
      <c r="D2217" s="56" t="s">
        <v>2536</v>
      </c>
      <c r="F2217" s="56" t="s">
        <v>24</v>
      </c>
      <c r="G2217" s="56">
        <v>1</v>
      </c>
      <c r="H2217" s="56">
        <v>55</v>
      </c>
      <c r="I2217" s="56">
        <v>60</v>
      </c>
      <c r="J2217" s="59" t="s">
        <v>1181</v>
      </c>
      <c r="K2217" s="59">
        <v>1</v>
      </c>
      <c r="L2217" s="59">
        <f t="shared" si="34"/>
        <v>3300</v>
      </c>
      <c r="M2217" s="59"/>
    </row>
    <row r="2218" spans="1:14" ht="30">
      <c r="A2218" s="56">
        <v>1314</v>
      </c>
      <c r="B2218" s="56">
        <v>1314</v>
      </c>
      <c r="C2218" s="56">
        <v>1314</v>
      </c>
      <c r="D2218" s="56" t="s">
        <v>1202</v>
      </c>
      <c r="F2218" s="58" t="s">
        <v>24</v>
      </c>
      <c r="G2218" s="58">
        <v>1</v>
      </c>
      <c r="H2218" s="58">
        <v>56</v>
      </c>
      <c r="I2218" s="56">
        <v>27</v>
      </c>
      <c r="J2218" s="59" t="s">
        <v>1181</v>
      </c>
      <c r="K2218" s="59">
        <v>1</v>
      </c>
      <c r="L2218" s="59">
        <f t="shared" si="34"/>
        <v>1512</v>
      </c>
      <c r="M2218" s="59"/>
      <c r="N2218" s="58"/>
    </row>
    <row r="2219" spans="1:14" ht="30">
      <c r="A2219" s="56">
        <v>1072</v>
      </c>
      <c r="B2219" s="56">
        <v>1072</v>
      </c>
      <c r="C2219" s="56">
        <v>1072</v>
      </c>
      <c r="D2219" s="56" t="s">
        <v>2349</v>
      </c>
      <c r="F2219" s="56" t="s">
        <v>24</v>
      </c>
      <c r="G2219" s="56">
        <v>1</v>
      </c>
      <c r="H2219" s="56">
        <v>57</v>
      </c>
      <c r="I2219" s="56">
        <v>40</v>
      </c>
      <c r="J2219" s="59" t="s">
        <v>1181</v>
      </c>
      <c r="K2219" s="59">
        <v>1</v>
      </c>
      <c r="L2219" s="59">
        <f t="shared" si="34"/>
        <v>2280</v>
      </c>
      <c r="M2219" s="59"/>
    </row>
    <row r="2220" spans="1:14" ht="30">
      <c r="A2220" s="56">
        <v>1251</v>
      </c>
      <c r="B2220" s="56">
        <v>1251</v>
      </c>
      <c r="C2220" s="56">
        <v>1251</v>
      </c>
      <c r="D2220" s="56" t="s">
        <v>2482</v>
      </c>
      <c r="F2220" s="56" t="s">
        <v>1201</v>
      </c>
      <c r="G2220" s="56">
        <v>1</v>
      </c>
      <c r="H2220" s="56">
        <v>57</v>
      </c>
      <c r="I2220" s="56">
        <v>15</v>
      </c>
      <c r="J2220" s="59" t="s">
        <v>1181</v>
      </c>
      <c r="K2220" s="59">
        <v>1</v>
      </c>
      <c r="L2220" s="59">
        <f t="shared" si="34"/>
        <v>855</v>
      </c>
      <c r="M2220" s="59"/>
    </row>
    <row r="2221" spans="1:14" ht="30">
      <c r="A2221" s="56">
        <v>1481</v>
      </c>
      <c r="B2221" s="56">
        <v>1481</v>
      </c>
      <c r="C2221" s="56">
        <v>1481</v>
      </c>
      <c r="D2221" s="56" t="s">
        <v>1217</v>
      </c>
      <c r="F2221" s="58" t="s">
        <v>24</v>
      </c>
      <c r="G2221" s="58">
        <v>1</v>
      </c>
      <c r="H2221" s="58">
        <v>57</v>
      </c>
      <c r="I2221" s="56">
        <v>17</v>
      </c>
      <c r="J2221" s="59" t="s">
        <v>1181</v>
      </c>
      <c r="K2221" s="59">
        <v>1</v>
      </c>
      <c r="L2221" s="59">
        <f t="shared" si="34"/>
        <v>969</v>
      </c>
      <c r="M2221" s="59"/>
      <c r="N2221" s="58"/>
    </row>
    <row r="2222" spans="1:14" ht="30">
      <c r="A2222" s="56">
        <v>1482</v>
      </c>
      <c r="B2222" s="56">
        <v>1482</v>
      </c>
      <c r="C2222" s="56">
        <v>1482</v>
      </c>
      <c r="D2222" s="56" t="s">
        <v>2674</v>
      </c>
      <c r="F2222" s="56" t="s">
        <v>24</v>
      </c>
      <c r="G2222" s="56">
        <v>1</v>
      </c>
      <c r="H2222" s="56">
        <v>57</v>
      </c>
      <c r="I2222" s="56">
        <v>600</v>
      </c>
      <c r="J2222" s="59" t="s">
        <v>1181</v>
      </c>
      <c r="K2222" s="59">
        <v>1</v>
      </c>
      <c r="L2222" s="59">
        <f t="shared" si="34"/>
        <v>34200</v>
      </c>
      <c r="M2222" s="59"/>
    </row>
    <row r="2223" spans="1:14" ht="30">
      <c r="A2223" s="56">
        <v>1577</v>
      </c>
      <c r="B2223" s="56">
        <v>1577</v>
      </c>
      <c r="C2223" s="56">
        <v>1577</v>
      </c>
      <c r="D2223" s="56" t="s">
        <v>2766</v>
      </c>
      <c r="F2223" s="56" t="s">
        <v>24</v>
      </c>
      <c r="G2223" s="56">
        <v>1</v>
      </c>
      <c r="H2223" s="56">
        <v>57</v>
      </c>
      <c r="I2223" s="56">
        <v>20</v>
      </c>
      <c r="J2223" s="59" t="s">
        <v>1181</v>
      </c>
      <c r="K2223" s="59">
        <v>1</v>
      </c>
      <c r="L2223" s="59">
        <f t="shared" si="34"/>
        <v>1140</v>
      </c>
      <c r="M2223" s="59"/>
    </row>
    <row r="2224" spans="1:14" ht="30">
      <c r="A2224" s="56">
        <v>549</v>
      </c>
      <c r="B2224" s="56">
        <v>549</v>
      </c>
      <c r="C2224" s="56">
        <v>549</v>
      </c>
      <c r="D2224" s="56" t="s">
        <v>2011</v>
      </c>
      <c r="F2224" s="56" t="s">
        <v>24</v>
      </c>
      <c r="G2224" s="56">
        <v>1</v>
      </c>
      <c r="H2224" s="56">
        <v>58</v>
      </c>
      <c r="I2224" s="56">
        <v>85</v>
      </c>
      <c r="J2224" s="59" t="s">
        <v>1181</v>
      </c>
      <c r="K2224" s="59">
        <v>1</v>
      </c>
      <c r="L2224" s="59">
        <f t="shared" si="34"/>
        <v>4930</v>
      </c>
      <c r="M2224" s="59"/>
    </row>
    <row r="2225" spans="1:14" ht="30">
      <c r="A2225" s="56">
        <v>1639</v>
      </c>
      <c r="B2225" s="56">
        <v>1639</v>
      </c>
      <c r="C2225" s="56">
        <v>1639</v>
      </c>
      <c r="D2225" s="56" t="s">
        <v>2816</v>
      </c>
      <c r="F2225" s="56" t="s">
        <v>24</v>
      </c>
      <c r="G2225" s="56">
        <v>1</v>
      </c>
      <c r="H2225" s="56">
        <v>58</v>
      </c>
      <c r="I2225" s="56">
        <v>210</v>
      </c>
      <c r="J2225" s="59" t="s">
        <v>1181</v>
      </c>
      <c r="K2225" s="59">
        <v>1</v>
      </c>
      <c r="L2225" s="59">
        <f t="shared" si="34"/>
        <v>12180</v>
      </c>
      <c r="M2225" s="59"/>
    </row>
    <row r="2226" spans="1:14" ht="30">
      <c r="A2226" s="56">
        <v>488</v>
      </c>
      <c r="B2226" s="56">
        <v>488</v>
      </c>
      <c r="C2226" s="56">
        <v>488</v>
      </c>
      <c r="D2226" s="56" t="s">
        <v>1953</v>
      </c>
      <c r="F2226" s="56" t="s">
        <v>24</v>
      </c>
      <c r="G2226" s="56">
        <v>1</v>
      </c>
      <c r="H2226" s="56">
        <v>60</v>
      </c>
      <c r="I2226" s="56">
        <v>25</v>
      </c>
      <c r="J2226" s="59" t="s">
        <v>1181</v>
      </c>
      <c r="K2226" s="59">
        <v>1</v>
      </c>
      <c r="L2226" s="59">
        <f t="shared" si="34"/>
        <v>1500</v>
      </c>
      <c r="M2226" s="59"/>
    </row>
    <row r="2227" spans="1:14" ht="30">
      <c r="A2227" s="56">
        <v>1214</v>
      </c>
      <c r="B2227" s="56">
        <v>1214</v>
      </c>
      <c r="C2227" s="56">
        <v>1214</v>
      </c>
      <c r="D2227" s="56" t="s">
        <v>2462</v>
      </c>
      <c r="F2227" s="56" t="s">
        <v>24</v>
      </c>
      <c r="G2227" s="56">
        <v>1</v>
      </c>
      <c r="H2227" s="56">
        <v>60</v>
      </c>
      <c r="I2227" s="56">
        <v>25</v>
      </c>
      <c r="J2227" s="59" t="s">
        <v>1181</v>
      </c>
      <c r="K2227" s="59">
        <v>1</v>
      </c>
      <c r="L2227" s="59">
        <f t="shared" si="34"/>
        <v>1500</v>
      </c>
      <c r="M2227" s="59"/>
    </row>
    <row r="2228" spans="1:14" ht="30">
      <c r="A2228" s="56">
        <v>1479</v>
      </c>
      <c r="B2228" s="56">
        <v>1479</v>
      </c>
      <c r="C2228" s="56">
        <v>1479</v>
      </c>
      <c r="D2228" s="56" t="s">
        <v>1216</v>
      </c>
      <c r="F2228" s="58" t="s">
        <v>24</v>
      </c>
      <c r="G2228" s="58">
        <v>1</v>
      </c>
      <c r="H2228" s="58">
        <v>61</v>
      </c>
      <c r="I2228" s="56">
        <v>21</v>
      </c>
      <c r="J2228" s="59" t="s">
        <v>1181</v>
      </c>
      <c r="K2228" s="59">
        <v>1</v>
      </c>
      <c r="L2228" s="59">
        <f t="shared" si="34"/>
        <v>1281</v>
      </c>
      <c r="M2228" s="59"/>
      <c r="N2228" s="58"/>
    </row>
    <row r="2229" spans="1:14" ht="30">
      <c r="A2229" s="56">
        <v>1810</v>
      </c>
      <c r="B2229" s="56">
        <v>1810</v>
      </c>
      <c r="C2229" s="56">
        <v>1810</v>
      </c>
      <c r="D2229" s="56" t="s">
        <v>2947</v>
      </c>
      <c r="F2229" s="56" t="s">
        <v>24</v>
      </c>
      <c r="G2229" s="56">
        <v>1</v>
      </c>
      <c r="H2229" s="56">
        <v>63</v>
      </c>
      <c r="I2229" s="56">
        <v>150</v>
      </c>
      <c r="J2229" s="59" t="s">
        <v>1181</v>
      </c>
      <c r="K2229" s="59">
        <v>1</v>
      </c>
      <c r="L2229" s="59">
        <f t="shared" si="34"/>
        <v>9450</v>
      </c>
      <c r="M2229" s="59"/>
    </row>
    <row r="2230" spans="1:14" ht="30">
      <c r="A2230" s="56">
        <v>1166</v>
      </c>
      <c r="B2230" s="56">
        <v>1166</v>
      </c>
      <c r="C2230" s="56">
        <v>1166</v>
      </c>
      <c r="D2230" s="56" t="s">
        <v>2424</v>
      </c>
      <c r="F2230" s="56" t="s">
        <v>24</v>
      </c>
      <c r="G2230" s="56">
        <v>1</v>
      </c>
      <c r="H2230" s="56">
        <v>65</v>
      </c>
      <c r="I2230" s="56">
        <v>20</v>
      </c>
      <c r="J2230" s="59" t="s">
        <v>1181</v>
      </c>
      <c r="K2230" s="59">
        <v>1</v>
      </c>
      <c r="L2230" s="59">
        <f t="shared" si="34"/>
        <v>1300</v>
      </c>
      <c r="M2230" s="59"/>
    </row>
    <row r="2231" spans="1:14" ht="30">
      <c r="A2231" s="56">
        <v>1249</v>
      </c>
      <c r="B2231" s="56">
        <v>1249</v>
      </c>
      <c r="C2231" s="56">
        <v>1249</v>
      </c>
      <c r="D2231" s="56" t="s">
        <v>1197</v>
      </c>
      <c r="F2231" s="58" t="s">
        <v>1201</v>
      </c>
      <c r="G2231" s="58">
        <v>1</v>
      </c>
      <c r="H2231" s="58">
        <v>65</v>
      </c>
      <c r="I2231" s="56">
        <v>20</v>
      </c>
      <c r="J2231" s="59" t="s">
        <v>1181</v>
      </c>
      <c r="K2231" s="59">
        <v>1</v>
      </c>
      <c r="L2231" s="59">
        <f t="shared" si="34"/>
        <v>1300</v>
      </c>
      <c r="M2231" s="59"/>
      <c r="N2231" s="58"/>
    </row>
    <row r="2232" spans="1:14" ht="30">
      <c r="A2232" s="56">
        <v>307</v>
      </c>
      <c r="B2232" s="56">
        <v>307</v>
      </c>
      <c r="C2232" s="56">
        <v>307</v>
      </c>
      <c r="D2232" s="56" t="s">
        <v>1783</v>
      </c>
      <c r="F2232" s="56" t="s">
        <v>24</v>
      </c>
      <c r="G2232" s="56">
        <v>1</v>
      </c>
      <c r="H2232" s="56">
        <v>67</v>
      </c>
      <c r="I2232" s="56">
        <v>150</v>
      </c>
      <c r="J2232" s="59" t="s">
        <v>1181</v>
      </c>
      <c r="K2232" s="59">
        <v>1</v>
      </c>
      <c r="L2232" s="59">
        <f t="shared" si="34"/>
        <v>10050</v>
      </c>
      <c r="M2232" s="59"/>
    </row>
    <row r="2233" spans="1:14" ht="30">
      <c r="A2233" s="56">
        <v>584</v>
      </c>
      <c r="B2233" s="56">
        <v>584</v>
      </c>
      <c r="C2233" s="56">
        <v>584</v>
      </c>
      <c r="D2233" s="56" t="s">
        <v>2040</v>
      </c>
      <c r="F2233" s="56" t="s">
        <v>24</v>
      </c>
      <c r="G2233" s="56">
        <v>1</v>
      </c>
      <c r="H2233" s="56">
        <v>71</v>
      </c>
      <c r="I2233" s="56">
        <v>34</v>
      </c>
      <c r="J2233" s="59" t="s">
        <v>1181</v>
      </c>
      <c r="K2233" s="59">
        <v>1</v>
      </c>
      <c r="L2233" s="59">
        <f t="shared" si="34"/>
        <v>2414</v>
      </c>
      <c r="M2233" s="59"/>
    </row>
    <row r="2234" spans="1:14" ht="30">
      <c r="A2234" s="56">
        <v>1070</v>
      </c>
      <c r="B2234" s="56">
        <v>1070</v>
      </c>
      <c r="C2234" s="56">
        <v>1070</v>
      </c>
      <c r="D2234" s="56" t="s">
        <v>2347</v>
      </c>
      <c r="F2234" s="56" t="s">
        <v>24</v>
      </c>
      <c r="G2234" s="56">
        <v>1</v>
      </c>
      <c r="H2234" s="56">
        <v>73</v>
      </c>
      <c r="I2234" s="56">
        <v>150</v>
      </c>
      <c r="J2234" s="59" t="s">
        <v>1181</v>
      </c>
      <c r="K2234" s="59">
        <v>1</v>
      </c>
      <c r="L2234" s="59">
        <f t="shared" si="34"/>
        <v>10950</v>
      </c>
      <c r="M2234" s="59"/>
    </row>
    <row r="2235" spans="1:14" ht="30">
      <c r="A2235" s="56">
        <v>1428</v>
      </c>
      <c r="B2235" s="56">
        <v>1428</v>
      </c>
      <c r="C2235" s="56">
        <v>1428</v>
      </c>
      <c r="D2235" s="56" t="s">
        <v>2633</v>
      </c>
      <c r="F2235" s="56" t="s">
        <v>24</v>
      </c>
      <c r="G2235" s="56">
        <v>1</v>
      </c>
      <c r="H2235" s="56">
        <v>73</v>
      </c>
      <c r="I2235" s="56">
        <v>45</v>
      </c>
      <c r="J2235" s="59" t="s">
        <v>1181</v>
      </c>
      <c r="K2235" s="59">
        <v>1</v>
      </c>
      <c r="L2235" s="59">
        <f t="shared" si="34"/>
        <v>3285</v>
      </c>
      <c r="M2235" s="59"/>
    </row>
    <row r="2236" spans="1:14" ht="30">
      <c r="A2236" s="56">
        <v>1429</v>
      </c>
      <c r="B2236" s="56">
        <v>1429</v>
      </c>
      <c r="C2236" s="56">
        <v>1429</v>
      </c>
      <c r="D2236" s="56" t="s">
        <v>1209</v>
      </c>
      <c r="F2236" s="58" t="s">
        <v>24</v>
      </c>
      <c r="G2236" s="58">
        <v>1</v>
      </c>
      <c r="H2236" s="58">
        <v>75</v>
      </c>
      <c r="I2236" s="56">
        <v>45</v>
      </c>
      <c r="J2236" s="59" t="s">
        <v>1181</v>
      </c>
      <c r="K2236" s="59">
        <v>1</v>
      </c>
      <c r="L2236" s="59">
        <f t="shared" si="34"/>
        <v>3375</v>
      </c>
      <c r="M2236" s="59"/>
      <c r="N2236" s="58"/>
    </row>
    <row r="2237" spans="1:14" ht="30">
      <c r="A2237" s="56">
        <v>1171</v>
      </c>
      <c r="B2237" s="56">
        <v>1171</v>
      </c>
      <c r="C2237" s="56">
        <v>1171</v>
      </c>
      <c r="D2237" s="56" t="s">
        <v>2429</v>
      </c>
      <c r="F2237" s="56" t="s">
        <v>24</v>
      </c>
      <c r="G2237" s="56">
        <v>1</v>
      </c>
      <c r="H2237" s="56">
        <v>77</v>
      </c>
      <c r="I2237" s="56">
        <v>36</v>
      </c>
      <c r="J2237" s="59" t="s">
        <v>1181</v>
      </c>
      <c r="K2237" s="59">
        <v>1</v>
      </c>
      <c r="L2237" s="59">
        <f t="shared" si="34"/>
        <v>2772</v>
      </c>
      <c r="M2237" s="59"/>
    </row>
    <row r="2238" spans="1:14" ht="30">
      <c r="A2238" s="56">
        <v>1578</v>
      </c>
      <c r="B2238" s="56">
        <v>1578</v>
      </c>
      <c r="C2238" s="56">
        <v>1578</v>
      </c>
      <c r="D2238" s="56" t="s">
        <v>2767</v>
      </c>
      <c r="F2238" s="56" t="s">
        <v>24</v>
      </c>
      <c r="G2238" s="56">
        <v>1</v>
      </c>
      <c r="H2238" s="56">
        <v>77</v>
      </c>
      <c r="I2238" s="56">
        <v>15</v>
      </c>
      <c r="J2238" s="59" t="s">
        <v>1181</v>
      </c>
      <c r="K2238" s="59">
        <v>1</v>
      </c>
      <c r="L2238" s="59">
        <f t="shared" si="34"/>
        <v>1155</v>
      </c>
      <c r="M2238" s="59"/>
    </row>
    <row r="2239" spans="1:14" ht="30">
      <c r="A2239" s="56">
        <v>1051</v>
      </c>
      <c r="B2239" s="56">
        <v>1051</v>
      </c>
      <c r="C2239" s="56">
        <v>1051</v>
      </c>
      <c r="D2239" s="56" t="s">
        <v>2337</v>
      </c>
      <c r="F2239" s="56" t="s">
        <v>24</v>
      </c>
      <c r="G2239" s="56">
        <v>1</v>
      </c>
      <c r="H2239" s="56">
        <v>80</v>
      </c>
      <c r="I2239" s="56">
        <v>600</v>
      </c>
      <c r="J2239" s="59" t="s">
        <v>1181</v>
      </c>
      <c r="K2239" s="59">
        <v>1</v>
      </c>
      <c r="L2239" s="59">
        <f t="shared" si="34"/>
        <v>48000</v>
      </c>
      <c r="M2239" s="59"/>
    </row>
    <row r="2240" spans="1:14" ht="30">
      <c r="A2240" s="56">
        <v>1170</v>
      </c>
      <c r="B2240" s="56">
        <v>1170</v>
      </c>
      <c r="C2240" s="56">
        <v>1170</v>
      </c>
      <c r="D2240" s="56" t="s">
        <v>2428</v>
      </c>
      <c r="F2240" s="56" t="s">
        <v>24</v>
      </c>
      <c r="G2240" s="56">
        <v>1</v>
      </c>
      <c r="H2240" s="56">
        <v>80</v>
      </c>
      <c r="I2240" s="56">
        <v>30</v>
      </c>
      <c r="J2240" s="59" t="s">
        <v>1181</v>
      </c>
      <c r="K2240" s="59">
        <v>1</v>
      </c>
      <c r="L2240" s="59">
        <f t="shared" si="34"/>
        <v>2400</v>
      </c>
      <c r="M2240" s="59"/>
    </row>
    <row r="2241" spans="1:14" ht="30">
      <c r="A2241" s="56">
        <v>1581</v>
      </c>
      <c r="B2241" s="56">
        <v>1581</v>
      </c>
      <c r="C2241" s="56">
        <v>1581</v>
      </c>
      <c r="D2241" s="56" t="s">
        <v>1442</v>
      </c>
      <c r="F2241" s="58" t="s">
        <v>24</v>
      </c>
      <c r="G2241" s="58">
        <v>1</v>
      </c>
      <c r="H2241" s="58">
        <v>80</v>
      </c>
      <c r="I2241" s="56">
        <v>50</v>
      </c>
      <c r="J2241" s="59" t="s">
        <v>1181</v>
      </c>
      <c r="K2241" s="59">
        <v>1</v>
      </c>
      <c r="L2241" s="59">
        <f t="shared" si="34"/>
        <v>4000</v>
      </c>
      <c r="M2241" s="59"/>
      <c r="N2241" s="58"/>
    </row>
    <row r="2242" spans="1:14" ht="30">
      <c r="A2242" s="56">
        <v>1583</v>
      </c>
      <c r="B2242" s="56">
        <v>1583</v>
      </c>
      <c r="C2242" s="56">
        <v>1583</v>
      </c>
      <c r="D2242" s="56" t="s">
        <v>2769</v>
      </c>
      <c r="F2242" s="56" t="s">
        <v>24</v>
      </c>
      <c r="G2242" s="56">
        <v>1</v>
      </c>
      <c r="H2242" s="56">
        <v>80</v>
      </c>
      <c r="I2242" s="56">
        <v>50</v>
      </c>
      <c r="J2242" s="59" t="s">
        <v>1181</v>
      </c>
      <c r="K2242" s="59">
        <v>1</v>
      </c>
      <c r="L2242" s="59">
        <f t="shared" ref="L2242:L2284" si="35">H2242*I2242</f>
        <v>4000</v>
      </c>
      <c r="M2242" s="59"/>
    </row>
    <row r="2243" spans="1:14" ht="30">
      <c r="A2243" s="56">
        <v>1245</v>
      </c>
      <c r="B2243" s="56">
        <v>1245</v>
      </c>
      <c r="C2243" s="56">
        <v>1245</v>
      </c>
      <c r="D2243" s="56" t="s">
        <v>2481</v>
      </c>
      <c r="F2243" s="56" t="s">
        <v>1201</v>
      </c>
      <c r="G2243" s="56">
        <v>1</v>
      </c>
      <c r="H2243" s="56">
        <v>81</v>
      </c>
      <c r="I2243" s="56">
        <v>25</v>
      </c>
      <c r="J2243" s="59" t="s">
        <v>1181</v>
      </c>
      <c r="K2243" s="59">
        <v>1</v>
      </c>
      <c r="L2243" s="59">
        <f t="shared" si="35"/>
        <v>2025</v>
      </c>
      <c r="M2243" s="59"/>
    </row>
    <row r="2244" spans="1:14" ht="30">
      <c r="A2244" s="56">
        <v>1238</v>
      </c>
      <c r="B2244" s="56">
        <v>1238</v>
      </c>
      <c r="C2244" s="56">
        <v>1238</v>
      </c>
      <c r="D2244" s="56" t="s">
        <v>2476</v>
      </c>
      <c r="F2244" s="56" t="s">
        <v>24</v>
      </c>
      <c r="G2244" s="56">
        <v>1</v>
      </c>
      <c r="H2244" s="56">
        <v>85</v>
      </c>
      <c r="I2244" s="56">
        <v>110</v>
      </c>
      <c r="J2244" s="59" t="s">
        <v>1181</v>
      </c>
      <c r="K2244" s="59">
        <v>1</v>
      </c>
      <c r="L2244" s="59">
        <f t="shared" si="35"/>
        <v>9350</v>
      </c>
      <c r="M2244" s="59"/>
    </row>
    <row r="2245" spans="1:14" ht="30">
      <c r="A2245" s="56">
        <v>1168</v>
      </c>
      <c r="B2245" s="56">
        <v>1168</v>
      </c>
      <c r="C2245" s="56">
        <v>1168</v>
      </c>
      <c r="D2245" s="56" t="s">
        <v>2426</v>
      </c>
      <c r="F2245" s="56" t="s">
        <v>24</v>
      </c>
      <c r="G2245" s="56">
        <v>1</v>
      </c>
      <c r="H2245" s="56">
        <v>86</v>
      </c>
      <c r="I2245" s="56">
        <v>15</v>
      </c>
      <c r="J2245" s="59" t="s">
        <v>1181</v>
      </c>
      <c r="K2245" s="59">
        <v>1</v>
      </c>
      <c r="L2245" s="59">
        <f t="shared" si="35"/>
        <v>1290</v>
      </c>
      <c r="M2245" s="59"/>
    </row>
    <row r="2246" spans="1:14" ht="30">
      <c r="A2246" s="56">
        <v>1589</v>
      </c>
      <c r="B2246" s="56">
        <v>1589</v>
      </c>
      <c r="C2246" s="56">
        <v>1589</v>
      </c>
      <c r="D2246" s="56" t="s">
        <v>2775</v>
      </c>
      <c r="F2246" s="56" t="s">
        <v>24</v>
      </c>
      <c r="G2246" s="56">
        <v>1</v>
      </c>
      <c r="H2246" s="56">
        <v>91</v>
      </c>
      <c r="I2246" s="56">
        <v>45</v>
      </c>
      <c r="J2246" s="59" t="s">
        <v>1181</v>
      </c>
      <c r="K2246" s="59">
        <v>1</v>
      </c>
      <c r="L2246" s="59">
        <f t="shared" si="35"/>
        <v>4095</v>
      </c>
      <c r="M2246" s="59"/>
    </row>
    <row r="2247" spans="1:14" ht="30">
      <c r="A2247" s="56">
        <v>1748</v>
      </c>
      <c r="B2247" s="56">
        <v>1748</v>
      </c>
      <c r="C2247" s="56">
        <v>1748</v>
      </c>
      <c r="D2247" s="56" t="s">
        <v>1220</v>
      </c>
      <c r="F2247" s="58" t="s">
        <v>24</v>
      </c>
      <c r="G2247" s="58">
        <v>1</v>
      </c>
      <c r="H2247" s="58">
        <v>91</v>
      </c>
      <c r="I2247" s="56">
        <v>15</v>
      </c>
      <c r="J2247" s="59" t="s">
        <v>1181</v>
      </c>
      <c r="K2247" s="59">
        <v>1</v>
      </c>
      <c r="L2247" s="59">
        <f t="shared" si="35"/>
        <v>1365</v>
      </c>
      <c r="M2247" s="59"/>
    </row>
    <row r="2248" spans="1:14" ht="30">
      <c r="A2248" s="56">
        <v>1169</v>
      </c>
      <c r="B2248" s="56">
        <v>1169</v>
      </c>
      <c r="C2248" s="56">
        <v>1169</v>
      </c>
      <c r="D2248" s="56" t="s">
        <v>2427</v>
      </c>
      <c r="F2248" s="56" t="s">
        <v>24</v>
      </c>
      <c r="G2248" s="56">
        <v>1</v>
      </c>
      <c r="H2248" s="56">
        <v>92</v>
      </c>
      <c r="I2248" s="56">
        <v>15</v>
      </c>
      <c r="J2248" s="59" t="s">
        <v>1181</v>
      </c>
      <c r="K2248" s="59">
        <v>1</v>
      </c>
      <c r="L2248" s="59">
        <f t="shared" si="35"/>
        <v>1380</v>
      </c>
      <c r="M2248" s="59"/>
    </row>
    <row r="2249" spans="1:14" ht="30">
      <c r="A2249" s="56">
        <v>1574</v>
      </c>
      <c r="B2249" s="56">
        <v>1574</v>
      </c>
      <c r="C2249" s="56">
        <v>1574</v>
      </c>
      <c r="D2249" s="56" t="s">
        <v>1218</v>
      </c>
      <c r="F2249" s="58" t="s">
        <v>24</v>
      </c>
      <c r="G2249" s="58">
        <v>1</v>
      </c>
      <c r="H2249" s="58">
        <v>97</v>
      </c>
      <c r="I2249" s="56">
        <v>40</v>
      </c>
      <c r="J2249" s="59" t="s">
        <v>1181</v>
      </c>
      <c r="K2249" s="59">
        <v>1</v>
      </c>
      <c r="L2249" s="59">
        <f t="shared" si="35"/>
        <v>3880</v>
      </c>
      <c r="M2249" s="59"/>
      <c r="N2249" s="58"/>
    </row>
    <row r="2250" spans="1:14" ht="30">
      <c r="A2250" s="56">
        <v>583</v>
      </c>
      <c r="B2250" s="56">
        <v>583</v>
      </c>
      <c r="C2250" s="56">
        <v>583</v>
      </c>
      <c r="D2250" s="56" t="s">
        <v>2039</v>
      </c>
      <c r="F2250" s="56" t="s">
        <v>24</v>
      </c>
      <c r="G2250" s="56">
        <v>1</v>
      </c>
      <c r="H2250" s="56">
        <v>122</v>
      </c>
      <c r="I2250" s="56">
        <v>120</v>
      </c>
      <c r="J2250" s="59" t="s">
        <v>1181</v>
      </c>
      <c r="K2250" s="59">
        <v>1</v>
      </c>
      <c r="L2250" s="59">
        <f t="shared" si="35"/>
        <v>14640</v>
      </c>
      <c r="M2250" s="59"/>
    </row>
    <row r="2251" spans="1:14" ht="30">
      <c r="A2251" s="56">
        <v>1086</v>
      </c>
      <c r="B2251" s="56">
        <v>1086</v>
      </c>
      <c r="C2251" s="56">
        <v>1086</v>
      </c>
      <c r="D2251" s="56" t="s">
        <v>2360</v>
      </c>
      <c r="F2251" s="56" t="s">
        <v>24</v>
      </c>
      <c r="G2251" s="56">
        <v>1</v>
      </c>
      <c r="H2251" s="56">
        <v>138</v>
      </c>
      <c r="I2251" s="56">
        <v>15</v>
      </c>
      <c r="J2251" s="59" t="s">
        <v>1181</v>
      </c>
      <c r="K2251" s="59">
        <v>1</v>
      </c>
      <c r="L2251" s="59">
        <f t="shared" si="35"/>
        <v>2070</v>
      </c>
      <c r="M2251" s="59"/>
    </row>
    <row r="2252" spans="1:14" ht="30">
      <c r="A2252" s="56">
        <v>1602</v>
      </c>
      <c r="B2252" s="56">
        <v>1602</v>
      </c>
      <c r="C2252" s="56">
        <v>1602</v>
      </c>
      <c r="D2252" s="56" t="s">
        <v>2785</v>
      </c>
      <c r="F2252" s="56" t="s">
        <v>24</v>
      </c>
      <c r="G2252" s="56">
        <v>1</v>
      </c>
      <c r="H2252" s="56">
        <v>140</v>
      </c>
      <c r="I2252" s="56">
        <v>30</v>
      </c>
      <c r="J2252" s="59" t="s">
        <v>1181</v>
      </c>
      <c r="K2252" s="59">
        <v>1</v>
      </c>
      <c r="L2252" s="59">
        <f t="shared" si="35"/>
        <v>4200</v>
      </c>
      <c r="M2252" s="59"/>
    </row>
    <row r="2253" spans="1:14" ht="30">
      <c r="A2253" s="56">
        <v>1074</v>
      </c>
      <c r="B2253" s="56">
        <v>1074</v>
      </c>
      <c r="C2253" s="56">
        <v>1074</v>
      </c>
      <c r="D2253" s="56" t="s">
        <v>2351</v>
      </c>
      <c r="F2253" s="56" t="s">
        <v>24</v>
      </c>
      <c r="G2253" s="56">
        <v>1</v>
      </c>
      <c r="H2253" s="56">
        <v>166</v>
      </c>
      <c r="I2253" s="56">
        <v>30</v>
      </c>
      <c r="J2253" s="59" t="s">
        <v>1181</v>
      </c>
      <c r="K2253" s="59">
        <v>1</v>
      </c>
      <c r="L2253" s="59">
        <f t="shared" si="35"/>
        <v>4980</v>
      </c>
      <c r="M2253" s="59"/>
    </row>
    <row r="2254" spans="1:14" ht="30">
      <c r="A2254" s="56">
        <v>1164</v>
      </c>
      <c r="B2254" s="56">
        <v>1164</v>
      </c>
      <c r="C2254" s="56">
        <v>1164</v>
      </c>
      <c r="D2254" s="56" t="s">
        <v>1179</v>
      </c>
      <c r="F2254" s="58" t="s">
        <v>24</v>
      </c>
      <c r="G2254" s="58">
        <v>1</v>
      </c>
      <c r="H2254" s="58">
        <v>175</v>
      </c>
      <c r="I2254" s="56">
        <v>15</v>
      </c>
      <c r="J2254" s="59" t="s">
        <v>1181</v>
      </c>
      <c r="K2254" s="59">
        <v>1</v>
      </c>
      <c r="L2254" s="59">
        <f t="shared" si="35"/>
        <v>2625</v>
      </c>
      <c r="M2254" s="59"/>
      <c r="N2254" s="58"/>
    </row>
    <row r="2255" spans="1:14" ht="30">
      <c r="A2255" s="56">
        <v>1073</v>
      </c>
      <c r="B2255" s="56">
        <v>1073</v>
      </c>
      <c r="C2255" s="56">
        <v>1073</v>
      </c>
      <c r="D2255" s="56" t="s">
        <v>2350</v>
      </c>
      <c r="F2255" s="56" t="s">
        <v>24</v>
      </c>
      <c r="G2255" s="56">
        <v>1</v>
      </c>
      <c r="H2255" s="56">
        <v>229</v>
      </c>
      <c r="I2255" s="56">
        <v>32</v>
      </c>
      <c r="J2255" s="59" t="s">
        <v>1181</v>
      </c>
      <c r="K2255" s="59">
        <v>1</v>
      </c>
      <c r="L2255" s="59">
        <f t="shared" si="35"/>
        <v>7328</v>
      </c>
      <c r="M2255" s="59"/>
    </row>
    <row r="2256" spans="1:14" ht="30">
      <c r="A2256" s="56">
        <v>1089</v>
      </c>
      <c r="B2256" s="56">
        <v>1089</v>
      </c>
      <c r="C2256" s="56">
        <v>1089</v>
      </c>
      <c r="D2256" s="56" t="s">
        <v>2363</v>
      </c>
      <c r="F2256" s="56" t="s">
        <v>24</v>
      </c>
      <c r="G2256" s="56">
        <v>1</v>
      </c>
      <c r="H2256" s="56">
        <v>255</v>
      </c>
      <c r="I2256" s="56">
        <v>30</v>
      </c>
      <c r="J2256" s="59" t="s">
        <v>1181</v>
      </c>
      <c r="K2256" s="59">
        <v>1</v>
      </c>
      <c r="L2256" s="59">
        <f t="shared" si="35"/>
        <v>7650</v>
      </c>
      <c r="M2256" s="59"/>
    </row>
    <row r="2257" spans="1:13" ht="30">
      <c r="A2257" s="56">
        <v>1055</v>
      </c>
      <c r="B2257" s="56">
        <v>1055</v>
      </c>
      <c r="C2257" s="56">
        <v>1055</v>
      </c>
      <c r="D2257" s="56" t="s">
        <v>2338</v>
      </c>
      <c r="F2257" s="56" t="s">
        <v>24</v>
      </c>
      <c r="G2257" s="56">
        <v>1</v>
      </c>
      <c r="H2257" s="56">
        <v>263</v>
      </c>
      <c r="I2257" s="56">
        <v>450</v>
      </c>
      <c r="J2257" s="59" t="s">
        <v>1181</v>
      </c>
      <c r="K2257" s="59">
        <v>1</v>
      </c>
      <c r="L2257" s="59">
        <f t="shared" si="35"/>
        <v>118350</v>
      </c>
      <c r="M2257" s="59"/>
    </row>
    <row r="2258" spans="1:13" ht="30">
      <c r="A2258" s="56">
        <v>887</v>
      </c>
      <c r="B2258" s="56">
        <v>887</v>
      </c>
      <c r="C2258" s="56">
        <v>887</v>
      </c>
      <c r="D2258" s="56" t="s">
        <v>2230</v>
      </c>
      <c r="F2258" s="56" t="s">
        <v>24</v>
      </c>
      <c r="G2258" s="56">
        <v>1</v>
      </c>
      <c r="H2258" s="56">
        <v>270</v>
      </c>
      <c r="I2258" s="56">
        <v>90</v>
      </c>
      <c r="J2258" s="59" t="s">
        <v>1181</v>
      </c>
      <c r="K2258" s="59">
        <v>1</v>
      </c>
      <c r="L2258" s="59">
        <f t="shared" si="35"/>
        <v>24300</v>
      </c>
      <c r="M2258" s="59"/>
    </row>
    <row r="2259" spans="1:13" ht="30">
      <c r="A2259" s="56">
        <v>1593</v>
      </c>
      <c r="B2259" s="56">
        <v>1593</v>
      </c>
      <c r="C2259" s="56">
        <v>1593</v>
      </c>
      <c r="D2259" s="56" t="s">
        <v>2779</v>
      </c>
      <c r="F2259" s="56" t="s">
        <v>24</v>
      </c>
      <c r="G2259" s="56">
        <v>1</v>
      </c>
      <c r="H2259" s="56">
        <v>271</v>
      </c>
      <c r="I2259" s="56">
        <v>20</v>
      </c>
      <c r="J2259" s="59" t="s">
        <v>1181</v>
      </c>
      <c r="K2259" s="59">
        <v>1</v>
      </c>
      <c r="L2259" s="59">
        <f t="shared" si="35"/>
        <v>5420</v>
      </c>
      <c r="M2259" s="59"/>
    </row>
    <row r="2260" spans="1:13" ht="30">
      <c r="A2260" s="56">
        <v>6</v>
      </c>
      <c r="B2260" s="56">
        <v>6</v>
      </c>
      <c r="C2260" s="56">
        <v>6</v>
      </c>
      <c r="D2260" s="56" t="s">
        <v>1529</v>
      </c>
      <c r="F2260" s="56" t="s">
        <v>24</v>
      </c>
      <c r="G2260" s="56">
        <v>1</v>
      </c>
      <c r="I2260" s="56">
        <v>900</v>
      </c>
      <c r="J2260" s="59" t="s">
        <v>1181</v>
      </c>
      <c r="K2260" s="59">
        <v>1</v>
      </c>
      <c r="L2260" s="59">
        <f t="shared" si="35"/>
        <v>0</v>
      </c>
      <c r="M2260" s="59"/>
    </row>
    <row r="2261" spans="1:13" ht="30">
      <c r="A2261" s="56">
        <v>730</v>
      </c>
      <c r="B2261" s="56">
        <v>730</v>
      </c>
      <c r="C2261" s="56">
        <v>730</v>
      </c>
      <c r="D2261" s="56" t="s">
        <v>2173</v>
      </c>
      <c r="F2261" s="56" t="s">
        <v>24</v>
      </c>
      <c r="G2261" s="56">
        <v>1</v>
      </c>
      <c r="I2261" s="56">
        <v>600</v>
      </c>
      <c r="J2261" s="59" t="s">
        <v>1181</v>
      </c>
      <c r="K2261" s="59">
        <v>1</v>
      </c>
      <c r="L2261" s="59">
        <f t="shared" si="35"/>
        <v>0</v>
      </c>
      <c r="M2261" s="59"/>
    </row>
    <row r="2262" spans="1:13" ht="30">
      <c r="A2262" s="56">
        <v>802</v>
      </c>
      <c r="B2262" s="56">
        <v>802</v>
      </c>
      <c r="C2262" s="56">
        <v>802</v>
      </c>
      <c r="D2262" s="56" t="s">
        <v>2220</v>
      </c>
      <c r="F2262" s="56" t="s">
        <v>24</v>
      </c>
      <c r="G2262" s="56">
        <v>1</v>
      </c>
      <c r="I2262" s="56">
        <v>58.3</v>
      </c>
      <c r="J2262" s="59" t="s">
        <v>1181</v>
      </c>
      <c r="K2262" s="59">
        <v>1</v>
      </c>
      <c r="L2262" s="59">
        <f t="shared" si="35"/>
        <v>0</v>
      </c>
      <c r="M2262" s="59"/>
    </row>
    <row r="2263" spans="1:13" ht="30">
      <c r="A2263" s="56">
        <v>910</v>
      </c>
      <c r="B2263" s="56">
        <v>910</v>
      </c>
      <c r="C2263" s="56">
        <v>910</v>
      </c>
      <c r="F2263" s="56" t="s">
        <v>24</v>
      </c>
      <c r="G2263" s="56">
        <v>1</v>
      </c>
      <c r="J2263" s="59" t="s">
        <v>1181</v>
      </c>
      <c r="K2263" s="59">
        <v>1</v>
      </c>
      <c r="L2263" s="59">
        <f t="shared" si="35"/>
        <v>0</v>
      </c>
      <c r="M2263" s="59"/>
    </row>
    <row r="2264" spans="1:13" ht="30">
      <c r="A2264" s="56">
        <v>915</v>
      </c>
      <c r="B2264" s="56">
        <v>915</v>
      </c>
      <c r="C2264" s="56">
        <v>915</v>
      </c>
      <c r="F2264" s="56" t="s">
        <v>24</v>
      </c>
      <c r="G2264" s="56">
        <v>1</v>
      </c>
      <c r="J2264" s="59" t="s">
        <v>1181</v>
      </c>
      <c r="K2264" s="59">
        <v>1</v>
      </c>
      <c r="L2264" s="59">
        <f t="shared" si="35"/>
        <v>0</v>
      </c>
      <c r="M2264" s="59"/>
    </row>
    <row r="2265" spans="1:13" ht="30">
      <c r="A2265" s="56">
        <v>959</v>
      </c>
      <c r="B2265" s="56">
        <v>959</v>
      </c>
      <c r="C2265" s="56">
        <v>959</v>
      </c>
      <c r="F2265" s="56" t="s">
        <v>24</v>
      </c>
      <c r="G2265" s="56">
        <v>1</v>
      </c>
      <c r="J2265" s="59" t="s">
        <v>1181</v>
      </c>
      <c r="K2265" s="59">
        <v>1</v>
      </c>
      <c r="L2265" s="59">
        <f t="shared" si="35"/>
        <v>0</v>
      </c>
      <c r="M2265" s="59"/>
    </row>
    <row r="2266" spans="1:13" ht="30">
      <c r="A2266" s="56">
        <v>982</v>
      </c>
      <c r="B2266" s="56">
        <v>982</v>
      </c>
      <c r="C2266" s="56">
        <v>982</v>
      </c>
      <c r="F2266" s="56" t="s">
        <v>24</v>
      </c>
      <c r="G2266" s="56">
        <v>1</v>
      </c>
      <c r="J2266" s="59" t="s">
        <v>1181</v>
      </c>
      <c r="K2266" s="59">
        <v>1</v>
      </c>
      <c r="L2266" s="59">
        <f t="shared" si="35"/>
        <v>0</v>
      </c>
      <c r="M2266" s="59"/>
    </row>
    <row r="2267" spans="1:13" ht="30">
      <c r="A2267" s="56">
        <v>1010</v>
      </c>
      <c r="B2267" s="56">
        <v>1010</v>
      </c>
      <c r="C2267" s="56">
        <v>1010</v>
      </c>
      <c r="D2267" s="56" t="s">
        <v>2302</v>
      </c>
      <c r="F2267" s="56" t="s">
        <v>24</v>
      </c>
      <c r="G2267" s="56">
        <v>1</v>
      </c>
      <c r="J2267" s="59" t="s">
        <v>1181</v>
      </c>
      <c r="K2267" s="59">
        <v>1</v>
      </c>
      <c r="L2267" s="59">
        <f t="shared" si="35"/>
        <v>0</v>
      </c>
      <c r="M2267" s="59"/>
    </row>
    <row r="2268" spans="1:13" ht="30">
      <c r="A2268" s="56">
        <v>1060</v>
      </c>
      <c r="B2268" s="56">
        <v>1060</v>
      </c>
      <c r="C2268" s="56">
        <v>1060</v>
      </c>
      <c r="F2268" s="56" t="s">
        <v>24</v>
      </c>
      <c r="G2268" s="56">
        <v>1</v>
      </c>
      <c r="J2268" s="59" t="s">
        <v>1181</v>
      </c>
      <c r="K2268" s="59">
        <v>1</v>
      </c>
      <c r="L2268" s="59">
        <f t="shared" si="35"/>
        <v>0</v>
      </c>
      <c r="M2268" s="59"/>
    </row>
    <row r="2269" spans="1:13" ht="30">
      <c r="A2269" s="56">
        <v>1061</v>
      </c>
      <c r="B2269" s="56">
        <v>1061</v>
      </c>
      <c r="C2269" s="56">
        <v>1061</v>
      </c>
      <c r="F2269" s="56" t="s">
        <v>24</v>
      </c>
      <c r="G2269" s="56">
        <v>1</v>
      </c>
      <c r="J2269" s="59" t="s">
        <v>1181</v>
      </c>
      <c r="K2269" s="59">
        <v>1</v>
      </c>
      <c r="L2269" s="59">
        <f t="shared" si="35"/>
        <v>0</v>
      </c>
      <c r="M2269" s="59"/>
    </row>
    <row r="2270" spans="1:13" ht="30">
      <c r="A2270" s="56">
        <v>1091</v>
      </c>
      <c r="B2270" s="56">
        <v>1091</v>
      </c>
      <c r="C2270" s="56">
        <v>1091</v>
      </c>
      <c r="F2270" s="56" t="s">
        <v>24</v>
      </c>
      <c r="G2270" s="56">
        <v>1</v>
      </c>
      <c r="J2270" s="59" t="s">
        <v>1181</v>
      </c>
      <c r="K2270" s="59">
        <v>1</v>
      </c>
      <c r="L2270" s="59">
        <f t="shared" si="35"/>
        <v>0</v>
      </c>
      <c r="M2270" s="59"/>
    </row>
    <row r="2271" spans="1:13" ht="30">
      <c r="A2271" s="56">
        <v>1156</v>
      </c>
      <c r="B2271" s="56">
        <v>1156</v>
      </c>
      <c r="C2271" s="56">
        <v>1156</v>
      </c>
      <c r="F2271" s="56" t="s">
        <v>24</v>
      </c>
      <c r="G2271" s="56">
        <v>1</v>
      </c>
      <c r="J2271" s="59" t="s">
        <v>1181</v>
      </c>
      <c r="K2271" s="59">
        <v>1</v>
      </c>
      <c r="L2271" s="59">
        <f t="shared" si="35"/>
        <v>0</v>
      </c>
      <c r="M2271" s="59"/>
    </row>
    <row r="2272" spans="1:13" ht="30">
      <c r="A2272" s="56">
        <v>1179</v>
      </c>
      <c r="B2272" s="56">
        <v>1179</v>
      </c>
      <c r="C2272" s="56">
        <v>1179</v>
      </c>
      <c r="F2272" s="56" t="s">
        <v>24</v>
      </c>
      <c r="G2272" s="56">
        <v>1</v>
      </c>
      <c r="J2272" s="59" t="s">
        <v>1181</v>
      </c>
      <c r="K2272" s="59">
        <v>1</v>
      </c>
      <c r="L2272" s="59">
        <f t="shared" si="35"/>
        <v>0</v>
      </c>
      <c r="M2272" s="59"/>
    </row>
    <row r="2273" spans="1:13" ht="30">
      <c r="A2273" s="56">
        <v>1242</v>
      </c>
      <c r="B2273" s="56">
        <v>1242</v>
      </c>
      <c r="C2273" s="56">
        <v>1242</v>
      </c>
      <c r="F2273" s="56" t="s">
        <v>24</v>
      </c>
      <c r="G2273" s="56">
        <v>1</v>
      </c>
      <c r="J2273" s="59" t="s">
        <v>1181</v>
      </c>
      <c r="K2273" s="59">
        <v>1</v>
      </c>
      <c r="L2273" s="59">
        <f t="shared" si="35"/>
        <v>0</v>
      </c>
      <c r="M2273" s="59"/>
    </row>
    <row r="2274" spans="1:13" ht="30">
      <c r="A2274" s="56">
        <v>1505</v>
      </c>
      <c r="B2274" s="56">
        <v>1505</v>
      </c>
      <c r="C2274" s="56">
        <v>1505</v>
      </c>
      <c r="F2274" s="56" t="s">
        <v>24</v>
      </c>
      <c r="G2274" s="56">
        <v>1</v>
      </c>
      <c r="J2274" s="59" t="s">
        <v>1181</v>
      </c>
      <c r="K2274" s="59">
        <v>1</v>
      </c>
      <c r="L2274" s="59">
        <f t="shared" si="35"/>
        <v>0</v>
      </c>
      <c r="M2274" s="59"/>
    </row>
    <row r="2275" spans="1:13" ht="30">
      <c r="A2275" s="56">
        <v>1595</v>
      </c>
      <c r="B2275" s="56">
        <v>1595</v>
      </c>
      <c r="C2275" s="56">
        <v>1595</v>
      </c>
      <c r="F2275" s="56" t="s">
        <v>24</v>
      </c>
      <c r="G2275" s="56">
        <v>1</v>
      </c>
      <c r="J2275" s="59" t="s">
        <v>1181</v>
      </c>
      <c r="K2275" s="59">
        <v>1</v>
      </c>
      <c r="L2275" s="59">
        <f t="shared" si="35"/>
        <v>0</v>
      </c>
      <c r="M2275" s="59"/>
    </row>
    <row r="2276" spans="1:13" ht="30">
      <c r="A2276" s="56">
        <v>1884</v>
      </c>
      <c r="B2276" s="56">
        <v>1884</v>
      </c>
      <c r="C2276" s="56">
        <v>1884</v>
      </c>
      <c r="D2276" s="56" t="s">
        <v>3013</v>
      </c>
      <c r="F2276" s="56" t="s">
        <v>24</v>
      </c>
      <c r="G2276" s="56">
        <v>1</v>
      </c>
      <c r="I2276" s="56">
        <v>3200</v>
      </c>
      <c r="J2276" s="59" t="s">
        <v>1181</v>
      </c>
      <c r="K2276" s="59">
        <v>1</v>
      </c>
      <c r="L2276" s="59">
        <f t="shared" si="35"/>
        <v>0</v>
      </c>
      <c r="M2276" s="59"/>
    </row>
    <row r="2277" spans="1:13" ht="30">
      <c r="A2277" s="56">
        <v>1885</v>
      </c>
      <c r="B2277" s="56">
        <v>1885</v>
      </c>
      <c r="C2277" s="56">
        <v>1885</v>
      </c>
      <c r="D2277" s="56" t="s">
        <v>3014</v>
      </c>
      <c r="F2277" s="56" t="s">
        <v>24</v>
      </c>
      <c r="G2277" s="56">
        <v>1</v>
      </c>
      <c r="I2277" s="56">
        <v>3400</v>
      </c>
      <c r="J2277" s="59" t="s">
        <v>1181</v>
      </c>
      <c r="K2277" s="59">
        <v>1</v>
      </c>
      <c r="L2277" s="59">
        <f t="shared" si="35"/>
        <v>0</v>
      </c>
      <c r="M2277" s="59"/>
    </row>
    <row r="2278" spans="1:13" ht="30">
      <c r="A2278" s="56">
        <v>1886</v>
      </c>
      <c r="B2278" s="56">
        <v>1886</v>
      </c>
      <c r="C2278" s="56">
        <v>1886</v>
      </c>
      <c r="D2278" s="56" t="s">
        <v>3015</v>
      </c>
      <c r="F2278" s="56" t="s">
        <v>24</v>
      </c>
      <c r="G2278" s="56">
        <v>1</v>
      </c>
      <c r="I2278" s="56">
        <v>3400</v>
      </c>
      <c r="J2278" s="59" t="s">
        <v>1181</v>
      </c>
      <c r="K2278" s="59">
        <v>1</v>
      </c>
      <c r="L2278" s="59">
        <f t="shared" si="35"/>
        <v>0</v>
      </c>
      <c r="M2278" s="59"/>
    </row>
    <row r="2279" spans="1:13" ht="30">
      <c r="A2279" s="56">
        <v>1887</v>
      </c>
      <c r="B2279" s="56">
        <v>1887</v>
      </c>
      <c r="C2279" s="56">
        <v>1887</v>
      </c>
      <c r="D2279" s="56" t="s">
        <v>3016</v>
      </c>
      <c r="F2279" s="56" t="s">
        <v>24</v>
      </c>
      <c r="G2279" s="56">
        <v>1</v>
      </c>
      <c r="I2279" s="56">
        <v>3400</v>
      </c>
      <c r="J2279" s="59" t="s">
        <v>1181</v>
      </c>
      <c r="K2279" s="59">
        <v>1</v>
      </c>
      <c r="L2279" s="59">
        <f t="shared" si="35"/>
        <v>0</v>
      </c>
      <c r="M2279" s="59"/>
    </row>
    <row r="2280" spans="1:13" ht="30">
      <c r="A2280" s="56">
        <v>1888</v>
      </c>
      <c r="B2280" s="56">
        <v>1888</v>
      </c>
      <c r="C2280" s="56">
        <v>1888</v>
      </c>
      <c r="D2280" s="56" t="s">
        <v>3017</v>
      </c>
      <c r="F2280" s="56" t="s">
        <v>24</v>
      </c>
      <c r="G2280" s="56">
        <v>1</v>
      </c>
      <c r="I2280" s="56">
        <v>4000</v>
      </c>
      <c r="J2280" s="59" t="s">
        <v>1181</v>
      </c>
      <c r="K2280" s="59">
        <v>1</v>
      </c>
      <c r="L2280" s="59">
        <f t="shared" si="35"/>
        <v>0</v>
      </c>
      <c r="M2280" s="59"/>
    </row>
    <row r="2281" spans="1:13" ht="30">
      <c r="A2281" s="56">
        <v>1889</v>
      </c>
      <c r="B2281" s="56">
        <v>1889</v>
      </c>
      <c r="C2281" s="56">
        <v>1889</v>
      </c>
      <c r="D2281" s="56" t="s">
        <v>3018</v>
      </c>
      <c r="F2281" s="56" t="s">
        <v>24</v>
      </c>
      <c r="G2281" s="56">
        <v>1</v>
      </c>
      <c r="I2281" s="56">
        <v>4000</v>
      </c>
      <c r="J2281" s="59" t="s">
        <v>1181</v>
      </c>
      <c r="K2281" s="59">
        <v>1</v>
      </c>
      <c r="L2281" s="59">
        <f t="shared" si="35"/>
        <v>0</v>
      </c>
      <c r="M2281" s="59"/>
    </row>
    <row r="2282" spans="1:13" ht="30">
      <c r="A2282" s="56">
        <v>1890</v>
      </c>
      <c r="B2282" s="56">
        <v>1890</v>
      </c>
      <c r="C2282" s="56">
        <v>1890</v>
      </c>
      <c r="D2282" s="56" t="s">
        <v>3019</v>
      </c>
      <c r="F2282" s="56" t="s">
        <v>24</v>
      </c>
      <c r="G2282" s="56">
        <v>1</v>
      </c>
      <c r="I2282" s="56">
        <v>4500</v>
      </c>
      <c r="J2282" s="59" t="s">
        <v>1181</v>
      </c>
      <c r="K2282" s="59">
        <v>1</v>
      </c>
      <c r="L2282" s="59">
        <f t="shared" si="35"/>
        <v>0</v>
      </c>
      <c r="M2282" s="59"/>
    </row>
    <row r="2283" spans="1:13" ht="30">
      <c r="A2283" s="56">
        <v>1891</v>
      </c>
      <c r="B2283" s="56">
        <v>1891</v>
      </c>
      <c r="C2283" s="56">
        <v>1891</v>
      </c>
      <c r="D2283" s="56" t="s">
        <v>3020</v>
      </c>
      <c r="F2283" s="56" t="s">
        <v>24</v>
      </c>
      <c r="G2283" s="56">
        <v>1</v>
      </c>
      <c r="I2283" s="56">
        <v>3000</v>
      </c>
      <c r="J2283" s="59" t="s">
        <v>1181</v>
      </c>
      <c r="K2283" s="59">
        <v>1</v>
      </c>
      <c r="L2283" s="59">
        <f t="shared" si="35"/>
        <v>0</v>
      </c>
      <c r="M2283" s="59"/>
    </row>
    <row r="2284" spans="1:13" ht="30">
      <c r="A2284" s="56">
        <v>1932</v>
      </c>
      <c r="B2284" s="56">
        <v>1932</v>
      </c>
      <c r="C2284" s="56">
        <v>1932</v>
      </c>
      <c r="D2284" s="56" t="s">
        <v>3059</v>
      </c>
      <c r="F2284" s="56" t="s">
        <v>24</v>
      </c>
      <c r="G2284" s="56">
        <v>1</v>
      </c>
      <c r="I2284" s="56">
        <v>1400</v>
      </c>
      <c r="J2284" s="59" t="s">
        <v>1181</v>
      </c>
      <c r="K2284" s="59">
        <v>1</v>
      </c>
      <c r="L2284" s="59">
        <f t="shared" si="35"/>
        <v>0</v>
      </c>
      <c r="M2284" s="59"/>
    </row>
    <row r="2285" spans="1:13">
      <c r="F2285" s="58"/>
      <c r="G2285" s="58"/>
      <c r="H2285" s="58"/>
      <c r="I2285" s="63"/>
      <c r="L2285" s="64">
        <f>SUM(L6:L2284)</f>
        <v>7138614.2063333327</v>
      </c>
    </row>
    <row r="2286" spans="1:13">
      <c r="F2286" s="58"/>
      <c r="G2286" s="58"/>
      <c r="H2286" s="58"/>
    </row>
    <row r="2287" spans="1:13">
      <c r="I2287" s="56">
        <v>2244685.0606666664</v>
      </c>
    </row>
    <row r="2288" spans="1:13">
      <c r="F2288" s="58"/>
      <c r="G2288" s="58"/>
      <c r="H2288" s="58"/>
    </row>
    <row r="2291" spans="1:9">
      <c r="F2291" s="58"/>
      <c r="G2291" s="58"/>
    </row>
    <row r="2292" spans="1:9">
      <c r="A2292" s="56">
        <v>1952</v>
      </c>
    </row>
    <row r="2293" spans="1:9">
      <c r="A2293" s="56">
        <v>1953</v>
      </c>
    </row>
    <row r="2294" spans="1:9">
      <c r="A2294" s="56">
        <v>1954</v>
      </c>
    </row>
    <row r="2295" spans="1:9">
      <c r="A2295" s="56">
        <v>1955</v>
      </c>
      <c r="I2295" s="56">
        <v>2244685.0606666664</v>
      </c>
    </row>
    <row r="2296" spans="1:9">
      <c r="A2296" s="56">
        <v>1956</v>
      </c>
    </row>
  </sheetData>
  <sortState xmlns:xlrd2="http://schemas.microsoft.com/office/spreadsheetml/2017/richdata2" ref="A2:O2296">
    <sortCondition ref="H1:H22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DD0B-F27E-40D6-9F99-1EEE6FB8A386}">
  <sheetPr>
    <pageSetUpPr fitToPage="1"/>
  </sheetPr>
  <dimension ref="A1:X1149"/>
  <sheetViews>
    <sheetView showGridLines="0" showZeros="0" rightToLeft="1" zoomScale="68" zoomScaleNormal="68" workbookViewId="0">
      <pane ySplit="3" topLeftCell="A1145" activePane="bottomLeft" state="frozen"/>
      <selection pane="bottomLeft" activeCell="A27" sqref="A27:XFD1145"/>
    </sheetView>
  </sheetViews>
  <sheetFormatPr defaultColWidth="9" defaultRowHeight="26.25"/>
  <cols>
    <col min="1" max="1" width="5" style="1" customWidth="1"/>
    <col min="2" max="2" width="18" style="38" hidden="1" customWidth="1"/>
    <col min="3" max="3" width="8.42578125" style="38" hidden="1" customWidth="1"/>
    <col min="4" max="4" width="6.42578125" style="3" bestFit="1" customWidth="1"/>
    <col min="5" max="5" width="43.85546875" style="3" customWidth="1"/>
    <col min="6" max="6" width="18.140625" style="3" bestFit="1" customWidth="1"/>
    <col min="7" max="7" width="16.7109375" style="3" bestFit="1" customWidth="1"/>
    <col min="8" max="8" width="11.140625" style="40" bestFit="1" customWidth="1"/>
    <col min="9" max="9" width="16.5703125" style="40" bestFit="1" customWidth="1"/>
    <col min="10" max="10" width="14.42578125" style="40" bestFit="1" customWidth="1"/>
    <col min="11" max="11" width="14.85546875" style="40" customWidth="1"/>
    <col min="12" max="12" width="18.140625" style="40" bestFit="1" customWidth="1"/>
    <col min="13" max="13" width="12.28515625" style="40" hidden="1" customWidth="1"/>
    <col min="14" max="14" width="9.42578125" style="40" hidden="1" customWidth="1"/>
    <col min="15" max="15" width="19.42578125" style="40" bestFit="1" customWidth="1"/>
    <col min="16" max="16" width="13.42578125" style="42" customWidth="1"/>
    <col min="17" max="17" width="10.28515625" style="42" bestFit="1" customWidth="1"/>
    <col min="18" max="18" width="18.85546875" style="42" bestFit="1" customWidth="1"/>
    <col min="19" max="19" width="16.85546875" style="42" customWidth="1"/>
    <col min="20" max="20" width="18" style="40" customWidth="1"/>
    <col min="21" max="21" width="8.140625" style="40" customWidth="1"/>
    <col min="22" max="22" width="6.42578125" style="1" customWidth="1"/>
    <col min="23" max="23" width="8.7109375" style="3" customWidth="1"/>
    <col min="24" max="24" width="9.5703125" style="3" customWidth="1"/>
    <col min="25" max="16384" width="9" style="3"/>
  </cols>
  <sheetData>
    <row r="1" spans="1:24" ht="77.25" customHeight="1" thickBot="1">
      <c r="B1" s="82" t="s">
        <v>0</v>
      </c>
      <c r="C1" s="82"/>
      <c r="D1" s="82"/>
      <c r="E1" s="82"/>
      <c r="F1" s="82"/>
      <c r="G1" s="82"/>
      <c r="H1" s="82"/>
      <c r="I1" s="83">
        <f>[1]الميزانية!$F$1</f>
        <v>45638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2"/>
    </row>
    <row r="2" spans="1:24" s="6" customFormat="1" ht="27.75" customHeight="1" thickTop="1">
      <c r="A2" s="4"/>
      <c r="B2" s="84" t="s">
        <v>1</v>
      </c>
      <c r="C2" s="5"/>
      <c r="D2" s="86" t="s">
        <v>2</v>
      </c>
      <c r="E2" s="88" t="s">
        <v>3</v>
      </c>
      <c r="F2" s="90" t="s">
        <v>4</v>
      </c>
      <c r="G2" s="90" t="s">
        <v>5</v>
      </c>
      <c r="H2" s="92" t="s">
        <v>6</v>
      </c>
      <c r="I2" s="92"/>
      <c r="J2" s="92" t="s">
        <v>7</v>
      </c>
      <c r="K2" s="92"/>
      <c r="L2" s="93" t="s">
        <v>8</v>
      </c>
      <c r="M2" s="94"/>
      <c r="N2" s="94"/>
      <c r="O2" s="95"/>
      <c r="P2" s="96" t="s">
        <v>9</v>
      </c>
      <c r="Q2" s="96"/>
      <c r="R2" s="97" t="s">
        <v>10</v>
      </c>
      <c r="S2" s="98"/>
      <c r="T2" s="99" t="s">
        <v>11</v>
      </c>
      <c r="U2" s="76" t="s">
        <v>12</v>
      </c>
      <c r="V2" s="4"/>
    </row>
    <row r="3" spans="1:24" s="6" customFormat="1" ht="27" thickBot="1">
      <c r="A3" s="4"/>
      <c r="B3" s="85"/>
      <c r="C3" s="7" t="s">
        <v>13</v>
      </c>
      <c r="D3" s="87"/>
      <c r="E3" s="89"/>
      <c r="F3" s="91"/>
      <c r="G3" s="91"/>
      <c r="H3" s="8" t="s">
        <v>14</v>
      </c>
      <c r="I3" s="9" t="s">
        <v>15</v>
      </c>
      <c r="J3" s="10" t="s">
        <v>16</v>
      </c>
      <c r="K3" s="10" t="s">
        <v>17</v>
      </c>
      <c r="L3" s="54" t="s">
        <v>18</v>
      </c>
      <c r="M3" s="11" t="s">
        <v>19</v>
      </c>
      <c r="N3" s="8" t="s">
        <v>14</v>
      </c>
      <c r="O3" s="9" t="s">
        <v>20</v>
      </c>
      <c r="P3" s="12" t="s">
        <v>21</v>
      </c>
      <c r="Q3" s="12" t="s">
        <v>22</v>
      </c>
      <c r="R3" s="12" t="s">
        <v>21</v>
      </c>
      <c r="S3" s="12" t="s">
        <v>22</v>
      </c>
      <c r="T3" s="100"/>
      <c r="U3" s="77"/>
      <c r="V3" s="13">
        <v>9999</v>
      </c>
      <c r="W3" s="6" t="s">
        <v>23</v>
      </c>
      <c r="X3" s="6" t="s">
        <v>7</v>
      </c>
    </row>
    <row r="4" spans="1:24" ht="27" customHeight="1" thickTop="1">
      <c r="A4" s="14">
        <v>1</v>
      </c>
      <c r="B4" s="15"/>
      <c r="C4" s="16"/>
      <c r="D4" s="16">
        <v>1</v>
      </c>
      <c r="E4" s="16" t="s">
        <v>76</v>
      </c>
      <c r="F4" s="17" t="s">
        <v>24</v>
      </c>
      <c r="G4" s="18">
        <v>1</v>
      </c>
      <c r="H4" s="19">
        <v>4</v>
      </c>
      <c r="I4" s="19"/>
      <c r="J4" s="19">
        <v>680</v>
      </c>
      <c r="K4" s="19"/>
      <c r="L4" s="20">
        <f t="shared" ref="L4:L67" si="0">I4*G4+H4</f>
        <v>4</v>
      </c>
      <c r="M4" s="21">
        <f t="shared" ref="M4:M67" si="1">IFERROR(L4/G4,"")</f>
        <v>4</v>
      </c>
      <c r="N4" s="22">
        <f t="shared" ref="N4:N67" si="2">IF(G4=1,L4,IF(G4&gt;1,IFERROR((M4-O4)*G4,""),""))</f>
        <v>4</v>
      </c>
      <c r="O4" s="22">
        <f t="shared" ref="O4:O67" si="3">IFERROR(IF(G4=1,0,IF(G4&gt;1,ROUNDDOWN(M4,0))),"")</f>
        <v>0</v>
      </c>
      <c r="P4" s="20">
        <f t="shared" ref="P4:P67" si="4">IFERROR(K4/G4,"")</f>
        <v>0</v>
      </c>
      <c r="Q4" s="23">
        <f t="shared" ref="Q4:Q67" si="5">IFERROR(J4*G4,"")</f>
        <v>680</v>
      </c>
      <c r="R4" s="20">
        <f>IFERROR(IF(J4&gt;0,J4,IF(J4&lt;0,P4,IF(J4=0,P4))),"")</f>
        <v>680</v>
      </c>
      <c r="S4" s="20">
        <f>IFERROR(IF(K4&gt;0,K4,IF(K4&lt;0,Q4,IF(K4=0,Q4))),"")</f>
        <v>680</v>
      </c>
      <c r="T4" s="18">
        <f>IFERROR(S4*I4+R4*H4,"")</f>
        <v>2720</v>
      </c>
      <c r="U4" s="24"/>
      <c r="V4" s="25">
        <f t="shared" ref="V4:V67" si="6">B4</f>
        <v>0</v>
      </c>
      <c r="W4" s="3">
        <v>8</v>
      </c>
      <c r="X4" s="3">
        <v>600</v>
      </c>
    </row>
    <row r="5" spans="1:24" ht="29.25" customHeight="1">
      <c r="A5" s="26"/>
      <c r="B5" s="15"/>
      <c r="C5" s="16"/>
      <c r="D5" s="16">
        <v>2</v>
      </c>
      <c r="E5" s="16" t="s">
        <v>77</v>
      </c>
      <c r="F5" s="17" t="s">
        <v>24</v>
      </c>
      <c r="G5" s="18">
        <v>1</v>
      </c>
      <c r="H5" s="19">
        <v>1</v>
      </c>
      <c r="I5" s="19"/>
      <c r="J5" s="19">
        <v>2400</v>
      </c>
      <c r="K5" s="19"/>
      <c r="L5" s="20">
        <f t="shared" si="0"/>
        <v>1</v>
      </c>
      <c r="M5" s="21">
        <f t="shared" si="1"/>
        <v>1</v>
      </c>
      <c r="N5" s="22">
        <f t="shared" si="2"/>
        <v>1</v>
      </c>
      <c r="O5" s="22">
        <f t="shared" si="3"/>
        <v>0</v>
      </c>
      <c r="P5" s="20">
        <f t="shared" si="4"/>
        <v>0</v>
      </c>
      <c r="Q5" s="23">
        <f t="shared" si="5"/>
        <v>2400</v>
      </c>
      <c r="R5" s="20">
        <f t="shared" ref="R5:R68" si="7">IFERROR(IF(J5&gt;0,J5,IF(J5&lt;0,P5,IF(J5=0,P5))),"")</f>
        <v>2400</v>
      </c>
      <c r="S5" s="20">
        <f t="shared" ref="S5:S68" si="8">IFERROR(IF(K5&gt;0,K5,IF(K5&lt;0,Q5,IF(K5=0,Q5))),"")</f>
        <v>2400</v>
      </c>
      <c r="T5" s="18">
        <f t="shared" ref="T5:T68" si="9">IFERROR(S5*I5+R5*H5,"")</f>
        <v>2400</v>
      </c>
      <c r="U5" s="24"/>
      <c r="V5" s="25">
        <f t="shared" si="6"/>
        <v>0</v>
      </c>
    </row>
    <row r="6" spans="1:24" ht="24" customHeight="1">
      <c r="A6" s="26"/>
      <c r="B6" s="15"/>
      <c r="C6" s="16"/>
      <c r="D6" s="16">
        <v>3</v>
      </c>
      <c r="E6" s="16" t="s">
        <v>78</v>
      </c>
      <c r="F6" s="17" t="s">
        <v>24</v>
      </c>
      <c r="G6" s="18">
        <v>1</v>
      </c>
      <c r="H6" s="19">
        <v>2</v>
      </c>
      <c r="I6" s="19"/>
      <c r="J6" s="19">
        <v>2500</v>
      </c>
      <c r="K6" s="19"/>
      <c r="L6" s="20">
        <f t="shared" si="0"/>
        <v>2</v>
      </c>
      <c r="M6" s="21">
        <f t="shared" si="1"/>
        <v>2</v>
      </c>
      <c r="N6" s="22">
        <f t="shared" si="2"/>
        <v>2</v>
      </c>
      <c r="O6" s="22">
        <f t="shared" si="3"/>
        <v>0</v>
      </c>
      <c r="P6" s="20">
        <f t="shared" si="4"/>
        <v>0</v>
      </c>
      <c r="Q6" s="23">
        <f t="shared" si="5"/>
        <v>2500</v>
      </c>
      <c r="R6" s="20">
        <f t="shared" si="7"/>
        <v>2500</v>
      </c>
      <c r="S6" s="20">
        <f t="shared" si="8"/>
        <v>2500</v>
      </c>
      <c r="T6" s="18">
        <f t="shared" si="9"/>
        <v>5000</v>
      </c>
      <c r="U6" s="24"/>
      <c r="V6" s="25">
        <f t="shared" si="6"/>
        <v>0</v>
      </c>
      <c r="W6" s="27"/>
    </row>
    <row r="7" spans="1:24" ht="24" customHeight="1">
      <c r="A7" s="14"/>
      <c r="B7" s="15"/>
      <c r="C7" s="16"/>
      <c r="D7" s="16">
        <v>4</v>
      </c>
      <c r="E7" s="16" t="s">
        <v>43</v>
      </c>
      <c r="F7" s="17" t="s">
        <v>24</v>
      </c>
      <c r="G7" s="18">
        <v>1</v>
      </c>
      <c r="H7" s="19">
        <v>2</v>
      </c>
      <c r="I7" s="19"/>
      <c r="J7" s="19">
        <v>1000</v>
      </c>
      <c r="K7" s="19"/>
      <c r="L7" s="20">
        <f t="shared" si="0"/>
        <v>2</v>
      </c>
      <c r="M7" s="21">
        <f t="shared" si="1"/>
        <v>2</v>
      </c>
      <c r="N7" s="22">
        <f t="shared" si="2"/>
        <v>2</v>
      </c>
      <c r="O7" s="22">
        <f t="shared" si="3"/>
        <v>0</v>
      </c>
      <c r="P7" s="20">
        <f t="shared" si="4"/>
        <v>0</v>
      </c>
      <c r="Q7" s="23">
        <f t="shared" si="5"/>
        <v>1000</v>
      </c>
      <c r="R7" s="20">
        <f t="shared" si="7"/>
        <v>1000</v>
      </c>
      <c r="S7" s="20">
        <f t="shared" si="8"/>
        <v>1000</v>
      </c>
      <c r="T7" s="18">
        <f t="shared" si="9"/>
        <v>2000</v>
      </c>
      <c r="U7" s="24"/>
      <c r="V7" s="25">
        <f t="shared" si="6"/>
        <v>0</v>
      </c>
    </row>
    <row r="8" spans="1:24" ht="24" customHeight="1">
      <c r="A8" s="26"/>
      <c r="B8" s="15"/>
      <c r="C8" s="16"/>
      <c r="D8" s="16">
        <v>5</v>
      </c>
      <c r="E8" s="16" t="s">
        <v>79</v>
      </c>
      <c r="F8" s="17" t="s">
        <v>24</v>
      </c>
      <c r="G8" s="18">
        <v>1</v>
      </c>
      <c r="H8" s="19">
        <v>1</v>
      </c>
      <c r="I8" s="19"/>
      <c r="J8" s="19">
        <v>2600</v>
      </c>
      <c r="K8" s="19"/>
      <c r="L8" s="20">
        <f t="shared" si="0"/>
        <v>1</v>
      </c>
      <c r="M8" s="21">
        <f t="shared" si="1"/>
        <v>1</v>
      </c>
      <c r="N8" s="22">
        <f t="shared" si="2"/>
        <v>1</v>
      </c>
      <c r="O8" s="22">
        <f t="shared" si="3"/>
        <v>0</v>
      </c>
      <c r="P8" s="20">
        <f t="shared" si="4"/>
        <v>0</v>
      </c>
      <c r="Q8" s="23">
        <f t="shared" si="5"/>
        <v>2600</v>
      </c>
      <c r="R8" s="20">
        <f t="shared" si="7"/>
        <v>2600</v>
      </c>
      <c r="S8" s="20">
        <f t="shared" si="8"/>
        <v>2600</v>
      </c>
      <c r="T8" s="18">
        <f t="shared" si="9"/>
        <v>2600</v>
      </c>
      <c r="U8" s="24"/>
      <c r="V8" s="25">
        <f t="shared" si="6"/>
        <v>0</v>
      </c>
    </row>
    <row r="9" spans="1:24" ht="24" customHeight="1">
      <c r="A9" s="26"/>
      <c r="B9" s="15"/>
      <c r="C9" s="16"/>
      <c r="D9" s="16">
        <v>6</v>
      </c>
      <c r="E9" s="16" t="s">
        <v>38</v>
      </c>
      <c r="F9" s="17" t="s">
        <v>24</v>
      </c>
      <c r="G9" s="18">
        <v>1</v>
      </c>
      <c r="H9" s="19">
        <v>1</v>
      </c>
      <c r="I9" s="19"/>
      <c r="J9" s="19">
        <v>1100</v>
      </c>
      <c r="K9" s="19"/>
      <c r="L9" s="20">
        <f t="shared" si="0"/>
        <v>1</v>
      </c>
      <c r="M9" s="21">
        <f t="shared" si="1"/>
        <v>1</v>
      </c>
      <c r="N9" s="22">
        <f t="shared" si="2"/>
        <v>1</v>
      </c>
      <c r="O9" s="22">
        <f t="shared" si="3"/>
        <v>0</v>
      </c>
      <c r="P9" s="20">
        <f t="shared" si="4"/>
        <v>0</v>
      </c>
      <c r="Q9" s="23">
        <f t="shared" si="5"/>
        <v>1100</v>
      </c>
      <c r="R9" s="20">
        <f t="shared" si="7"/>
        <v>1100</v>
      </c>
      <c r="S9" s="20">
        <f t="shared" si="8"/>
        <v>1100</v>
      </c>
      <c r="T9" s="18">
        <f t="shared" si="9"/>
        <v>1100</v>
      </c>
      <c r="U9" s="24"/>
      <c r="V9" s="25">
        <f t="shared" si="6"/>
        <v>0</v>
      </c>
    </row>
    <row r="10" spans="1:24" ht="24" customHeight="1">
      <c r="A10" s="14"/>
      <c r="B10" s="15"/>
      <c r="C10" s="16"/>
      <c r="D10" s="16">
        <v>7</v>
      </c>
      <c r="E10" s="16" t="s">
        <v>80</v>
      </c>
      <c r="F10" s="17" t="s">
        <v>24</v>
      </c>
      <c r="G10" s="18">
        <v>1</v>
      </c>
      <c r="H10" s="19">
        <v>1</v>
      </c>
      <c r="I10" s="19"/>
      <c r="J10" s="19">
        <v>1500</v>
      </c>
      <c r="K10" s="19"/>
      <c r="L10" s="20">
        <f t="shared" si="0"/>
        <v>1</v>
      </c>
      <c r="M10" s="21">
        <f t="shared" si="1"/>
        <v>1</v>
      </c>
      <c r="N10" s="22">
        <f t="shared" si="2"/>
        <v>1</v>
      </c>
      <c r="O10" s="22">
        <f t="shared" si="3"/>
        <v>0</v>
      </c>
      <c r="P10" s="20">
        <f t="shared" si="4"/>
        <v>0</v>
      </c>
      <c r="Q10" s="23">
        <f t="shared" si="5"/>
        <v>1500</v>
      </c>
      <c r="R10" s="20">
        <f t="shared" si="7"/>
        <v>1500</v>
      </c>
      <c r="S10" s="20">
        <f t="shared" si="8"/>
        <v>1500</v>
      </c>
      <c r="T10" s="18">
        <f t="shared" si="9"/>
        <v>1500</v>
      </c>
      <c r="U10" s="24"/>
      <c r="V10" s="25">
        <f t="shared" si="6"/>
        <v>0</v>
      </c>
      <c r="W10" s="27"/>
    </row>
    <row r="11" spans="1:24" ht="24" customHeight="1">
      <c r="A11" s="26"/>
      <c r="B11" s="15"/>
      <c r="C11" s="16"/>
      <c r="D11" s="16">
        <v>8</v>
      </c>
      <c r="E11" s="16" t="s">
        <v>952</v>
      </c>
      <c r="F11" s="17" t="s">
        <v>24</v>
      </c>
      <c r="G11" s="18">
        <v>1</v>
      </c>
      <c r="H11" s="19">
        <v>1</v>
      </c>
      <c r="I11" s="19"/>
      <c r="J11" s="19">
        <v>1200</v>
      </c>
      <c r="K11" s="19"/>
      <c r="L11" s="20">
        <f t="shared" si="0"/>
        <v>1</v>
      </c>
      <c r="M11" s="21">
        <f t="shared" si="1"/>
        <v>1</v>
      </c>
      <c r="N11" s="22">
        <f t="shared" si="2"/>
        <v>1</v>
      </c>
      <c r="O11" s="22">
        <f t="shared" si="3"/>
        <v>0</v>
      </c>
      <c r="P11" s="20">
        <f t="shared" si="4"/>
        <v>0</v>
      </c>
      <c r="Q11" s="23">
        <f t="shared" si="5"/>
        <v>1200</v>
      </c>
      <c r="R11" s="20">
        <f t="shared" si="7"/>
        <v>1200</v>
      </c>
      <c r="S11" s="20">
        <f t="shared" si="8"/>
        <v>1200</v>
      </c>
      <c r="T11" s="18">
        <f t="shared" si="9"/>
        <v>1200</v>
      </c>
      <c r="U11" s="24"/>
      <c r="V11" s="25">
        <f t="shared" si="6"/>
        <v>0</v>
      </c>
      <c r="W11" s="27"/>
    </row>
    <row r="12" spans="1:24" ht="24" customHeight="1">
      <c r="A12" s="26"/>
      <c r="B12" s="15"/>
      <c r="C12" s="16"/>
      <c r="D12" s="16">
        <v>9</v>
      </c>
      <c r="E12" s="16" t="s">
        <v>39</v>
      </c>
      <c r="F12" s="17" t="s">
        <v>24</v>
      </c>
      <c r="G12" s="18">
        <v>1</v>
      </c>
      <c r="H12" s="19">
        <v>1</v>
      </c>
      <c r="I12" s="19"/>
      <c r="J12" s="19">
        <v>1400</v>
      </c>
      <c r="K12" s="19"/>
      <c r="L12" s="20">
        <f t="shared" si="0"/>
        <v>1</v>
      </c>
      <c r="M12" s="21">
        <f t="shared" si="1"/>
        <v>1</v>
      </c>
      <c r="N12" s="22">
        <f t="shared" si="2"/>
        <v>1</v>
      </c>
      <c r="O12" s="22">
        <f t="shared" si="3"/>
        <v>0</v>
      </c>
      <c r="P12" s="20">
        <f t="shared" si="4"/>
        <v>0</v>
      </c>
      <c r="Q12" s="23">
        <f t="shared" si="5"/>
        <v>1400</v>
      </c>
      <c r="R12" s="20">
        <f t="shared" si="7"/>
        <v>1400</v>
      </c>
      <c r="S12" s="20">
        <f t="shared" si="8"/>
        <v>1400</v>
      </c>
      <c r="T12" s="18">
        <f t="shared" si="9"/>
        <v>1400</v>
      </c>
      <c r="U12" s="24"/>
      <c r="V12" s="25">
        <f t="shared" si="6"/>
        <v>0</v>
      </c>
    </row>
    <row r="13" spans="1:24" ht="24" customHeight="1">
      <c r="A13" s="14"/>
      <c r="B13" s="15"/>
      <c r="C13" s="16"/>
      <c r="D13" s="16">
        <v>10</v>
      </c>
      <c r="E13" s="16" t="s">
        <v>40</v>
      </c>
      <c r="F13" s="17" t="s">
        <v>24</v>
      </c>
      <c r="G13" s="18">
        <v>1</v>
      </c>
      <c r="H13" s="19">
        <v>1</v>
      </c>
      <c r="I13" s="19"/>
      <c r="J13" s="19">
        <v>1800</v>
      </c>
      <c r="K13" s="19"/>
      <c r="L13" s="20">
        <f t="shared" si="0"/>
        <v>1</v>
      </c>
      <c r="M13" s="21">
        <f t="shared" si="1"/>
        <v>1</v>
      </c>
      <c r="N13" s="22">
        <f t="shared" si="2"/>
        <v>1</v>
      </c>
      <c r="O13" s="22">
        <f t="shared" si="3"/>
        <v>0</v>
      </c>
      <c r="P13" s="20">
        <f t="shared" si="4"/>
        <v>0</v>
      </c>
      <c r="Q13" s="23">
        <f t="shared" si="5"/>
        <v>1800</v>
      </c>
      <c r="R13" s="20">
        <f t="shared" si="7"/>
        <v>1800</v>
      </c>
      <c r="S13" s="20">
        <f t="shared" si="8"/>
        <v>1800</v>
      </c>
      <c r="T13" s="18">
        <f t="shared" si="9"/>
        <v>1800</v>
      </c>
      <c r="U13" s="24"/>
      <c r="V13" s="25">
        <f t="shared" si="6"/>
        <v>0</v>
      </c>
    </row>
    <row r="14" spans="1:24" ht="24" customHeight="1">
      <c r="A14" s="26"/>
      <c r="B14" s="15"/>
      <c r="C14" s="16"/>
      <c r="D14" s="16">
        <v>11</v>
      </c>
      <c r="E14" s="16" t="s">
        <v>81</v>
      </c>
      <c r="F14" s="17" t="s">
        <v>24</v>
      </c>
      <c r="G14" s="18">
        <v>1</v>
      </c>
      <c r="H14" s="19">
        <v>3</v>
      </c>
      <c r="I14" s="19"/>
      <c r="J14" s="19">
        <v>1230</v>
      </c>
      <c r="K14" s="19"/>
      <c r="L14" s="20">
        <f t="shared" si="0"/>
        <v>3</v>
      </c>
      <c r="M14" s="21">
        <f t="shared" si="1"/>
        <v>3</v>
      </c>
      <c r="N14" s="22">
        <f t="shared" si="2"/>
        <v>3</v>
      </c>
      <c r="O14" s="22">
        <f t="shared" si="3"/>
        <v>0</v>
      </c>
      <c r="P14" s="20">
        <f t="shared" si="4"/>
        <v>0</v>
      </c>
      <c r="Q14" s="23">
        <f t="shared" si="5"/>
        <v>1230</v>
      </c>
      <c r="R14" s="20">
        <f t="shared" si="7"/>
        <v>1230</v>
      </c>
      <c r="S14" s="20">
        <f t="shared" si="8"/>
        <v>1230</v>
      </c>
      <c r="T14" s="18">
        <f t="shared" si="9"/>
        <v>3690</v>
      </c>
      <c r="U14" s="24"/>
      <c r="V14" s="25">
        <f t="shared" si="6"/>
        <v>0</v>
      </c>
    </row>
    <row r="15" spans="1:24" ht="24" customHeight="1">
      <c r="A15" s="26"/>
      <c r="B15" s="15"/>
      <c r="C15" s="16"/>
      <c r="D15" s="16">
        <v>12</v>
      </c>
      <c r="E15" s="16" t="s">
        <v>82</v>
      </c>
      <c r="F15" s="17" t="s">
        <v>24</v>
      </c>
      <c r="G15" s="18">
        <v>1</v>
      </c>
      <c r="H15" s="19">
        <v>6</v>
      </c>
      <c r="I15" s="19"/>
      <c r="J15" s="19">
        <v>470</v>
      </c>
      <c r="K15" s="19"/>
      <c r="L15" s="20">
        <f t="shared" si="0"/>
        <v>6</v>
      </c>
      <c r="M15" s="21">
        <f t="shared" si="1"/>
        <v>6</v>
      </c>
      <c r="N15" s="22">
        <f t="shared" si="2"/>
        <v>6</v>
      </c>
      <c r="O15" s="22">
        <f t="shared" si="3"/>
        <v>0</v>
      </c>
      <c r="P15" s="20">
        <f t="shared" si="4"/>
        <v>0</v>
      </c>
      <c r="Q15" s="23">
        <f t="shared" si="5"/>
        <v>470</v>
      </c>
      <c r="R15" s="20">
        <f t="shared" si="7"/>
        <v>470</v>
      </c>
      <c r="S15" s="20">
        <f t="shared" si="8"/>
        <v>470</v>
      </c>
      <c r="T15" s="18">
        <f t="shared" si="9"/>
        <v>2820</v>
      </c>
      <c r="U15" s="24"/>
      <c r="V15" s="25">
        <f t="shared" si="6"/>
        <v>0</v>
      </c>
    </row>
    <row r="16" spans="1:24" ht="24" customHeight="1">
      <c r="A16" s="14"/>
      <c r="B16" s="15"/>
      <c r="C16" s="16"/>
      <c r="D16" s="16">
        <v>13</v>
      </c>
      <c r="E16" s="16" t="s">
        <v>83</v>
      </c>
      <c r="F16" s="17" t="s">
        <v>24</v>
      </c>
      <c r="G16" s="18">
        <v>1</v>
      </c>
      <c r="H16" s="19">
        <v>1</v>
      </c>
      <c r="I16" s="19"/>
      <c r="J16" s="19">
        <v>2200</v>
      </c>
      <c r="K16" s="19"/>
      <c r="L16" s="20">
        <f t="shared" si="0"/>
        <v>1</v>
      </c>
      <c r="M16" s="21">
        <f t="shared" si="1"/>
        <v>1</v>
      </c>
      <c r="N16" s="22">
        <f t="shared" si="2"/>
        <v>1</v>
      </c>
      <c r="O16" s="22">
        <f t="shared" si="3"/>
        <v>0</v>
      </c>
      <c r="P16" s="20">
        <f t="shared" si="4"/>
        <v>0</v>
      </c>
      <c r="Q16" s="23">
        <f t="shared" si="5"/>
        <v>2200</v>
      </c>
      <c r="R16" s="20">
        <f t="shared" si="7"/>
        <v>2200</v>
      </c>
      <c r="S16" s="20">
        <f t="shared" si="8"/>
        <v>2200</v>
      </c>
      <c r="T16" s="18">
        <f t="shared" si="9"/>
        <v>2200</v>
      </c>
      <c r="U16" s="24"/>
      <c r="V16" s="25">
        <f t="shared" si="6"/>
        <v>0</v>
      </c>
    </row>
    <row r="17" spans="1:22" ht="24" customHeight="1">
      <c r="A17" s="26"/>
      <c r="B17" s="15"/>
      <c r="C17" s="16"/>
      <c r="D17" s="16">
        <v>14</v>
      </c>
      <c r="E17" s="16" t="s">
        <v>84</v>
      </c>
      <c r="F17" s="17" t="s">
        <v>24</v>
      </c>
      <c r="G17" s="18">
        <v>1</v>
      </c>
      <c r="H17" s="19">
        <v>1</v>
      </c>
      <c r="I17" s="19"/>
      <c r="J17" s="19">
        <v>650</v>
      </c>
      <c r="K17" s="19"/>
      <c r="L17" s="20">
        <f t="shared" si="0"/>
        <v>1</v>
      </c>
      <c r="M17" s="21">
        <f t="shared" si="1"/>
        <v>1</v>
      </c>
      <c r="N17" s="22">
        <f t="shared" si="2"/>
        <v>1</v>
      </c>
      <c r="O17" s="22">
        <f t="shared" si="3"/>
        <v>0</v>
      </c>
      <c r="P17" s="20">
        <f t="shared" si="4"/>
        <v>0</v>
      </c>
      <c r="Q17" s="23">
        <f t="shared" si="5"/>
        <v>650</v>
      </c>
      <c r="R17" s="20">
        <f t="shared" si="7"/>
        <v>650</v>
      </c>
      <c r="S17" s="20">
        <f t="shared" si="8"/>
        <v>650</v>
      </c>
      <c r="T17" s="18">
        <f t="shared" si="9"/>
        <v>650</v>
      </c>
      <c r="U17" s="24"/>
      <c r="V17" s="25">
        <f t="shared" si="6"/>
        <v>0</v>
      </c>
    </row>
    <row r="18" spans="1:22" ht="24" customHeight="1">
      <c r="A18" s="26"/>
      <c r="B18" s="15"/>
      <c r="C18" s="16"/>
      <c r="D18" s="16">
        <v>15</v>
      </c>
      <c r="E18" s="16" t="s">
        <v>85</v>
      </c>
      <c r="F18" s="17" t="s">
        <v>24</v>
      </c>
      <c r="G18" s="18">
        <v>1</v>
      </c>
      <c r="H18" s="19">
        <v>3</v>
      </c>
      <c r="I18" s="19"/>
      <c r="J18" s="19">
        <v>750</v>
      </c>
      <c r="K18" s="19"/>
      <c r="L18" s="20">
        <f t="shared" si="0"/>
        <v>3</v>
      </c>
      <c r="M18" s="21">
        <f t="shared" si="1"/>
        <v>3</v>
      </c>
      <c r="N18" s="22">
        <f t="shared" si="2"/>
        <v>3</v>
      </c>
      <c r="O18" s="22">
        <f t="shared" si="3"/>
        <v>0</v>
      </c>
      <c r="P18" s="20">
        <f t="shared" si="4"/>
        <v>0</v>
      </c>
      <c r="Q18" s="23">
        <f t="shared" si="5"/>
        <v>750</v>
      </c>
      <c r="R18" s="20">
        <f t="shared" si="7"/>
        <v>750</v>
      </c>
      <c r="S18" s="20">
        <f t="shared" si="8"/>
        <v>750</v>
      </c>
      <c r="T18" s="18">
        <f t="shared" si="9"/>
        <v>2250</v>
      </c>
      <c r="U18" s="24"/>
      <c r="V18" s="25">
        <f t="shared" si="6"/>
        <v>0</v>
      </c>
    </row>
    <row r="19" spans="1:22" ht="24" customHeight="1">
      <c r="A19" s="14"/>
      <c r="B19" s="15"/>
      <c r="C19" s="16"/>
      <c r="D19" s="16">
        <v>16</v>
      </c>
      <c r="E19" s="16" t="s">
        <v>86</v>
      </c>
      <c r="F19" s="17" t="s">
        <v>24</v>
      </c>
      <c r="G19" s="18">
        <v>1</v>
      </c>
      <c r="H19" s="19">
        <v>2</v>
      </c>
      <c r="I19" s="19"/>
      <c r="J19" s="19">
        <v>2000</v>
      </c>
      <c r="K19" s="19"/>
      <c r="L19" s="20">
        <f t="shared" si="0"/>
        <v>2</v>
      </c>
      <c r="M19" s="21">
        <f t="shared" si="1"/>
        <v>2</v>
      </c>
      <c r="N19" s="22">
        <f t="shared" si="2"/>
        <v>2</v>
      </c>
      <c r="O19" s="22">
        <f t="shared" si="3"/>
        <v>0</v>
      </c>
      <c r="P19" s="20">
        <f t="shared" si="4"/>
        <v>0</v>
      </c>
      <c r="Q19" s="23">
        <f t="shared" si="5"/>
        <v>2000</v>
      </c>
      <c r="R19" s="20">
        <f t="shared" si="7"/>
        <v>2000</v>
      </c>
      <c r="S19" s="20">
        <f t="shared" si="8"/>
        <v>2000</v>
      </c>
      <c r="T19" s="18">
        <f t="shared" si="9"/>
        <v>4000</v>
      </c>
      <c r="U19" s="24"/>
      <c r="V19" s="25">
        <f t="shared" si="6"/>
        <v>0</v>
      </c>
    </row>
    <row r="20" spans="1:22" ht="24" customHeight="1">
      <c r="A20" s="26"/>
      <c r="B20" s="15"/>
      <c r="C20" s="16"/>
      <c r="D20" s="16">
        <v>17</v>
      </c>
      <c r="E20" s="16" t="s">
        <v>87</v>
      </c>
      <c r="F20" s="17" t="s">
        <v>24</v>
      </c>
      <c r="G20" s="18">
        <v>1</v>
      </c>
      <c r="H20" s="19">
        <v>3</v>
      </c>
      <c r="I20" s="19"/>
      <c r="J20" s="19">
        <v>1500</v>
      </c>
      <c r="K20" s="19"/>
      <c r="L20" s="20">
        <f t="shared" si="0"/>
        <v>3</v>
      </c>
      <c r="M20" s="21">
        <f t="shared" si="1"/>
        <v>3</v>
      </c>
      <c r="N20" s="22">
        <f t="shared" si="2"/>
        <v>3</v>
      </c>
      <c r="O20" s="22">
        <f t="shared" si="3"/>
        <v>0</v>
      </c>
      <c r="P20" s="20">
        <f t="shared" si="4"/>
        <v>0</v>
      </c>
      <c r="Q20" s="23">
        <f t="shared" si="5"/>
        <v>1500</v>
      </c>
      <c r="R20" s="20">
        <f t="shared" si="7"/>
        <v>1500</v>
      </c>
      <c r="S20" s="20">
        <f t="shared" si="8"/>
        <v>1500</v>
      </c>
      <c r="T20" s="18">
        <f t="shared" si="9"/>
        <v>4500</v>
      </c>
      <c r="U20" s="24"/>
      <c r="V20" s="25">
        <f t="shared" si="6"/>
        <v>0</v>
      </c>
    </row>
    <row r="21" spans="1:22" ht="24" customHeight="1">
      <c r="A21" s="26"/>
      <c r="B21" s="15"/>
      <c r="C21" s="16"/>
      <c r="D21" s="16">
        <v>18</v>
      </c>
      <c r="E21" s="16" t="s">
        <v>37</v>
      </c>
      <c r="F21" s="17" t="s">
        <v>24</v>
      </c>
      <c r="G21" s="18">
        <v>1</v>
      </c>
      <c r="H21" s="19">
        <v>1</v>
      </c>
      <c r="I21" s="19"/>
      <c r="J21" s="19">
        <v>1200</v>
      </c>
      <c r="K21" s="19"/>
      <c r="L21" s="20">
        <f t="shared" si="0"/>
        <v>1</v>
      </c>
      <c r="M21" s="21">
        <f t="shared" si="1"/>
        <v>1</v>
      </c>
      <c r="N21" s="22">
        <f t="shared" si="2"/>
        <v>1</v>
      </c>
      <c r="O21" s="22">
        <f t="shared" si="3"/>
        <v>0</v>
      </c>
      <c r="P21" s="20">
        <f t="shared" si="4"/>
        <v>0</v>
      </c>
      <c r="Q21" s="23">
        <f t="shared" si="5"/>
        <v>1200</v>
      </c>
      <c r="R21" s="20">
        <f t="shared" si="7"/>
        <v>1200</v>
      </c>
      <c r="S21" s="20">
        <f t="shared" si="8"/>
        <v>1200</v>
      </c>
      <c r="T21" s="18">
        <f t="shared" si="9"/>
        <v>1200</v>
      </c>
      <c r="U21" s="24"/>
      <c r="V21" s="25">
        <f t="shared" si="6"/>
        <v>0</v>
      </c>
    </row>
    <row r="22" spans="1:22" ht="24" customHeight="1">
      <c r="A22" s="14"/>
      <c r="B22" s="15"/>
      <c r="C22" s="16"/>
      <c r="D22" s="16">
        <v>19</v>
      </c>
      <c r="E22" s="16" t="s">
        <v>41</v>
      </c>
      <c r="F22" s="17" t="s">
        <v>24</v>
      </c>
      <c r="G22" s="18">
        <v>1</v>
      </c>
      <c r="H22" s="19">
        <v>1</v>
      </c>
      <c r="I22" s="19"/>
      <c r="J22" s="19">
        <v>1000</v>
      </c>
      <c r="K22" s="19"/>
      <c r="L22" s="20">
        <f t="shared" si="0"/>
        <v>1</v>
      </c>
      <c r="M22" s="21">
        <f t="shared" si="1"/>
        <v>1</v>
      </c>
      <c r="N22" s="22">
        <f t="shared" si="2"/>
        <v>1</v>
      </c>
      <c r="O22" s="22">
        <f t="shared" si="3"/>
        <v>0</v>
      </c>
      <c r="P22" s="20">
        <f t="shared" si="4"/>
        <v>0</v>
      </c>
      <c r="Q22" s="23">
        <f t="shared" si="5"/>
        <v>1000</v>
      </c>
      <c r="R22" s="20">
        <f t="shared" si="7"/>
        <v>1000</v>
      </c>
      <c r="S22" s="20">
        <f t="shared" si="8"/>
        <v>1000</v>
      </c>
      <c r="T22" s="18">
        <f t="shared" si="9"/>
        <v>1000</v>
      </c>
      <c r="U22" s="24"/>
      <c r="V22" s="25">
        <f t="shared" si="6"/>
        <v>0</v>
      </c>
    </row>
    <row r="23" spans="1:22" ht="24" customHeight="1">
      <c r="A23" s="26"/>
      <c r="B23" s="15"/>
      <c r="C23" s="16"/>
      <c r="D23" s="16">
        <v>20</v>
      </c>
      <c r="E23" s="16" t="s">
        <v>88</v>
      </c>
      <c r="F23" s="17" t="s">
        <v>24</v>
      </c>
      <c r="G23" s="18">
        <v>1</v>
      </c>
      <c r="H23" s="19">
        <v>1</v>
      </c>
      <c r="I23" s="19"/>
      <c r="J23" s="19">
        <v>1400</v>
      </c>
      <c r="K23" s="19"/>
      <c r="L23" s="20">
        <f t="shared" si="0"/>
        <v>1</v>
      </c>
      <c r="M23" s="21">
        <f t="shared" si="1"/>
        <v>1</v>
      </c>
      <c r="N23" s="22">
        <f t="shared" si="2"/>
        <v>1</v>
      </c>
      <c r="O23" s="22">
        <f t="shared" si="3"/>
        <v>0</v>
      </c>
      <c r="P23" s="20">
        <f t="shared" si="4"/>
        <v>0</v>
      </c>
      <c r="Q23" s="23">
        <f t="shared" si="5"/>
        <v>1400</v>
      </c>
      <c r="R23" s="20">
        <f t="shared" si="7"/>
        <v>1400</v>
      </c>
      <c r="S23" s="20">
        <f t="shared" si="8"/>
        <v>1400</v>
      </c>
      <c r="T23" s="18">
        <f t="shared" si="9"/>
        <v>1400</v>
      </c>
      <c r="U23" s="24"/>
      <c r="V23" s="25">
        <f t="shared" si="6"/>
        <v>0</v>
      </c>
    </row>
    <row r="24" spans="1:22" ht="24" customHeight="1">
      <c r="A24" s="26"/>
      <c r="B24" s="15"/>
      <c r="C24" s="16"/>
      <c r="D24" s="16">
        <v>21</v>
      </c>
      <c r="E24" s="16" t="s">
        <v>42</v>
      </c>
      <c r="F24" s="17" t="s">
        <v>24</v>
      </c>
      <c r="G24" s="18">
        <v>1</v>
      </c>
      <c r="H24" s="19">
        <v>1</v>
      </c>
      <c r="I24" s="19"/>
      <c r="J24" s="19">
        <v>1800</v>
      </c>
      <c r="K24" s="19"/>
      <c r="L24" s="20">
        <f t="shared" si="0"/>
        <v>1</v>
      </c>
      <c r="M24" s="21">
        <f t="shared" si="1"/>
        <v>1</v>
      </c>
      <c r="N24" s="22">
        <f t="shared" si="2"/>
        <v>1</v>
      </c>
      <c r="O24" s="22">
        <f t="shared" si="3"/>
        <v>0</v>
      </c>
      <c r="P24" s="20">
        <f t="shared" si="4"/>
        <v>0</v>
      </c>
      <c r="Q24" s="23">
        <f t="shared" si="5"/>
        <v>1800</v>
      </c>
      <c r="R24" s="20">
        <f t="shared" si="7"/>
        <v>1800</v>
      </c>
      <c r="S24" s="20">
        <f t="shared" si="8"/>
        <v>1800</v>
      </c>
      <c r="T24" s="18">
        <f t="shared" si="9"/>
        <v>1800</v>
      </c>
      <c r="U24" s="24"/>
      <c r="V24" s="25">
        <f t="shared" si="6"/>
        <v>0</v>
      </c>
    </row>
    <row r="25" spans="1:22" ht="24" customHeight="1">
      <c r="A25" s="14"/>
      <c r="B25" s="15"/>
      <c r="C25" s="16"/>
      <c r="D25" s="16">
        <v>22</v>
      </c>
      <c r="E25" s="16" t="s">
        <v>89</v>
      </c>
      <c r="F25" s="17" t="s">
        <v>24</v>
      </c>
      <c r="G25" s="18">
        <v>1</v>
      </c>
      <c r="H25" s="19">
        <v>1</v>
      </c>
      <c r="I25" s="19"/>
      <c r="J25" s="19">
        <v>1800</v>
      </c>
      <c r="K25" s="19"/>
      <c r="L25" s="20">
        <f t="shared" si="0"/>
        <v>1</v>
      </c>
      <c r="M25" s="21">
        <f t="shared" si="1"/>
        <v>1</v>
      </c>
      <c r="N25" s="22">
        <f t="shared" si="2"/>
        <v>1</v>
      </c>
      <c r="O25" s="22">
        <f t="shared" si="3"/>
        <v>0</v>
      </c>
      <c r="P25" s="20">
        <f t="shared" si="4"/>
        <v>0</v>
      </c>
      <c r="Q25" s="23">
        <f t="shared" si="5"/>
        <v>1800</v>
      </c>
      <c r="R25" s="20">
        <f t="shared" si="7"/>
        <v>1800</v>
      </c>
      <c r="S25" s="20">
        <f t="shared" si="8"/>
        <v>1800</v>
      </c>
      <c r="T25" s="18">
        <f t="shared" si="9"/>
        <v>1800</v>
      </c>
      <c r="U25" s="24"/>
      <c r="V25" s="25">
        <f t="shared" si="6"/>
        <v>0</v>
      </c>
    </row>
    <row r="26" spans="1:22" ht="24" customHeight="1">
      <c r="A26" s="26"/>
      <c r="B26" s="15"/>
      <c r="C26" s="16"/>
      <c r="D26" s="16">
        <v>23</v>
      </c>
      <c r="E26" s="16" t="s">
        <v>90</v>
      </c>
      <c r="F26" s="17" t="s">
        <v>24</v>
      </c>
      <c r="G26" s="18">
        <v>1</v>
      </c>
      <c r="H26" s="19">
        <v>1</v>
      </c>
      <c r="I26" s="19"/>
      <c r="J26" s="19">
        <v>1800</v>
      </c>
      <c r="K26" s="19"/>
      <c r="L26" s="20">
        <f t="shared" si="0"/>
        <v>1</v>
      </c>
      <c r="M26" s="21">
        <f t="shared" si="1"/>
        <v>1</v>
      </c>
      <c r="N26" s="22">
        <f t="shared" si="2"/>
        <v>1</v>
      </c>
      <c r="O26" s="22">
        <f t="shared" si="3"/>
        <v>0</v>
      </c>
      <c r="P26" s="20">
        <f t="shared" si="4"/>
        <v>0</v>
      </c>
      <c r="Q26" s="23">
        <f t="shared" si="5"/>
        <v>1800</v>
      </c>
      <c r="R26" s="20">
        <f t="shared" si="7"/>
        <v>1800</v>
      </c>
      <c r="S26" s="20">
        <f t="shared" si="8"/>
        <v>1800</v>
      </c>
      <c r="T26" s="18">
        <f t="shared" si="9"/>
        <v>1800</v>
      </c>
      <c r="U26" s="24"/>
      <c r="V26" s="25">
        <f t="shared" si="6"/>
        <v>0</v>
      </c>
    </row>
    <row r="27" spans="1:22" ht="24" customHeight="1">
      <c r="A27" s="26"/>
      <c r="B27" s="15"/>
      <c r="C27" s="16"/>
      <c r="D27" s="16">
        <v>24</v>
      </c>
      <c r="E27" s="16" t="s">
        <v>91</v>
      </c>
      <c r="F27" s="17" t="s">
        <v>24</v>
      </c>
      <c r="G27" s="18">
        <v>1</v>
      </c>
      <c r="H27" s="19">
        <v>7</v>
      </c>
      <c r="I27" s="19"/>
      <c r="J27" s="19">
        <v>407</v>
      </c>
      <c r="K27" s="19"/>
      <c r="L27" s="20">
        <f t="shared" si="0"/>
        <v>7</v>
      </c>
      <c r="M27" s="21">
        <f t="shared" si="1"/>
        <v>7</v>
      </c>
      <c r="N27" s="22">
        <f t="shared" si="2"/>
        <v>7</v>
      </c>
      <c r="O27" s="22">
        <f t="shared" si="3"/>
        <v>0</v>
      </c>
      <c r="P27" s="20">
        <f t="shared" si="4"/>
        <v>0</v>
      </c>
      <c r="Q27" s="23">
        <f t="shared" si="5"/>
        <v>407</v>
      </c>
      <c r="R27" s="20">
        <f t="shared" si="7"/>
        <v>407</v>
      </c>
      <c r="S27" s="20">
        <f t="shared" si="8"/>
        <v>407</v>
      </c>
      <c r="T27" s="18">
        <f t="shared" si="9"/>
        <v>2849</v>
      </c>
      <c r="U27" s="24"/>
      <c r="V27" s="25">
        <f t="shared" si="6"/>
        <v>0</v>
      </c>
    </row>
    <row r="28" spans="1:22" ht="24" customHeight="1">
      <c r="A28" s="14"/>
      <c r="B28" s="15"/>
      <c r="C28" s="16"/>
      <c r="D28" s="16">
        <v>25</v>
      </c>
      <c r="E28" s="16" t="s">
        <v>55</v>
      </c>
      <c r="F28" s="17" t="s">
        <v>24</v>
      </c>
      <c r="G28" s="18">
        <v>1</v>
      </c>
      <c r="H28" s="19">
        <v>1</v>
      </c>
      <c r="I28" s="19"/>
      <c r="J28" s="19">
        <v>1500</v>
      </c>
      <c r="K28" s="19"/>
      <c r="L28" s="20">
        <f t="shared" si="0"/>
        <v>1</v>
      </c>
      <c r="M28" s="21">
        <f t="shared" si="1"/>
        <v>1</v>
      </c>
      <c r="N28" s="22">
        <f t="shared" si="2"/>
        <v>1</v>
      </c>
      <c r="O28" s="22">
        <f t="shared" si="3"/>
        <v>0</v>
      </c>
      <c r="P28" s="20">
        <f t="shared" si="4"/>
        <v>0</v>
      </c>
      <c r="Q28" s="23">
        <f t="shared" si="5"/>
        <v>1500</v>
      </c>
      <c r="R28" s="20">
        <f t="shared" si="7"/>
        <v>1500</v>
      </c>
      <c r="S28" s="20">
        <f t="shared" si="8"/>
        <v>1500</v>
      </c>
      <c r="T28" s="18">
        <f t="shared" si="9"/>
        <v>1500</v>
      </c>
      <c r="U28" s="24"/>
      <c r="V28" s="25">
        <f t="shared" si="6"/>
        <v>0</v>
      </c>
    </row>
    <row r="29" spans="1:22" ht="24" customHeight="1">
      <c r="A29" s="26"/>
      <c r="B29" s="15"/>
      <c r="C29" s="16"/>
      <c r="D29" s="16">
        <v>26</v>
      </c>
      <c r="E29" s="16" t="s">
        <v>92</v>
      </c>
      <c r="F29" s="17" t="s">
        <v>24</v>
      </c>
      <c r="G29" s="18">
        <v>1</v>
      </c>
      <c r="H29" s="19">
        <v>1</v>
      </c>
      <c r="I29" s="19"/>
      <c r="J29" s="19">
        <v>750</v>
      </c>
      <c r="K29" s="19"/>
      <c r="L29" s="20">
        <f t="shared" si="0"/>
        <v>1</v>
      </c>
      <c r="M29" s="21">
        <f t="shared" si="1"/>
        <v>1</v>
      </c>
      <c r="N29" s="22">
        <f t="shared" si="2"/>
        <v>1</v>
      </c>
      <c r="O29" s="22">
        <f t="shared" si="3"/>
        <v>0</v>
      </c>
      <c r="P29" s="20">
        <f t="shared" si="4"/>
        <v>0</v>
      </c>
      <c r="Q29" s="23">
        <f t="shared" si="5"/>
        <v>750</v>
      </c>
      <c r="R29" s="20">
        <f t="shared" si="7"/>
        <v>750</v>
      </c>
      <c r="S29" s="20">
        <f t="shared" si="8"/>
        <v>750</v>
      </c>
      <c r="T29" s="18">
        <f t="shared" si="9"/>
        <v>750</v>
      </c>
      <c r="U29" s="24"/>
      <c r="V29" s="25">
        <f t="shared" si="6"/>
        <v>0</v>
      </c>
    </row>
    <row r="30" spans="1:22" ht="24" customHeight="1">
      <c r="A30" s="26"/>
      <c r="B30" s="15"/>
      <c r="C30" s="16"/>
      <c r="D30" s="16">
        <v>27</v>
      </c>
      <c r="E30" s="16" t="s">
        <v>93</v>
      </c>
      <c r="F30" s="17" t="s">
        <v>24</v>
      </c>
      <c r="G30" s="18">
        <v>1</v>
      </c>
      <c r="H30" s="19">
        <v>1</v>
      </c>
      <c r="I30" s="19"/>
      <c r="J30" s="19">
        <v>1200</v>
      </c>
      <c r="K30" s="19"/>
      <c r="L30" s="20">
        <f t="shared" si="0"/>
        <v>1</v>
      </c>
      <c r="M30" s="21">
        <f t="shared" si="1"/>
        <v>1</v>
      </c>
      <c r="N30" s="22">
        <f t="shared" si="2"/>
        <v>1</v>
      </c>
      <c r="O30" s="22">
        <f t="shared" si="3"/>
        <v>0</v>
      </c>
      <c r="P30" s="20">
        <f t="shared" si="4"/>
        <v>0</v>
      </c>
      <c r="Q30" s="23">
        <f t="shared" si="5"/>
        <v>1200</v>
      </c>
      <c r="R30" s="20">
        <f t="shared" si="7"/>
        <v>1200</v>
      </c>
      <c r="S30" s="20">
        <f t="shared" si="8"/>
        <v>1200</v>
      </c>
      <c r="T30" s="18">
        <f t="shared" si="9"/>
        <v>1200</v>
      </c>
      <c r="U30" s="24"/>
      <c r="V30" s="25">
        <f t="shared" si="6"/>
        <v>0</v>
      </c>
    </row>
    <row r="31" spans="1:22" ht="24" customHeight="1">
      <c r="A31" s="14"/>
      <c r="B31" s="15"/>
      <c r="C31" s="16"/>
      <c r="D31" s="16">
        <v>28</v>
      </c>
      <c r="E31" s="16" t="s">
        <v>94</v>
      </c>
      <c r="F31" s="17" t="s">
        <v>24</v>
      </c>
      <c r="G31" s="18">
        <v>1</v>
      </c>
      <c r="H31" s="19">
        <v>1</v>
      </c>
      <c r="I31" s="19"/>
      <c r="J31" s="19">
        <v>420</v>
      </c>
      <c r="K31" s="19"/>
      <c r="L31" s="20">
        <f t="shared" si="0"/>
        <v>1</v>
      </c>
      <c r="M31" s="21">
        <f t="shared" si="1"/>
        <v>1</v>
      </c>
      <c r="N31" s="22">
        <f t="shared" si="2"/>
        <v>1</v>
      </c>
      <c r="O31" s="22">
        <f t="shared" si="3"/>
        <v>0</v>
      </c>
      <c r="P31" s="20">
        <f t="shared" si="4"/>
        <v>0</v>
      </c>
      <c r="Q31" s="23">
        <f t="shared" si="5"/>
        <v>420</v>
      </c>
      <c r="R31" s="20">
        <f t="shared" si="7"/>
        <v>420</v>
      </c>
      <c r="S31" s="20">
        <f t="shared" si="8"/>
        <v>420</v>
      </c>
      <c r="T31" s="18">
        <f t="shared" si="9"/>
        <v>420</v>
      </c>
      <c r="U31" s="24"/>
      <c r="V31" s="25">
        <f t="shared" si="6"/>
        <v>0</v>
      </c>
    </row>
    <row r="32" spans="1:22" ht="24" customHeight="1">
      <c r="A32" s="26"/>
      <c r="B32" s="15"/>
      <c r="C32" s="16"/>
      <c r="D32" s="16">
        <v>29</v>
      </c>
      <c r="E32" s="16" t="s">
        <v>95</v>
      </c>
      <c r="F32" s="17" t="s">
        <v>24</v>
      </c>
      <c r="G32" s="18">
        <v>1</v>
      </c>
      <c r="H32" s="19">
        <v>3</v>
      </c>
      <c r="I32" s="19"/>
      <c r="J32" s="19">
        <v>430</v>
      </c>
      <c r="K32" s="19"/>
      <c r="L32" s="20">
        <f t="shared" si="0"/>
        <v>3</v>
      </c>
      <c r="M32" s="21">
        <f t="shared" si="1"/>
        <v>3</v>
      </c>
      <c r="N32" s="22">
        <f t="shared" si="2"/>
        <v>3</v>
      </c>
      <c r="O32" s="22">
        <f t="shared" si="3"/>
        <v>0</v>
      </c>
      <c r="P32" s="20">
        <f t="shared" si="4"/>
        <v>0</v>
      </c>
      <c r="Q32" s="23">
        <f t="shared" si="5"/>
        <v>430</v>
      </c>
      <c r="R32" s="20">
        <f t="shared" si="7"/>
        <v>430</v>
      </c>
      <c r="S32" s="20">
        <f t="shared" si="8"/>
        <v>430</v>
      </c>
      <c r="T32" s="18">
        <f t="shared" si="9"/>
        <v>1290</v>
      </c>
      <c r="U32" s="24"/>
      <c r="V32" s="25">
        <f t="shared" si="6"/>
        <v>0</v>
      </c>
    </row>
    <row r="33" spans="1:22" ht="24" customHeight="1">
      <c r="A33" s="26"/>
      <c r="B33" s="15"/>
      <c r="C33" s="16"/>
      <c r="D33" s="16">
        <v>30</v>
      </c>
      <c r="E33" s="16" t="s">
        <v>96</v>
      </c>
      <c r="F33" s="17" t="s">
        <v>24</v>
      </c>
      <c r="G33" s="18">
        <v>1</v>
      </c>
      <c r="H33" s="19">
        <v>2</v>
      </c>
      <c r="I33" s="19"/>
      <c r="J33" s="19">
        <v>170</v>
      </c>
      <c r="K33" s="19"/>
      <c r="L33" s="20">
        <f t="shared" si="0"/>
        <v>2</v>
      </c>
      <c r="M33" s="21">
        <f t="shared" si="1"/>
        <v>2</v>
      </c>
      <c r="N33" s="22">
        <f t="shared" si="2"/>
        <v>2</v>
      </c>
      <c r="O33" s="22">
        <f t="shared" si="3"/>
        <v>0</v>
      </c>
      <c r="P33" s="20">
        <f t="shared" si="4"/>
        <v>0</v>
      </c>
      <c r="Q33" s="23">
        <f t="shared" si="5"/>
        <v>170</v>
      </c>
      <c r="R33" s="20">
        <f t="shared" si="7"/>
        <v>170</v>
      </c>
      <c r="S33" s="20">
        <f t="shared" si="8"/>
        <v>170</v>
      </c>
      <c r="T33" s="18">
        <f t="shared" si="9"/>
        <v>340</v>
      </c>
      <c r="U33" s="24"/>
      <c r="V33" s="25">
        <f t="shared" si="6"/>
        <v>0</v>
      </c>
    </row>
    <row r="34" spans="1:22" ht="24" customHeight="1">
      <c r="A34" s="14"/>
      <c r="B34" s="15"/>
      <c r="C34" s="16"/>
      <c r="D34" s="16">
        <v>31</v>
      </c>
      <c r="E34" s="16" t="s">
        <v>97</v>
      </c>
      <c r="F34" s="17" t="s">
        <v>24</v>
      </c>
      <c r="G34" s="18">
        <v>1</v>
      </c>
      <c r="H34" s="19">
        <v>1</v>
      </c>
      <c r="I34" s="19"/>
      <c r="J34" s="19">
        <v>170</v>
      </c>
      <c r="K34" s="19"/>
      <c r="L34" s="20">
        <f t="shared" si="0"/>
        <v>1</v>
      </c>
      <c r="M34" s="21">
        <f t="shared" si="1"/>
        <v>1</v>
      </c>
      <c r="N34" s="22">
        <f t="shared" si="2"/>
        <v>1</v>
      </c>
      <c r="O34" s="22">
        <f t="shared" si="3"/>
        <v>0</v>
      </c>
      <c r="P34" s="20">
        <f t="shared" si="4"/>
        <v>0</v>
      </c>
      <c r="Q34" s="23">
        <f t="shared" si="5"/>
        <v>170</v>
      </c>
      <c r="R34" s="20">
        <f t="shared" si="7"/>
        <v>170</v>
      </c>
      <c r="S34" s="20">
        <f t="shared" si="8"/>
        <v>170</v>
      </c>
      <c r="T34" s="18">
        <f t="shared" si="9"/>
        <v>170</v>
      </c>
      <c r="U34" s="24"/>
      <c r="V34" s="25">
        <f t="shared" si="6"/>
        <v>0</v>
      </c>
    </row>
    <row r="35" spans="1:22" ht="24" customHeight="1">
      <c r="A35" s="26"/>
      <c r="B35" s="15"/>
      <c r="C35" s="16"/>
      <c r="D35" s="16">
        <v>32</v>
      </c>
      <c r="E35" s="16" t="s">
        <v>98</v>
      </c>
      <c r="F35" s="17" t="s">
        <v>24</v>
      </c>
      <c r="G35" s="18">
        <v>1</v>
      </c>
      <c r="H35" s="19">
        <v>9</v>
      </c>
      <c r="I35" s="19"/>
      <c r="J35" s="19">
        <v>180</v>
      </c>
      <c r="K35" s="19"/>
      <c r="L35" s="20">
        <f t="shared" si="0"/>
        <v>9</v>
      </c>
      <c r="M35" s="21">
        <f t="shared" si="1"/>
        <v>9</v>
      </c>
      <c r="N35" s="22">
        <f t="shared" si="2"/>
        <v>9</v>
      </c>
      <c r="O35" s="22">
        <f t="shared" si="3"/>
        <v>0</v>
      </c>
      <c r="P35" s="20">
        <f t="shared" si="4"/>
        <v>0</v>
      </c>
      <c r="Q35" s="23">
        <f t="shared" si="5"/>
        <v>180</v>
      </c>
      <c r="R35" s="20">
        <f t="shared" si="7"/>
        <v>180</v>
      </c>
      <c r="S35" s="20">
        <f t="shared" si="8"/>
        <v>180</v>
      </c>
      <c r="T35" s="18">
        <f t="shared" si="9"/>
        <v>1620</v>
      </c>
      <c r="U35" s="24"/>
      <c r="V35" s="25">
        <f t="shared" si="6"/>
        <v>0</v>
      </c>
    </row>
    <row r="36" spans="1:22" ht="24" customHeight="1">
      <c r="A36" s="26"/>
      <c r="B36" s="15"/>
      <c r="C36" s="16"/>
      <c r="D36" s="16">
        <v>33</v>
      </c>
      <c r="E36" s="43" t="s">
        <v>99</v>
      </c>
      <c r="F36" s="17" t="s">
        <v>24</v>
      </c>
      <c r="G36" s="18">
        <v>1</v>
      </c>
      <c r="H36" s="19">
        <v>4</v>
      </c>
      <c r="I36" s="19"/>
      <c r="J36" s="19">
        <v>400</v>
      </c>
      <c r="K36" s="19"/>
      <c r="L36" s="20">
        <f t="shared" si="0"/>
        <v>4</v>
      </c>
      <c r="M36" s="21">
        <f t="shared" si="1"/>
        <v>4</v>
      </c>
      <c r="N36" s="22">
        <f t="shared" si="2"/>
        <v>4</v>
      </c>
      <c r="O36" s="22">
        <f t="shared" si="3"/>
        <v>0</v>
      </c>
      <c r="P36" s="20">
        <f t="shared" si="4"/>
        <v>0</v>
      </c>
      <c r="Q36" s="23">
        <f t="shared" si="5"/>
        <v>400</v>
      </c>
      <c r="R36" s="20">
        <f t="shared" si="7"/>
        <v>400</v>
      </c>
      <c r="S36" s="20">
        <f t="shared" si="8"/>
        <v>400</v>
      </c>
      <c r="T36" s="18">
        <f t="shared" si="9"/>
        <v>1600</v>
      </c>
      <c r="U36" s="24"/>
      <c r="V36" s="25">
        <f t="shared" si="6"/>
        <v>0</v>
      </c>
    </row>
    <row r="37" spans="1:22" ht="24" customHeight="1">
      <c r="A37" s="14"/>
      <c r="B37" s="15"/>
      <c r="C37" s="16"/>
      <c r="D37" s="16">
        <v>34</v>
      </c>
      <c r="E37" s="16" t="s">
        <v>100</v>
      </c>
      <c r="F37" s="17" t="s">
        <v>24</v>
      </c>
      <c r="G37" s="18">
        <v>1</v>
      </c>
      <c r="H37" s="19">
        <v>8</v>
      </c>
      <c r="I37" s="19"/>
      <c r="J37" s="19">
        <v>120</v>
      </c>
      <c r="K37" s="19"/>
      <c r="L37" s="20">
        <f t="shared" si="0"/>
        <v>8</v>
      </c>
      <c r="M37" s="21">
        <f t="shared" si="1"/>
        <v>8</v>
      </c>
      <c r="N37" s="22">
        <f t="shared" si="2"/>
        <v>8</v>
      </c>
      <c r="O37" s="22">
        <f t="shared" si="3"/>
        <v>0</v>
      </c>
      <c r="P37" s="20">
        <f t="shared" si="4"/>
        <v>0</v>
      </c>
      <c r="Q37" s="23">
        <f t="shared" si="5"/>
        <v>120</v>
      </c>
      <c r="R37" s="20">
        <f t="shared" si="7"/>
        <v>120</v>
      </c>
      <c r="S37" s="20">
        <f t="shared" si="8"/>
        <v>120</v>
      </c>
      <c r="T37" s="18">
        <f t="shared" si="9"/>
        <v>960</v>
      </c>
      <c r="U37" s="24"/>
      <c r="V37" s="25">
        <f t="shared" si="6"/>
        <v>0</v>
      </c>
    </row>
    <row r="38" spans="1:22" ht="24" customHeight="1">
      <c r="A38" s="26"/>
      <c r="B38" s="15"/>
      <c r="C38" s="16"/>
      <c r="D38" s="16">
        <v>35</v>
      </c>
      <c r="E38" s="16" t="s">
        <v>101</v>
      </c>
      <c r="F38" s="17" t="s">
        <v>24</v>
      </c>
      <c r="G38" s="18">
        <v>100</v>
      </c>
      <c r="H38" s="19">
        <v>0</v>
      </c>
      <c r="I38" s="19">
        <v>1</v>
      </c>
      <c r="J38" s="19">
        <v>11</v>
      </c>
      <c r="K38" s="19">
        <v>1100</v>
      </c>
      <c r="L38" s="20">
        <f t="shared" si="0"/>
        <v>100</v>
      </c>
      <c r="M38" s="21">
        <f t="shared" si="1"/>
        <v>1</v>
      </c>
      <c r="N38" s="22">
        <f t="shared" si="2"/>
        <v>0</v>
      </c>
      <c r="O38" s="22">
        <f t="shared" si="3"/>
        <v>1</v>
      </c>
      <c r="P38" s="20">
        <f t="shared" si="4"/>
        <v>11</v>
      </c>
      <c r="Q38" s="23">
        <f t="shared" si="5"/>
        <v>1100</v>
      </c>
      <c r="R38" s="20">
        <f t="shared" si="7"/>
        <v>11</v>
      </c>
      <c r="S38" s="20">
        <f t="shared" si="8"/>
        <v>1100</v>
      </c>
      <c r="T38" s="18">
        <f t="shared" si="9"/>
        <v>1100</v>
      </c>
      <c r="U38" s="24"/>
      <c r="V38" s="25">
        <f t="shared" si="6"/>
        <v>0</v>
      </c>
    </row>
    <row r="39" spans="1:22" ht="24" customHeight="1">
      <c r="A39" s="26"/>
      <c r="B39" s="15"/>
      <c r="C39" s="16"/>
      <c r="D39" s="16">
        <v>36</v>
      </c>
      <c r="E39" s="16" t="s">
        <v>102</v>
      </c>
      <c r="F39" s="17" t="s">
        <v>24</v>
      </c>
      <c r="G39" s="18">
        <v>1</v>
      </c>
      <c r="H39" s="19">
        <v>2</v>
      </c>
      <c r="I39" s="19"/>
      <c r="J39" s="19">
        <v>800</v>
      </c>
      <c r="K39" s="19"/>
      <c r="L39" s="20">
        <f t="shared" si="0"/>
        <v>2</v>
      </c>
      <c r="M39" s="21">
        <f t="shared" si="1"/>
        <v>2</v>
      </c>
      <c r="N39" s="22">
        <f t="shared" si="2"/>
        <v>2</v>
      </c>
      <c r="O39" s="22">
        <f t="shared" si="3"/>
        <v>0</v>
      </c>
      <c r="P39" s="20">
        <f t="shared" si="4"/>
        <v>0</v>
      </c>
      <c r="Q39" s="23">
        <f t="shared" si="5"/>
        <v>800</v>
      </c>
      <c r="R39" s="20">
        <f t="shared" si="7"/>
        <v>800</v>
      </c>
      <c r="S39" s="20">
        <f t="shared" si="8"/>
        <v>800</v>
      </c>
      <c r="T39" s="18">
        <f t="shared" si="9"/>
        <v>1600</v>
      </c>
      <c r="U39" s="24"/>
      <c r="V39" s="25">
        <f t="shared" si="6"/>
        <v>0</v>
      </c>
    </row>
    <row r="40" spans="1:22" ht="24" customHeight="1">
      <c r="A40" s="14"/>
      <c r="B40" s="15"/>
      <c r="C40" s="16"/>
      <c r="D40" s="16">
        <v>37</v>
      </c>
      <c r="E40" s="16" t="s">
        <v>103</v>
      </c>
      <c r="F40" s="17" t="s">
        <v>24</v>
      </c>
      <c r="G40" s="18">
        <v>1</v>
      </c>
      <c r="H40" s="19">
        <v>4</v>
      </c>
      <c r="I40" s="19"/>
      <c r="J40" s="19">
        <v>1700</v>
      </c>
      <c r="K40" s="19"/>
      <c r="L40" s="20">
        <f t="shared" si="0"/>
        <v>4</v>
      </c>
      <c r="M40" s="21">
        <f t="shared" si="1"/>
        <v>4</v>
      </c>
      <c r="N40" s="22">
        <f t="shared" si="2"/>
        <v>4</v>
      </c>
      <c r="O40" s="22">
        <f t="shared" si="3"/>
        <v>0</v>
      </c>
      <c r="P40" s="20">
        <f t="shared" si="4"/>
        <v>0</v>
      </c>
      <c r="Q40" s="23">
        <f t="shared" si="5"/>
        <v>1700</v>
      </c>
      <c r="R40" s="20">
        <f t="shared" si="7"/>
        <v>1700</v>
      </c>
      <c r="S40" s="20">
        <f t="shared" si="8"/>
        <v>1700</v>
      </c>
      <c r="T40" s="18">
        <f t="shared" si="9"/>
        <v>6800</v>
      </c>
      <c r="U40" s="24"/>
      <c r="V40" s="25">
        <f t="shared" si="6"/>
        <v>0</v>
      </c>
    </row>
    <row r="41" spans="1:22" ht="24" customHeight="1">
      <c r="A41" s="26"/>
      <c r="B41" s="15"/>
      <c r="C41" s="16"/>
      <c r="D41" s="16">
        <v>38</v>
      </c>
      <c r="E41" s="16" t="s">
        <v>104</v>
      </c>
      <c r="F41" s="17" t="s">
        <v>24</v>
      </c>
      <c r="G41" s="18">
        <v>1</v>
      </c>
      <c r="H41" s="19">
        <v>39</v>
      </c>
      <c r="I41" s="19"/>
      <c r="J41" s="19">
        <v>120</v>
      </c>
      <c r="K41" s="19"/>
      <c r="L41" s="20">
        <f t="shared" si="0"/>
        <v>39</v>
      </c>
      <c r="M41" s="21">
        <f t="shared" si="1"/>
        <v>39</v>
      </c>
      <c r="N41" s="22">
        <f t="shared" si="2"/>
        <v>39</v>
      </c>
      <c r="O41" s="22">
        <f t="shared" si="3"/>
        <v>0</v>
      </c>
      <c r="P41" s="20">
        <f t="shared" si="4"/>
        <v>0</v>
      </c>
      <c r="Q41" s="23">
        <f t="shared" si="5"/>
        <v>120</v>
      </c>
      <c r="R41" s="20">
        <f t="shared" si="7"/>
        <v>120</v>
      </c>
      <c r="S41" s="20">
        <f t="shared" si="8"/>
        <v>120</v>
      </c>
      <c r="T41" s="18">
        <f t="shared" si="9"/>
        <v>4680</v>
      </c>
      <c r="U41" s="24"/>
      <c r="V41" s="25">
        <f t="shared" si="6"/>
        <v>0</v>
      </c>
    </row>
    <row r="42" spans="1:22" ht="24" customHeight="1">
      <c r="A42" s="26"/>
      <c r="B42" s="15"/>
      <c r="C42" s="16"/>
      <c r="D42" s="16">
        <v>39</v>
      </c>
      <c r="E42" s="16" t="s">
        <v>54</v>
      </c>
      <c r="F42" s="17" t="s">
        <v>24</v>
      </c>
      <c r="G42" s="18">
        <v>12</v>
      </c>
      <c r="H42" s="19"/>
      <c r="I42" s="19">
        <v>2</v>
      </c>
      <c r="J42" s="19">
        <v>150</v>
      </c>
      <c r="K42" s="19"/>
      <c r="L42" s="20">
        <f t="shared" si="0"/>
        <v>24</v>
      </c>
      <c r="M42" s="21">
        <f t="shared" si="1"/>
        <v>2</v>
      </c>
      <c r="N42" s="22">
        <f t="shared" si="2"/>
        <v>0</v>
      </c>
      <c r="O42" s="22">
        <f t="shared" si="3"/>
        <v>2</v>
      </c>
      <c r="P42" s="20">
        <f t="shared" si="4"/>
        <v>0</v>
      </c>
      <c r="Q42" s="23">
        <f t="shared" si="5"/>
        <v>1800</v>
      </c>
      <c r="R42" s="20">
        <f t="shared" si="7"/>
        <v>150</v>
      </c>
      <c r="S42" s="20">
        <f t="shared" si="8"/>
        <v>1800</v>
      </c>
      <c r="T42" s="18">
        <f t="shared" si="9"/>
        <v>3600</v>
      </c>
      <c r="U42" s="24"/>
      <c r="V42" s="25">
        <f t="shared" si="6"/>
        <v>0</v>
      </c>
    </row>
    <row r="43" spans="1:22" ht="24" customHeight="1">
      <c r="A43" s="14"/>
      <c r="B43" s="15"/>
      <c r="C43" s="16"/>
      <c r="D43" s="16">
        <v>40</v>
      </c>
      <c r="E43" s="16" t="s">
        <v>105</v>
      </c>
      <c r="F43" s="17" t="s">
        <v>24</v>
      </c>
      <c r="G43" s="18">
        <v>10</v>
      </c>
      <c r="H43" s="19">
        <v>1</v>
      </c>
      <c r="I43" s="19"/>
      <c r="J43" s="19">
        <v>140</v>
      </c>
      <c r="K43" s="19"/>
      <c r="L43" s="20">
        <f t="shared" si="0"/>
        <v>1</v>
      </c>
      <c r="M43" s="21">
        <f t="shared" si="1"/>
        <v>0.1</v>
      </c>
      <c r="N43" s="22">
        <f t="shared" si="2"/>
        <v>1</v>
      </c>
      <c r="O43" s="22">
        <f t="shared" si="3"/>
        <v>0</v>
      </c>
      <c r="P43" s="20">
        <f t="shared" si="4"/>
        <v>0</v>
      </c>
      <c r="Q43" s="23">
        <f t="shared" si="5"/>
        <v>1400</v>
      </c>
      <c r="R43" s="20">
        <f t="shared" si="7"/>
        <v>140</v>
      </c>
      <c r="S43" s="20">
        <f t="shared" si="8"/>
        <v>1400</v>
      </c>
      <c r="T43" s="18">
        <f t="shared" si="9"/>
        <v>140</v>
      </c>
      <c r="U43" s="24"/>
      <c r="V43" s="25">
        <f t="shared" si="6"/>
        <v>0</v>
      </c>
    </row>
    <row r="44" spans="1:22" ht="24" customHeight="1">
      <c r="A44" s="26"/>
      <c r="B44" s="15"/>
      <c r="C44" s="16"/>
      <c r="D44" s="16">
        <v>41</v>
      </c>
      <c r="E44" s="16" t="s">
        <v>106</v>
      </c>
      <c r="F44" s="17" t="s">
        <v>24</v>
      </c>
      <c r="G44" s="18">
        <v>1</v>
      </c>
      <c r="H44" s="19">
        <v>6</v>
      </c>
      <c r="I44" s="19"/>
      <c r="J44" s="19">
        <v>92</v>
      </c>
      <c r="K44" s="19"/>
      <c r="L44" s="20">
        <f t="shared" si="0"/>
        <v>6</v>
      </c>
      <c r="M44" s="21">
        <f t="shared" si="1"/>
        <v>6</v>
      </c>
      <c r="N44" s="22">
        <f t="shared" si="2"/>
        <v>6</v>
      </c>
      <c r="O44" s="22">
        <f t="shared" si="3"/>
        <v>0</v>
      </c>
      <c r="P44" s="20">
        <f t="shared" si="4"/>
        <v>0</v>
      </c>
      <c r="Q44" s="23">
        <f t="shared" si="5"/>
        <v>92</v>
      </c>
      <c r="R44" s="20">
        <f t="shared" si="7"/>
        <v>92</v>
      </c>
      <c r="S44" s="20">
        <f t="shared" si="8"/>
        <v>92</v>
      </c>
      <c r="T44" s="18">
        <f t="shared" si="9"/>
        <v>552</v>
      </c>
      <c r="U44" s="24"/>
      <c r="V44" s="25">
        <f t="shared" si="6"/>
        <v>0</v>
      </c>
    </row>
    <row r="45" spans="1:22" ht="24" customHeight="1">
      <c r="A45" s="26"/>
      <c r="B45" s="15"/>
      <c r="C45" s="16"/>
      <c r="D45" s="16">
        <v>42</v>
      </c>
      <c r="E45" s="16" t="s">
        <v>107</v>
      </c>
      <c r="F45" s="17" t="s">
        <v>24</v>
      </c>
      <c r="G45" s="18">
        <v>1</v>
      </c>
      <c r="H45" s="19">
        <v>5</v>
      </c>
      <c r="I45" s="19"/>
      <c r="J45" s="19">
        <v>170</v>
      </c>
      <c r="K45" s="19"/>
      <c r="L45" s="20">
        <f t="shared" si="0"/>
        <v>5</v>
      </c>
      <c r="M45" s="21">
        <f t="shared" si="1"/>
        <v>5</v>
      </c>
      <c r="N45" s="22">
        <f t="shared" si="2"/>
        <v>5</v>
      </c>
      <c r="O45" s="22">
        <f t="shared" si="3"/>
        <v>0</v>
      </c>
      <c r="P45" s="20">
        <f t="shared" si="4"/>
        <v>0</v>
      </c>
      <c r="Q45" s="23">
        <f t="shared" si="5"/>
        <v>170</v>
      </c>
      <c r="R45" s="20">
        <f t="shared" si="7"/>
        <v>170</v>
      </c>
      <c r="S45" s="20">
        <f t="shared" si="8"/>
        <v>170</v>
      </c>
      <c r="T45" s="18">
        <f t="shared" si="9"/>
        <v>850</v>
      </c>
      <c r="U45" s="24"/>
      <c r="V45" s="25">
        <f t="shared" si="6"/>
        <v>0</v>
      </c>
    </row>
    <row r="46" spans="1:22" ht="24" customHeight="1">
      <c r="A46" s="14"/>
      <c r="B46" s="15"/>
      <c r="C46" s="16"/>
      <c r="D46" s="16">
        <v>43</v>
      </c>
      <c r="E46" s="16" t="s">
        <v>108</v>
      </c>
      <c r="F46" s="17" t="s">
        <v>24</v>
      </c>
      <c r="G46" s="18">
        <v>1</v>
      </c>
      <c r="H46" s="19">
        <v>2</v>
      </c>
      <c r="I46" s="19"/>
      <c r="J46" s="19">
        <v>800</v>
      </c>
      <c r="K46" s="19"/>
      <c r="L46" s="20">
        <f t="shared" si="0"/>
        <v>2</v>
      </c>
      <c r="M46" s="21">
        <f t="shared" si="1"/>
        <v>2</v>
      </c>
      <c r="N46" s="22">
        <f t="shared" si="2"/>
        <v>2</v>
      </c>
      <c r="O46" s="22">
        <f t="shared" si="3"/>
        <v>0</v>
      </c>
      <c r="P46" s="20">
        <f t="shared" si="4"/>
        <v>0</v>
      </c>
      <c r="Q46" s="23">
        <f t="shared" si="5"/>
        <v>800</v>
      </c>
      <c r="R46" s="20">
        <f t="shared" si="7"/>
        <v>800</v>
      </c>
      <c r="S46" s="20">
        <f t="shared" si="8"/>
        <v>800</v>
      </c>
      <c r="T46" s="18">
        <f t="shared" si="9"/>
        <v>1600</v>
      </c>
      <c r="U46" s="24"/>
      <c r="V46" s="25">
        <f t="shared" si="6"/>
        <v>0</v>
      </c>
    </row>
    <row r="47" spans="1:22" ht="24" customHeight="1">
      <c r="A47" s="26"/>
      <c r="B47" s="15"/>
      <c r="C47" s="16"/>
      <c r="D47" s="16">
        <v>44</v>
      </c>
      <c r="E47" s="16" t="s">
        <v>109</v>
      </c>
      <c r="F47" s="17" t="s">
        <v>24</v>
      </c>
      <c r="G47" s="18">
        <v>1</v>
      </c>
      <c r="H47" s="19">
        <v>4</v>
      </c>
      <c r="I47" s="19"/>
      <c r="J47" s="19">
        <v>2450</v>
      </c>
      <c r="K47" s="19"/>
      <c r="L47" s="20">
        <f t="shared" si="0"/>
        <v>4</v>
      </c>
      <c r="M47" s="21">
        <f t="shared" si="1"/>
        <v>4</v>
      </c>
      <c r="N47" s="22">
        <f t="shared" si="2"/>
        <v>4</v>
      </c>
      <c r="O47" s="22">
        <f t="shared" si="3"/>
        <v>0</v>
      </c>
      <c r="P47" s="20">
        <f t="shared" si="4"/>
        <v>0</v>
      </c>
      <c r="Q47" s="23">
        <f t="shared" si="5"/>
        <v>2450</v>
      </c>
      <c r="R47" s="20">
        <f t="shared" si="7"/>
        <v>2450</v>
      </c>
      <c r="S47" s="20">
        <f t="shared" si="8"/>
        <v>2450</v>
      </c>
      <c r="T47" s="18">
        <f t="shared" si="9"/>
        <v>9800</v>
      </c>
      <c r="U47" s="24"/>
      <c r="V47" s="25">
        <f t="shared" si="6"/>
        <v>0</v>
      </c>
    </row>
    <row r="48" spans="1:22" ht="24" customHeight="1">
      <c r="A48" s="26"/>
      <c r="B48" s="15"/>
      <c r="C48" s="16"/>
      <c r="D48" s="16">
        <v>45</v>
      </c>
      <c r="E48" s="16" t="s">
        <v>110</v>
      </c>
      <c r="F48" s="17" t="s">
        <v>24</v>
      </c>
      <c r="G48" s="18">
        <v>1</v>
      </c>
      <c r="H48" s="19">
        <v>3</v>
      </c>
      <c r="I48" s="19"/>
      <c r="J48" s="19">
        <v>375</v>
      </c>
      <c r="K48" s="19"/>
      <c r="L48" s="20">
        <f t="shared" si="0"/>
        <v>3</v>
      </c>
      <c r="M48" s="21">
        <f t="shared" si="1"/>
        <v>3</v>
      </c>
      <c r="N48" s="22">
        <f t="shared" si="2"/>
        <v>3</v>
      </c>
      <c r="O48" s="22">
        <f t="shared" si="3"/>
        <v>0</v>
      </c>
      <c r="P48" s="20">
        <f t="shared" si="4"/>
        <v>0</v>
      </c>
      <c r="Q48" s="23">
        <f t="shared" si="5"/>
        <v>375</v>
      </c>
      <c r="R48" s="20">
        <f t="shared" si="7"/>
        <v>375</v>
      </c>
      <c r="S48" s="20">
        <f t="shared" si="8"/>
        <v>375</v>
      </c>
      <c r="T48" s="18">
        <f t="shared" si="9"/>
        <v>1125</v>
      </c>
      <c r="U48" s="24"/>
      <c r="V48" s="25">
        <f t="shared" si="6"/>
        <v>0</v>
      </c>
    </row>
    <row r="49" spans="1:22" ht="24" customHeight="1">
      <c r="A49" s="14"/>
      <c r="B49" s="15"/>
      <c r="C49" s="16"/>
      <c r="D49" s="16">
        <v>46</v>
      </c>
      <c r="E49" s="43" t="s">
        <v>111</v>
      </c>
      <c r="F49" s="17" t="s">
        <v>24</v>
      </c>
      <c r="G49" s="18">
        <v>1</v>
      </c>
      <c r="H49" s="19">
        <v>1</v>
      </c>
      <c r="I49" s="19"/>
      <c r="J49" s="19">
        <v>420</v>
      </c>
      <c r="K49" s="19"/>
      <c r="L49" s="20">
        <f t="shared" si="0"/>
        <v>1</v>
      </c>
      <c r="M49" s="21">
        <f t="shared" si="1"/>
        <v>1</v>
      </c>
      <c r="N49" s="22">
        <f t="shared" si="2"/>
        <v>1</v>
      </c>
      <c r="O49" s="22">
        <f t="shared" si="3"/>
        <v>0</v>
      </c>
      <c r="P49" s="20">
        <f t="shared" si="4"/>
        <v>0</v>
      </c>
      <c r="Q49" s="23">
        <f t="shared" si="5"/>
        <v>420</v>
      </c>
      <c r="R49" s="20">
        <f t="shared" si="7"/>
        <v>420</v>
      </c>
      <c r="S49" s="20">
        <f t="shared" si="8"/>
        <v>420</v>
      </c>
      <c r="T49" s="18">
        <f t="shared" si="9"/>
        <v>420</v>
      </c>
      <c r="U49" s="24" t="s">
        <v>152</v>
      </c>
      <c r="V49" s="25">
        <f t="shared" si="6"/>
        <v>0</v>
      </c>
    </row>
    <row r="50" spans="1:22" ht="24" customHeight="1">
      <c r="A50" s="26"/>
      <c r="B50" s="15"/>
      <c r="C50" s="16"/>
      <c r="D50" s="16">
        <v>47</v>
      </c>
      <c r="E50" s="43" t="s">
        <v>112</v>
      </c>
      <c r="F50" s="17" t="s">
        <v>24</v>
      </c>
      <c r="G50" s="18">
        <v>1</v>
      </c>
      <c r="H50" s="19">
        <v>2</v>
      </c>
      <c r="I50" s="19"/>
      <c r="J50" s="19">
        <v>1250</v>
      </c>
      <c r="K50" s="19"/>
      <c r="L50" s="20">
        <f t="shared" si="0"/>
        <v>2</v>
      </c>
      <c r="M50" s="21">
        <f t="shared" si="1"/>
        <v>2</v>
      </c>
      <c r="N50" s="22">
        <f t="shared" si="2"/>
        <v>2</v>
      </c>
      <c r="O50" s="22">
        <f t="shared" si="3"/>
        <v>0</v>
      </c>
      <c r="P50" s="20">
        <f t="shared" si="4"/>
        <v>0</v>
      </c>
      <c r="Q50" s="23">
        <f t="shared" si="5"/>
        <v>1250</v>
      </c>
      <c r="R50" s="20">
        <f t="shared" si="7"/>
        <v>1250</v>
      </c>
      <c r="S50" s="20">
        <f t="shared" si="8"/>
        <v>1250</v>
      </c>
      <c r="T50" s="18">
        <f t="shared" si="9"/>
        <v>2500</v>
      </c>
      <c r="U50" s="24" t="s">
        <v>152</v>
      </c>
      <c r="V50" s="25">
        <f t="shared" si="6"/>
        <v>0</v>
      </c>
    </row>
    <row r="51" spans="1:22" ht="24" customHeight="1">
      <c r="A51" s="26"/>
      <c r="B51" s="15"/>
      <c r="C51" s="16"/>
      <c r="D51" s="16">
        <v>48</v>
      </c>
      <c r="E51" s="16" t="s">
        <v>113</v>
      </c>
      <c r="F51" s="17" t="s">
        <v>24</v>
      </c>
      <c r="G51" s="18">
        <v>1</v>
      </c>
      <c r="H51" s="19">
        <v>2</v>
      </c>
      <c r="I51" s="19"/>
      <c r="J51" s="19">
        <v>750</v>
      </c>
      <c r="K51" s="19"/>
      <c r="L51" s="20">
        <f t="shared" si="0"/>
        <v>2</v>
      </c>
      <c r="M51" s="21">
        <f t="shared" si="1"/>
        <v>2</v>
      </c>
      <c r="N51" s="22">
        <f t="shared" si="2"/>
        <v>2</v>
      </c>
      <c r="O51" s="22">
        <f t="shared" si="3"/>
        <v>0</v>
      </c>
      <c r="P51" s="20">
        <f t="shared" si="4"/>
        <v>0</v>
      </c>
      <c r="Q51" s="23">
        <f t="shared" si="5"/>
        <v>750</v>
      </c>
      <c r="R51" s="20">
        <f t="shared" si="7"/>
        <v>750</v>
      </c>
      <c r="S51" s="20">
        <f t="shared" si="8"/>
        <v>750</v>
      </c>
      <c r="T51" s="18">
        <f t="shared" si="9"/>
        <v>1500</v>
      </c>
      <c r="U51" s="24"/>
      <c r="V51" s="25">
        <f t="shared" si="6"/>
        <v>0</v>
      </c>
    </row>
    <row r="52" spans="1:22" ht="24" customHeight="1">
      <c r="A52" s="14"/>
      <c r="B52" s="15"/>
      <c r="C52" s="16"/>
      <c r="D52" s="16">
        <v>49</v>
      </c>
      <c r="E52" s="46" t="s">
        <v>114</v>
      </c>
      <c r="F52" s="17" t="s">
        <v>24</v>
      </c>
      <c r="G52" s="18">
        <v>1</v>
      </c>
      <c r="H52" s="19">
        <v>7</v>
      </c>
      <c r="I52" s="19"/>
      <c r="J52" s="19">
        <v>850</v>
      </c>
      <c r="K52" s="19"/>
      <c r="L52" s="20">
        <f t="shared" si="0"/>
        <v>7</v>
      </c>
      <c r="M52" s="21">
        <f t="shared" si="1"/>
        <v>7</v>
      </c>
      <c r="N52" s="22">
        <f t="shared" si="2"/>
        <v>7</v>
      </c>
      <c r="O52" s="22">
        <f t="shared" si="3"/>
        <v>0</v>
      </c>
      <c r="P52" s="20">
        <f t="shared" si="4"/>
        <v>0</v>
      </c>
      <c r="Q52" s="23">
        <f t="shared" si="5"/>
        <v>850</v>
      </c>
      <c r="R52" s="20">
        <f t="shared" si="7"/>
        <v>850</v>
      </c>
      <c r="S52" s="20">
        <f t="shared" si="8"/>
        <v>850</v>
      </c>
      <c r="T52" s="18">
        <f t="shared" si="9"/>
        <v>5950</v>
      </c>
      <c r="U52" s="24" t="s">
        <v>152</v>
      </c>
      <c r="V52" s="25">
        <f t="shared" si="6"/>
        <v>0</v>
      </c>
    </row>
    <row r="53" spans="1:22" ht="24" customHeight="1">
      <c r="A53" s="26"/>
      <c r="B53" s="15"/>
      <c r="C53" s="16"/>
      <c r="D53" s="16">
        <v>50</v>
      </c>
      <c r="E53" s="16" t="s">
        <v>115</v>
      </c>
      <c r="F53" s="17" t="s">
        <v>24</v>
      </c>
      <c r="G53" s="18">
        <v>1</v>
      </c>
      <c r="H53" s="19">
        <v>2</v>
      </c>
      <c r="I53" s="19"/>
      <c r="J53" s="19">
        <v>1600</v>
      </c>
      <c r="K53" s="19"/>
      <c r="L53" s="20">
        <f t="shared" si="0"/>
        <v>2</v>
      </c>
      <c r="M53" s="21">
        <f t="shared" si="1"/>
        <v>2</v>
      </c>
      <c r="N53" s="22">
        <f t="shared" si="2"/>
        <v>2</v>
      </c>
      <c r="O53" s="22">
        <f t="shared" si="3"/>
        <v>0</v>
      </c>
      <c r="P53" s="20">
        <f t="shared" si="4"/>
        <v>0</v>
      </c>
      <c r="Q53" s="23">
        <f t="shared" si="5"/>
        <v>1600</v>
      </c>
      <c r="R53" s="20">
        <f t="shared" si="7"/>
        <v>1600</v>
      </c>
      <c r="S53" s="20">
        <f t="shared" si="8"/>
        <v>1600</v>
      </c>
      <c r="T53" s="18">
        <f t="shared" si="9"/>
        <v>3200</v>
      </c>
      <c r="U53" s="24"/>
      <c r="V53" s="25">
        <f t="shared" si="6"/>
        <v>0</v>
      </c>
    </row>
    <row r="54" spans="1:22" ht="24" customHeight="1">
      <c r="A54" s="26"/>
      <c r="B54" s="15"/>
      <c r="C54" s="16"/>
      <c r="D54" s="16">
        <v>51</v>
      </c>
      <c r="E54" s="16" t="s">
        <v>116</v>
      </c>
      <c r="F54" s="17" t="s">
        <v>24</v>
      </c>
      <c r="G54" s="18">
        <v>1</v>
      </c>
      <c r="H54" s="19">
        <v>4</v>
      </c>
      <c r="I54" s="19"/>
      <c r="J54" s="19">
        <v>540</v>
      </c>
      <c r="K54" s="19"/>
      <c r="L54" s="20">
        <f t="shared" si="0"/>
        <v>4</v>
      </c>
      <c r="M54" s="21">
        <f t="shared" si="1"/>
        <v>4</v>
      </c>
      <c r="N54" s="22">
        <f t="shared" si="2"/>
        <v>4</v>
      </c>
      <c r="O54" s="22">
        <f t="shared" si="3"/>
        <v>0</v>
      </c>
      <c r="P54" s="20">
        <f t="shared" si="4"/>
        <v>0</v>
      </c>
      <c r="Q54" s="23">
        <f t="shared" si="5"/>
        <v>540</v>
      </c>
      <c r="R54" s="20">
        <f t="shared" si="7"/>
        <v>540</v>
      </c>
      <c r="S54" s="20">
        <f t="shared" si="8"/>
        <v>540</v>
      </c>
      <c r="T54" s="18">
        <f t="shared" si="9"/>
        <v>2160</v>
      </c>
      <c r="U54" s="24"/>
      <c r="V54" s="25">
        <f t="shared" si="6"/>
        <v>0</v>
      </c>
    </row>
    <row r="55" spans="1:22" ht="24" customHeight="1">
      <c r="A55" s="14"/>
      <c r="B55" s="15"/>
      <c r="C55" s="16"/>
      <c r="D55" s="16">
        <v>52</v>
      </c>
      <c r="E55" s="16" t="s">
        <v>117</v>
      </c>
      <c r="F55" s="17" t="s">
        <v>24</v>
      </c>
      <c r="G55" s="18">
        <v>1</v>
      </c>
      <c r="H55" s="19">
        <v>4</v>
      </c>
      <c r="I55" s="19"/>
      <c r="J55" s="19">
        <v>420</v>
      </c>
      <c r="K55" s="19"/>
      <c r="L55" s="20">
        <f t="shared" si="0"/>
        <v>4</v>
      </c>
      <c r="M55" s="21">
        <f t="shared" si="1"/>
        <v>4</v>
      </c>
      <c r="N55" s="22">
        <f t="shared" si="2"/>
        <v>4</v>
      </c>
      <c r="O55" s="22">
        <f t="shared" si="3"/>
        <v>0</v>
      </c>
      <c r="P55" s="20">
        <f t="shared" si="4"/>
        <v>0</v>
      </c>
      <c r="Q55" s="23">
        <f t="shared" si="5"/>
        <v>420</v>
      </c>
      <c r="R55" s="20">
        <f t="shared" si="7"/>
        <v>420</v>
      </c>
      <c r="S55" s="20">
        <f t="shared" si="8"/>
        <v>420</v>
      </c>
      <c r="T55" s="18">
        <f t="shared" si="9"/>
        <v>1680</v>
      </c>
      <c r="U55" s="24"/>
      <c r="V55" s="25">
        <f t="shared" si="6"/>
        <v>0</v>
      </c>
    </row>
    <row r="56" spans="1:22" ht="24" customHeight="1">
      <c r="A56" s="26"/>
      <c r="B56" s="15"/>
      <c r="C56" s="16"/>
      <c r="D56" s="16">
        <v>53</v>
      </c>
      <c r="E56" s="16" t="s">
        <v>118</v>
      </c>
      <c r="F56" s="17" t="s">
        <v>24</v>
      </c>
      <c r="G56" s="18">
        <v>1</v>
      </c>
      <c r="H56" s="19">
        <v>2</v>
      </c>
      <c r="I56" s="19"/>
      <c r="J56" s="19">
        <v>530</v>
      </c>
      <c r="K56" s="19"/>
      <c r="L56" s="20">
        <f t="shared" si="0"/>
        <v>2</v>
      </c>
      <c r="M56" s="21">
        <f t="shared" si="1"/>
        <v>2</v>
      </c>
      <c r="N56" s="22">
        <f t="shared" si="2"/>
        <v>2</v>
      </c>
      <c r="O56" s="22">
        <f t="shared" si="3"/>
        <v>0</v>
      </c>
      <c r="P56" s="20">
        <f t="shared" si="4"/>
        <v>0</v>
      </c>
      <c r="Q56" s="23">
        <f t="shared" si="5"/>
        <v>530</v>
      </c>
      <c r="R56" s="20">
        <f t="shared" si="7"/>
        <v>530</v>
      </c>
      <c r="S56" s="20">
        <f t="shared" si="8"/>
        <v>530</v>
      </c>
      <c r="T56" s="18">
        <f t="shared" si="9"/>
        <v>1060</v>
      </c>
      <c r="U56" s="24"/>
      <c r="V56" s="25">
        <f t="shared" si="6"/>
        <v>0</v>
      </c>
    </row>
    <row r="57" spans="1:22" ht="24" customHeight="1">
      <c r="A57" s="26"/>
      <c r="B57" s="15"/>
      <c r="C57" s="16"/>
      <c r="D57" s="16">
        <v>54</v>
      </c>
      <c r="E57" s="16" t="s">
        <v>119</v>
      </c>
      <c r="F57" s="17" t="s">
        <v>24</v>
      </c>
      <c r="G57" s="18">
        <v>1</v>
      </c>
      <c r="H57" s="19">
        <v>2</v>
      </c>
      <c r="I57" s="19"/>
      <c r="J57" s="19">
        <v>1700</v>
      </c>
      <c r="K57" s="19"/>
      <c r="L57" s="20">
        <f t="shared" si="0"/>
        <v>2</v>
      </c>
      <c r="M57" s="21">
        <f t="shared" si="1"/>
        <v>2</v>
      </c>
      <c r="N57" s="22">
        <f t="shared" si="2"/>
        <v>2</v>
      </c>
      <c r="O57" s="22">
        <f t="shared" si="3"/>
        <v>0</v>
      </c>
      <c r="P57" s="20">
        <f t="shared" si="4"/>
        <v>0</v>
      </c>
      <c r="Q57" s="23">
        <f t="shared" si="5"/>
        <v>1700</v>
      </c>
      <c r="R57" s="20">
        <f t="shared" si="7"/>
        <v>1700</v>
      </c>
      <c r="S57" s="20">
        <f t="shared" si="8"/>
        <v>1700</v>
      </c>
      <c r="T57" s="18">
        <f t="shared" si="9"/>
        <v>3400</v>
      </c>
      <c r="U57" s="24"/>
      <c r="V57" s="25">
        <f t="shared" si="6"/>
        <v>0</v>
      </c>
    </row>
    <row r="58" spans="1:22" ht="24" customHeight="1">
      <c r="A58" s="14"/>
      <c r="B58" s="15"/>
      <c r="C58" s="16"/>
      <c r="D58" s="16">
        <v>55</v>
      </c>
      <c r="E58" s="16" t="s">
        <v>120</v>
      </c>
      <c r="F58" s="17" t="s">
        <v>24</v>
      </c>
      <c r="G58" s="18">
        <v>1</v>
      </c>
      <c r="H58" s="19">
        <v>2</v>
      </c>
      <c r="I58" s="19"/>
      <c r="J58" s="19">
        <v>1100</v>
      </c>
      <c r="K58" s="19"/>
      <c r="L58" s="20">
        <f t="shared" si="0"/>
        <v>2</v>
      </c>
      <c r="M58" s="21">
        <f t="shared" si="1"/>
        <v>2</v>
      </c>
      <c r="N58" s="22">
        <f t="shared" si="2"/>
        <v>2</v>
      </c>
      <c r="O58" s="22">
        <f t="shared" si="3"/>
        <v>0</v>
      </c>
      <c r="P58" s="20">
        <f t="shared" si="4"/>
        <v>0</v>
      </c>
      <c r="Q58" s="23">
        <f t="shared" si="5"/>
        <v>1100</v>
      </c>
      <c r="R58" s="20">
        <f t="shared" si="7"/>
        <v>1100</v>
      </c>
      <c r="S58" s="20">
        <f t="shared" si="8"/>
        <v>1100</v>
      </c>
      <c r="T58" s="18">
        <f t="shared" si="9"/>
        <v>2200</v>
      </c>
      <c r="U58" s="24"/>
      <c r="V58" s="25">
        <f t="shared" si="6"/>
        <v>0</v>
      </c>
    </row>
    <row r="59" spans="1:22" ht="24" customHeight="1">
      <c r="A59" s="26"/>
      <c r="B59" s="15"/>
      <c r="C59" s="16"/>
      <c r="D59" s="16">
        <v>56</v>
      </c>
      <c r="E59" s="16" t="s">
        <v>121</v>
      </c>
      <c r="F59" s="17" t="s">
        <v>24</v>
      </c>
      <c r="G59" s="18">
        <v>1</v>
      </c>
      <c r="H59" s="19">
        <v>1</v>
      </c>
      <c r="I59" s="19"/>
      <c r="J59" s="19">
        <v>330</v>
      </c>
      <c r="K59" s="19"/>
      <c r="L59" s="20">
        <f t="shared" si="0"/>
        <v>1</v>
      </c>
      <c r="M59" s="21">
        <f t="shared" si="1"/>
        <v>1</v>
      </c>
      <c r="N59" s="22">
        <f t="shared" si="2"/>
        <v>1</v>
      </c>
      <c r="O59" s="22">
        <f t="shared" si="3"/>
        <v>0</v>
      </c>
      <c r="P59" s="20">
        <f t="shared" si="4"/>
        <v>0</v>
      </c>
      <c r="Q59" s="23">
        <f t="shared" si="5"/>
        <v>330</v>
      </c>
      <c r="R59" s="20">
        <f t="shared" si="7"/>
        <v>330</v>
      </c>
      <c r="S59" s="20">
        <f t="shared" si="8"/>
        <v>330</v>
      </c>
      <c r="T59" s="18">
        <f t="shared" si="9"/>
        <v>330</v>
      </c>
      <c r="U59" s="24"/>
      <c r="V59" s="25">
        <f t="shared" si="6"/>
        <v>0</v>
      </c>
    </row>
    <row r="60" spans="1:22" ht="24" customHeight="1">
      <c r="A60" s="26"/>
      <c r="B60" s="15"/>
      <c r="C60" s="16"/>
      <c r="D60" s="16">
        <v>57</v>
      </c>
      <c r="E60" s="16" t="s">
        <v>122</v>
      </c>
      <c r="F60" s="17" t="s">
        <v>24</v>
      </c>
      <c r="G60" s="18">
        <v>1</v>
      </c>
      <c r="H60" s="19">
        <v>4</v>
      </c>
      <c r="I60" s="19"/>
      <c r="J60" s="19">
        <v>510</v>
      </c>
      <c r="K60" s="19"/>
      <c r="L60" s="20">
        <f t="shared" si="0"/>
        <v>4</v>
      </c>
      <c r="M60" s="21">
        <f t="shared" si="1"/>
        <v>4</v>
      </c>
      <c r="N60" s="22">
        <f t="shared" si="2"/>
        <v>4</v>
      </c>
      <c r="O60" s="22">
        <f t="shared" si="3"/>
        <v>0</v>
      </c>
      <c r="P60" s="20">
        <f t="shared" si="4"/>
        <v>0</v>
      </c>
      <c r="Q60" s="23">
        <f t="shared" si="5"/>
        <v>510</v>
      </c>
      <c r="R60" s="20">
        <f t="shared" si="7"/>
        <v>510</v>
      </c>
      <c r="S60" s="20">
        <f t="shared" si="8"/>
        <v>510</v>
      </c>
      <c r="T60" s="18">
        <f t="shared" si="9"/>
        <v>2040</v>
      </c>
      <c r="U60" s="24"/>
      <c r="V60" s="25">
        <f t="shared" si="6"/>
        <v>0</v>
      </c>
    </row>
    <row r="61" spans="1:22" ht="24" customHeight="1">
      <c r="A61" s="14"/>
      <c r="B61" s="15"/>
      <c r="C61" s="16"/>
      <c r="D61" s="16">
        <v>58</v>
      </c>
      <c r="E61" s="16" t="s">
        <v>123</v>
      </c>
      <c r="F61" s="17" t="s">
        <v>24</v>
      </c>
      <c r="G61" s="18">
        <v>1</v>
      </c>
      <c r="H61" s="19">
        <v>2</v>
      </c>
      <c r="I61" s="19"/>
      <c r="J61" s="19">
        <v>285</v>
      </c>
      <c r="K61" s="19"/>
      <c r="L61" s="20">
        <f t="shared" si="0"/>
        <v>2</v>
      </c>
      <c r="M61" s="21">
        <f t="shared" si="1"/>
        <v>2</v>
      </c>
      <c r="N61" s="22">
        <f t="shared" si="2"/>
        <v>2</v>
      </c>
      <c r="O61" s="22">
        <f t="shared" si="3"/>
        <v>0</v>
      </c>
      <c r="P61" s="20">
        <f t="shared" si="4"/>
        <v>0</v>
      </c>
      <c r="Q61" s="23">
        <f t="shared" si="5"/>
        <v>285</v>
      </c>
      <c r="R61" s="20">
        <f t="shared" si="7"/>
        <v>285</v>
      </c>
      <c r="S61" s="20">
        <f t="shared" si="8"/>
        <v>285</v>
      </c>
      <c r="T61" s="18">
        <f t="shared" si="9"/>
        <v>570</v>
      </c>
      <c r="U61" s="24"/>
      <c r="V61" s="25">
        <f t="shared" si="6"/>
        <v>0</v>
      </c>
    </row>
    <row r="62" spans="1:22" ht="24" customHeight="1">
      <c r="A62" s="26"/>
      <c r="B62" s="15"/>
      <c r="C62" s="16"/>
      <c r="D62" s="16">
        <v>59</v>
      </c>
      <c r="E62" s="16" t="s">
        <v>124</v>
      </c>
      <c r="F62" s="17" t="s">
        <v>24</v>
      </c>
      <c r="G62" s="18">
        <v>1</v>
      </c>
      <c r="H62" s="19">
        <v>2</v>
      </c>
      <c r="I62" s="19"/>
      <c r="J62" s="19">
        <v>1100</v>
      </c>
      <c r="K62" s="19"/>
      <c r="L62" s="20">
        <f t="shared" si="0"/>
        <v>2</v>
      </c>
      <c r="M62" s="21">
        <f t="shared" si="1"/>
        <v>2</v>
      </c>
      <c r="N62" s="22">
        <f t="shared" si="2"/>
        <v>2</v>
      </c>
      <c r="O62" s="22">
        <f t="shared" si="3"/>
        <v>0</v>
      </c>
      <c r="P62" s="20">
        <f t="shared" si="4"/>
        <v>0</v>
      </c>
      <c r="Q62" s="23">
        <f t="shared" si="5"/>
        <v>1100</v>
      </c>
      <c r="R62" s="20">
        <f t="shared" si="7"/>
        <v>1100</v>
      </c>
      <c r="S62" s="20">
        <f t="shared" si="8"/>
        <v>1100</v>
      </c>
      <c r="T62" s="18">
        <f t="shared" si="9"/>
        <v>2200</v>
      </c>
      <c r="U62" s="24"/>
      <c r="V62" s="25">
        <f t="shared" si="6"/>
        <v>0</v>
      </c>
    </row>
    <row r="63" spans="1:22" ht="24" customHeight="1">
      <c r="A63" s="26"/>
      <c r="B63" s="15"/>
      <c r="C63" s="16"/>
      <c r="D63" s="16">
        <v>60</v>
      </c>
      <c r="E63" s="16" t="s">
        <v>125</v>
      </c>
      <c r="F63" s="17" t="s">
        <v>24</v>
      </c>
      <c r="G63" s="18">
        <v>1</v>
      </c>
      <c r="H63" s="19">
        <v>6</v>
      </c>
      <c r="I63" s="19"/>
      <c r="J63" s="19">
        <v>1120</v>
      </c>
      <c r="K63" s="19"/>
      <c r="L63" s="20">
        <f t="shared" si="0"/>
        <v>6</v>
      </c>
      <c r="M63" s="21">
        <f t="shared" si="1"/>
        <v>6</v>
      </c>
      <c r="N63" s="22">
        <f t="shared" si="2"/>
        <v>6</v>
      </c>
      <c r="O63" s="22">
        <f t="shared" si="3"/>
        <v>0</v>
      </c>
      <c r="P63" s="20">
        <f t="shared" si="4"/>
        <v>0</v>
      </c>
      <c r="Q63" s="23">
        <f t="shared" si="5"/>
        <v>1120</v>
      </c>
      <c r="R63" s="20">
        <f t="shared" si="7"/>
        <v>1120</v>
      </c>
      <c r="S63" s="20">
        <f t="shared" si="8"/>
        <v>1120</v>
      </c>
      <c r="T63" s="18">
        <f t="shared" si="9"/>
        <v>6720</v>
      </c>
      <c r="U63" s="24"/>
      <c r="V63" s="25">
        <f t="shared" si="6"/>
        <v>0</v>
      </c>
    </row>
    <row r="64" spans="1:22" ht="24" customHeight="1">
      <c r="A64" s="14"/>
      <c r="B64" s="15"/>
      <c r="C64" s="16"/>
      <c r="D64" s="16">
        <v>61</v>
      </c>
      <c r="E64" s="16" t="s">
        <v>126</v>
      </c>
      <c r="F64" s="17" t="s">
        <v>24</v>
      </c>
      <c r="G64" s="18">
        <v>1</v>
      </c>
      <c r="H64" s="19">
        <v>6</v>
      </c>
      <c r="I64" s="19"/>
      <c r="J64" s="19">
        <v>550</v>
      </c>
      <c r="K64" s="19"/>
      <c r="L64" s="20">
        <f t="shared" si="0"/>
        <v>6</v>
      </c>
      <c r="M64" s="21">
        <f t="shared" si="1"/>
        <v>6</v>
      </c>
      <c r="N64" s="22">
        <f t="shared" si="2"/>
        <v>6</v>
      </c>
      <c r="O64" s="22">
        <f t="shared" si="3"/>
        <v>0</v>
      </c>
      <c r="P64" s="20">
        <f t="shared" si="4"/>
        <v>0</v>
      </c>
      <c r="Q64" s="23">
        <f t="shared" si="5"/>
        <v>550</v>
      </c>
      <c r="R64" s="20">
        <f t="shared" si="7"/>
        <v>550</v>
      </c>
      <c r="S64" s="20">
        <f t="shared" si="8"/>
        <v>550</v>
      </c>
      <c r="T64" s="18">
        <f t="shared" si="9"/>
        <v>3300</v>
      </c>
      <c r="U64" s="24"/>
      <c r="V64" s="25">
        <f t="shared" si="6"/>
        <v>0</v>
      </c>
    </row>
    <row r="65" spans="1:22" ht="24" customHeight="1">
      <c r="A65" s="26"/>
      <c r="B65" s="15"/>
      <c r="C65" s="16"/>
      <c r="D65" s="16">
        <v>62</v>
      </c>
      <c r="E65" s="16" t="s">
        <v>880</v>
      </c>
      <c r="F65" s="17" t="s">
        <v>24</v>
      </c>
      <c r="G65" s="18">
        <v>1</v>
      </c>
      <c r="H65" s="19">
        <v>2</v>
      </c>
      <c r="I65" s="19"/>
      <c r="J65" s="19">
        <v>1245</v>
      </c>
      <c r="K65" s="19"/>
      <c r="L65" s="20">
        <f t="shared" si="0"/>
        <v>2</v>
      </c>
      <c r="M65" s="21">
        <f t="shared" si="1"/>
        <v>2</v>
      </c>
      <c r="N65" s="22">
        <f t="shared" si="2"/>
        <v>2</v>
      </c>
      <c r="O65" s="22">
        <f t="shared" si="3"/>
        <v>0</v>
      </c>
      <c r="P65" s="20">
        <f t="shared" si="4"/>
        <v>0</v>
      </c>
      <c r="Q65" s="23">
        <f t="shared" si="5"/>
        <v>1245</v>
      </c>
      <c r="R65" s="20">
        <f t="shared" si="7"/>
        <v>1245</v>
      </c>
      <c r="S65" s="20">
        <f t="shared" si="8"/>
        <v>1245</v>
      </c>
      <c r="T65" s="18">
        <f t="shared" si="9"/>
        <v>2490</v>
      </c>
      <c r="U65" s="24"/>
      <c r="V65" s="25">
        <f t="shared" si="6"/>
        <v>0</v>
      </c>
    </row>
    <row r="66" spans="1:22" ht="24" customHeight="1">
      <c r="A66" s="26"/>
      <c r="B66" s="15"/>
      <c r="C66" s="16"/>
      <c r="D66" s="16">
        <v>63</v>
      </c>
      <c r="E66" s="16" t="s">
        <v>127</v>
      </c>
      <c r="F66" s="17" t="s">
        <v>24</v>
      </c>
      <c r="G66" s="18">
        <v>1</v>
      </c>
      <c r="H66" s="19">
        <v>12</v>
      </c>
      <c r="I66" s="19"/>
      <c r="J66" s="19">
        <v>400</v>
      </c>
      <c r="K66" s="19"/>
      <c r="L66" s="20">
        <f t="shared" si="0"/>
        <v>12</v>
      </c>
      <c r="M66" s="21">
        <f t="shared" si="1"/>
        <v>12</v>
      </c>
      <c r="N66" s="22">
        <f t="shared" si="2"/>
        <v>12</v>
      </c>
      <c r="O66" s="22">
        <f t="shared" si="3"/>
        <v>0</v>
      </c>
      <c r="P66" s="20">
        <f t="shared" si="4"/>
        <v>0</v>
      </c>
      <c r="Q66" s="23">
        <f t="shared" si="5"/>
        <v>400</v>
      </c>
      <c r="R66" s="20">
        <f t="shared" si="7"/>
        <v>400</v>
      </c>
      <c r="S66" s="20">
        <f t="shared" si="8"/>
        <v>400</v>
      </c>
      <c r="T66" s="18">
        <f t="shared" si="9"/>
        <v>4800</v>
      </c>
      <c r="U66" s="24"/>
      <c r="V66" s="25">
        <f t="shared" si="6"/>
        <v>0</v>
      </c>
    </row>
    <row r="67" spans="1:22" ht="24" customHeight="1">
      <c r="A67" s="14"/>
      <c r="B67" s="15"/>
      <c r="C67" s="16"/>
      <c r="D67" s="16">
        <v>64</v>
      </c>
      <c r="E67" s="16" t="s">
        <v>128</v>
      </c>
      <c r="F67" s="17" t="s">
        <v>24</v>
      </c>
      <c r="G67" s="18">
        <v>1</v>
      </c>
      <c r="H67" s="19">
        <v>6</v>
      </c>
      <c r="I67" s="19"/>
      <c r="J67" s="19">
        <v>185</v>
      </c>
      <c r="K67" s="19"/>
      <c r="L67" s="20">
        <f t="shared" si="0"/>
        <v>6</v>
      </c>
      <c r="M67" s="21">
        <f t="shared" si="1"/>
        <v>6</v>
      </c>
      <c r="N67" s="22">
        <f t="shared" si="2"/>
        <v>6</v>
      </c>
      <c r="O67" s="22">
        <f t="shared" si="3"/>
        <v>0</v>
      </c>
      <c r="P67" s="20">
        <f t="shared" si="4"/>
        <v>0</v>
      </c>
      <c r="Q67" s="23">
        <f t="shared" si="5"/>
        <v>185</v>
      </c>
      <c r="R67" s="20">
        <f t="shared" si="7"/>
        <v>185</v>
      </c>
      <c r="S67" s="20">
        <f t="shared" si="8"/>
        <v>185</v>
      </c>
      <c r="T67" s="18">
        <f t="shared" si="9"/>
        <v>1110</v>
      </c>
      <c r="U67" s="24"/>
      <c r="V67" s="25">
        <f t="shared" si="6"/>
        <v>0</v>
      </c>
    </row>
    <row r="68" spans="1:22" ht="24" customHeight="1">
      <c r="A68" s="26"/>
      <c r="B68" s="15"/>
      <c r="C68" s="16"/>
      <c r="D68" s="16">
        <v>65</v>
      </c>
      <c r="E68" s="16" t="s">
        <v>129</v>
      </c>
      <c r="F68" s="17" t="s">
        <v>24</v>
      </c>
      <c r="G68" s="18">
        <v>1</v>
      </c>
      <c r="H68" s="19">
        <v>5</v>
      </c>
      <c r="I68" s="19"/>
      <c r="J68" s="19">
        <v>140</v>
      </c>
      <c r="K68" s="19"/>
      <c r="L68" s="20">
        <f t="shared" ref="L68:L131" si="10">I68*G68+H68</f>
        <v>5</v>
      </c>
      <c r="M68" s="21">
        <f t="shared" ref="M68:M131" si="11">IFERROR(L68/G68,"")</f>
        <v>5</v>
      </c>
      <c r="N68" s="22">
        <f t="shared" ref="N68:N131" si="12">IF(G68=1,L68,IF(G68&gt;1,IFERROR((M68-O68)*G68,""),""))</f>
        <v>5</v>
      </c>
      <c r="O68" s="22">
        <f t="shared" ref="O68:O131" si="13">IFERROR(IF(G68=1,0,IF(G68&gt;1,ROUNDDOWN(M68,0))),"")</f>
        <v>0</v>
      </c>
      <c r="P68" s="20">
        <f t="shared" ref="P68:P131" si="14">IFERROR(K68/G68,"")</f>
        <v>0</v>
      </c>
      <c r="Q68" s="23">
        <f t="shared" ref="Q68:Q131" si="15">IFERROR(J68*G68,"")</f>
        <v>140</v>
      </c>
      <c r="R68" s="20">
        <f t="shared" si="7"/>
        <v>140</v>
      </c>
      <c r="S68" s="20">
        <f t="shared" si="8"/>
        <v>140</v>
      </c>
      <c r="T68" s="18">
        <f t="shared" si="9"/>
        <v>700</v>
      </c>
      <c r="U68" s="24"/>
      <c r="V68" s="25">
        <f t="shared" ref="V68:V131" si="16">B68</f>
        <v>0</v>
      </c>
    </row>
    <row r="69" spans="1:22" ht="24" customHeight="1">
      <c r="A69" s="26"/>
      <c r="B69" s="15"/>
      <c r="C69" s="16"/>
      <c r="D69" s="16">
        <v>66</v>
      </c>
      <c r="E69" s="16" t="s">
        <v>130</v>
      </c>
      <c r="F69" s="17" t="s">
        <v>24</v>
      </c>
      <c r="G69" s="18">
        <v>1</v>
      </c>
      <c r="H69" s="19">
        <v>4</v>
      </c>
      <c r="I69" s="19"/>
      <c r="J69" s="19">
        <v>1045</v>
      </c>
      <c r="K69" s="19"/>
      <c r="L69" s="20">
        <f t="shared" si="10"/>
        <v>4</v>
      </c>
      <c r="M69" s="21">
        <f t="shared" si="11"/>
        <v>4</v>
      </c>
      <c r="N69" s="22">
        <f t="shared" si="12"/>
        <v>4</v>
      </c>
      <c r="O69" s="22">
        <f t="shared" si="13"/>
        <v>0</v>
      </c>
      <c r="P69" s="20">
        <f t="shared" si="14"/>
        <v>0</v>
      </c>
      <c r="Q69" s="23">
        <f t="shared" si="15"/>
        <v>1045</v>
      </c>
      <c r="R69" s="20">
        <f t="shared" ref="R69:R132" si="17">IFERROR(IF(J69&gt;0,J69,IF(J69&lt;0,P69,IF(J69=0,P69))),"")</f>
        <v>1045</v>
      </c>
      <c r="S69" s="20">
        <f t="shared" ref="S69:S132" si="18">IFERROR(IF(K69&gt;0,K69,IF(K69&lt;0,Q69,IF(K69=0,Q69))),"")</f>
        <v>1045</v>
      </c>
      <c r="T69" s="18">
        <f t="shared" ref="T69:T132" si="19">IFERROR(S69*I69+R69*H69,"")</f>
        <v>4180</v>
      </c>
      <c r="U69" s="24"/>
      <c r="V69" s="25">
        <f t="shared" si="16"/>
        <v>0</v>
      </c>
    </row>
    <row r="70" spans="1:22" ht="24" customHeight="1">
      <c r="A70" s="14"/>
      <c r="B70" s="15"/>
      <c r="C70" s="16"/>
      <c r="D70" s="16">
        <v>67</v>
      </c>
      <c r="E70" s="16" t="s">
        <v>131</v>
      </c>
      <c r="F70" s="17" t="s">
        <v>24</v>
      </c>
      <c r="G70" s="18">
        <v>1</v>
      </c>
      <c r="H70" s="19">
        <v>4</v>
      </c>
      <c r="I70" s="19"/>
      <c r="J70" s="19">
        <v>2350</v>
      </c>
      <c r="K70" s="19"/>
      <c r="L70" s="20">
        <f t="shared" si="10"/>
        <v>4</v>
      </c>
      <c r="M70" s="21">
        <f t="shared" si="11"/>
        <v>4</v>
      </c>
      <c r="N70" s="22">
        <f t="shared" si="12"/>
        <v>4</v>
      </c>
      <c r="O70" s="22">
        <f t="shared" si="13"/>
        <v>0</v>
      </c>
      <c r="P70" s="20">
        <f t="shared" si="14"/>
        <v>0</v>
      </c>
      <c r="Q70" s="23">
        <f t="shared" si="15"/>
        <v>2350</v>
      </c>
      <c r="R70" s="20">
        <f t="shared" si="17"/>
        <v>2350</v>
      </c>
      <c r="S70" s="20">
        <f t="shared" si="18"/>
        <v>2350</v>
      </c>
      <c r="T70" s="18">
        <f t="shared" si="19"/>
        <v>9400</v>
      </c>
      <c r="U70" s="24"/>
      <c r="V70" s="25">
        <f t="shared" si="16"/>
        <v>0</v>
      </c>
    </row>
    <row r="71" spans="1:22" ht="24" customHeight="1">
      <c r="A71" s="26"/>
      <c r="B71" s="15"/>
      <c r="C71" s="16"/>
      <c r="D71" s="16">
        <v>68</v>
      </c>
      <c r="E71" s="16" t="s">
        <v>132</v>
      </c>
      <c r="F71" s="17" t="s">
        <v>24</v>
      </c>
      <c r="G71" s="18">
        <v>1</v>
      </c>
      <c r="H71" s="19">
        <v>1</v>
      </c>
      <c r="I71" s="19"/>
      <c r="J71" s="19">
        <v>2000</v>
      </c>
      <c r="K71" s="19"/>
      <c r="L71" s="20">
        <f t="shared" si="10"/>
        <v>1</v>
      </c>
      <c r="M71" s="21">
        <f t="shared" si="11"/>
        <v>1</v>
      </c>
      <c r="N71" s="22">
        <f t="shared" si="12"/>
        <v>1</v>
      </c>
      <c r="O71" s="22">
        <f t="shared" si="13"/>
        <v>0</v>
      </c>
      <c r="P71" s="20">
        <f t="shared" si="14"/>
        <v>0</v>
      </c>
      <c r="Q71" s="23">
        <f t="shared" si="15"/>
        <v>2000</v>
      </c>
      <c r="R71" s="20">
        <f t="shared" si="17"/>
        <v>2000</v>
      </c>
      <c r="S71" s="20">
        <f t="shared" si="18"/>
        <v>2000</v>
      </c>
      <c r="T71" s="18">
        <f t="shared" si="19"/>
        <v>2000</v>
      </c>
      <c r="U71" s="24"/>
      <c r="V71" s="25">
        <f t="shared" si="16"/>
        <v>0</v>
      </c>
    </row>
    <row r="72" spans="1:22" ht="24" customHeight="1">
      <c r="A72" s="26"/>
      <c r="B72" s="15"/>
      <c r="C72" s="16"/>
      <c r="D72" s="16">
        <v>69</v>
      </c>
      <c r="E72" s="16" t="s">
        <v>133</v>
      </c>
      <c r="F72" s="17" t="s">
        <v>24</v>
      </c>
      <c r="G72" s="18">
        <v>1</v>
      </c>
      <c r="H72" s="19">
        <v>4</v>
      </c>
      <c r="I72" s="19"/>
      <c r="J72" s="19">
        <v>2800</v>
      </c>
      <c r="K72" s="19"/>
      <c r="L72" s="20">
        <f t="shared" si="10"/>
        <v>4</v>
      </c>
      <c r="M72" s="21">
        <f t="shared" si="11"/>
        <v>4</v>
      </c>
      <c r="N72" s="22">
        <f t="shared" si="12"/>
        <v>4</v>
      </c>
      <c r="O72" s="22">
        <f t="shared" si="13"/>
        <v>0</v>
      </c>
      <c r="P72" s="20">
        <f t="shared" si="14"/>
        <v>0</v>
      </c>
      <c r="Q72" s="23">
        <f t="shared" si="15"/>
        <v>2800</v>
      </c>
      <c r="R72" s="20">
        <f t="shared" si="17"/>
        <v>2800</v>
      </c>
      <c r="S72" s="20">
        <f t="shared" si="18"/>
        <v>2800</v>
      </c>
      <c r="T72" s="18">
        <f t="shared" si="19"/>
        <v>11200</v>
      </c>
      <c r="U72" s="24"/>
      <c r="V72" s="25">
        <f t="shared" si="16"/>
        <v>0</v>
      </c>
    </row>
    <row r="73" spans="1:22" ht="24" customHeight="1">
      <c r="A73" s="14"/>
      <c r="B73" s="15"/>
      <c r="C73" s="16"/>
      <c r="D73" s="16">
        <v>70</v>
      </c>
      <c r="E73" s="16" t="s">
        <v>134</v>
      </c>
      <c r="F73" s="17" t="s">
        <v>24</v>
      </c>
      <c r="G73" s="18">
        <v>1</v>
      </c>
      <c r="H73" s="19">
        <v>9</v>
      </c>
      <c r="I73" s="19"/>
      <c r="J73" s="19">
        <v>4000</v>
      </c>
      <c r="K73" s="19"/>
      <c r="L73" s="20">
        <f t="shared" si="10"/>
        <v>9</v>
      </c>
      <c r="M73" s="21">
        <f t="shared" si="11"/>
        <v>9</v>
      </c>
      <c r="N73" s="22">
        <f t="shared" si="12"/>
        <v>9</v>
      </c>
      <c r="O73" s="22">
        <f t="shared" si="13"/>
        <v>0</v>
      </c>
      <c r="P73" s="20">
        <f t="shared" si="14"/>
        <v>0</v>
      </c>
      <c r="Q73" s="23">
        <f>IFERROR(J73*G73,"")</f>
        <v>4000</v>
      </c>
      <c r="R73" s="20">
        <f t="shared" si="17"/>
        <v>4000</v>
      </c>
      <c r="S73" s="20">
        <f t="shared" si="18"/>
        <v>4000</v>
      </c>
      <c r="T73" s="18">
        <f t="shared" si="19"/>
        <v>36000</v>
      </c>
      <c r="U73" s="24"/>
      <c r="V73" s="25">
        <f t="shared" si="16"/>
        <v>0</v>
      </c>
    </row>
    <row r="74" spans="1:22" ht="24" customHeight="1">
      <c r="A74" s="26"/>
      <c r="B74" s="15"/>
      <c r="C74" s="16"/>
      <c r="D74" s="16">
        <v>71</v>
      </c>
      <c r="E74" s="16" t="s">
        <v>162</v>
      </c>
      <c r="F74" s="17" t="s">
        <v>24</v>
      </c>
      <c r="G74" s="18">
        <v>1</v>
      </c>
      <c r="H74" s="19">
        <v>1</v>
      </c>
      <c r="I74" s="19"/>
      <c r="J74" s="19">
        <v>2000</v>
      </c>
      <c r="K74" s="19"/>
      <c r="L74" s="20">
        <f t="shared" si="10"/>
        <v>1</v>
      </c>
      <c r="M74" s="21">
        <f t="shared" si="11"/>
        <v>1</v>
      </c>
      <c r="N74" s="22">
        <f t="shared" si="12"/>
        <v>1</v>
      </c>
      <c r="O74" s="22">
        <f t="shared" si="13"/>
        <v>0</v>
      </c>
      <c r="P74" s="20">
        <f t="shared" si="14"/>
        <v>0</v>
      </c>
      <c r="Q74" s="23">
        <f t="shared" si="15"/>
        <v>2000</v>
      </c>
      <c r="R74" s="20">
        <f t="shared" si="17"/>
        <v>2000</v>
      </c>
      <c r="S74" s="20">
        <f t="shared" si="18"/>
        <v>2000</v>
      </c>
      <c r="T74" s="18">
        <f t="shared" si="19"/>
        <v>2000</v>
      </c>
      <c r="U74" s="24"/>
      <c r="V74" s="25">
        <f t="shared" si="16"/>
        <v>0</v>
      </c>
    </row>
    <row r="75" spans="1:22" ht="24" customHeight="1">
      <c r="A75" s="26"/>
      <c r="B75" s="15"/>
      <c r="C75" s="16"/>
      <c r="D75" s="16">
        <v>72</v>
      </c>
      <c r="E75" s="16" t="s">
        <v>163</v>
      </c>
      <c r="F75" s="17" t="s">
        <v>24</v>
      </c>
      <c r="G75" s="18">
        <v>1</v>
      </c>
      <c r="H75" s="19">
        <v>4</v>
      </c>
      <c r="I75" s="19"/>
      <c r="J75" s="19">
        <v>2600</v>
      </c>
      <c r="K75" s="19"/>
      <c r="L75" s="20">
        <f t="shared" si="10"/>
        <v>4</v>
      </c>
      <c r="M75" s="21">
        <f t="shared" si="11"/>
        <v>4</v>
      </c>
      <c r="N75" s="22">
        <f t="shared" si="12"/>
        <v>4</v>
      </c>
      <c r="O75" s="22">
        <f t="shared" si="13"/>
        <v>0</v>
      </c>
      <c r="P75" s="20">
        <f t="shared" si="14"/>
        <v>0</v>
      </c>
      <c r="Q75" s="23">
        <f t="shared" si="15"/>
        <v>2600</v>
      </c>
      <c r="R75" s="20">
        <f t="shared" si="17"/>
        <v>2600</v>
      </c>
      <c r="S75" s="20">
        <f t="shared" si="18"/>
        <v>2600</v>
      </c>
      <c r="T75" s="18">
        <f t="shared" si="19"/>
        <v>10400</v>
      </c>
      <c r="U75" s="24"/>
      <c r="V75" s="25">
        <f t="shared" si="16"/>
        <v>0</v>
      </c>
    </row>
    <row r="76" spans="1:22" ht="24" customHeight="1">
      <c r="A76" s="14"/>
      <c r="B76" s="15"/>
      <c r="C76" s="16"/>
      <c r="D76" s="16">
        <v>73</v>
      </c>
      <c r="E76" s="16" t="s">
        <v>165</v>
      </c>
      <c r="F76" s="17" t="s">
        <v>24</v>
      </c>
      <c r="G76" s="18">
        <v>1</v>
      </c>
      <c r="H76" s="19">
        <v>7</v>
      </c>
      <c r="I76" s="19"/>
      <c r="J76" s="19">
        <v>2800</v>
      </c>
      <c r="K76" s="19"/>
      <c r="L76" s="20">
        <f t="shared" si="10"/>
        <v>7</v>
      </c>
      <c r="M76" s="21">
        <f t="shared" si="11"/>
        <v>7</v>
      </c>
      <c r="N76" s="22">
        <f t="shared" si="12"/>
        <v>7</v>
      </c>
      <c r="O76" s="22">
        <f t="shared" si="13"/>
        <v>0</v>
      </c>
      <c r="P76" s="20">
        <f t="shared" si="14"/>
        <v>0</v>
      </c>
      <c r="Q76" s="23">
        <f t="shared" si="15"/>
        <v>2800</v>
      </c>
      <c r="R76" s="20">
        <f t="shared" si="17"/>
        <v>2800</v>
      </c>
      <c r="S76" s="20">
        <f t="shared" si="18"/>
        <v>2800</v>
      </c>
      <c r="T76" s="18">
        <f t="shared" si="19"/>
        <v>19600</v>
      </c>
      <c r="U76" s="24"/>
      <c r="V76" s="25">
        <f t="shared" si="16"/>
        <v>0</v>
      </c>
    </row>
    <row r="77" spans="1:22" ht="24" customHeight="1">
      <c r="A77" s="26"/>
      <c r="B77" s="15"/>
      <c r="C77" s="16"/>
      <c r="D77" s="16">
        <v>74</v>
      </c>
      <c r="E77" s="16" t="s">
        <v>164</v>
      </c>
      <c r="F77" s="17" t="s">
        <v>24</v>
      </c>
      <c r="G77" s="18">
        <v>1</v>
      </c>
      <c r="H77" s="19">
        <v>1</v>
      </c>
      <c r="I77" s="19"/>
      <c r="J77" s="19">
        <v>2800</v>
      </c>
      <c r="K77" s="19"/>
      <c r="L77" s="20">
        <f t="shared" si="10"/>
        <v>1</v>
      </c>
      <c r="M77" s="21">
        <f t="shared" si="11"/>
        <v>1</v>
      </c>
      <c r="N77" s="22">
        <f t="shared" si="12"/>
        <v>1</v>
      </c>
      <c r="O77" s="22">
        <f t="shared" si="13"/>
        <v>0</v>
      </c>
      <c r="P77" s="20">
        <f t="shared" si="14"/>
        <v>0</v>
      </c>
      <c r="Q77" s="23">
        <f t="shared" si="15"/>
        <v>2800</v>
      </c>
      <c r="R77" s="20">
        <f t="shared" si="17"/>
        <v>2800</v>
      </c>
      <c r="S77" s="20">
        <f t="shared" si="18"/>
        <v>2800</v>
      </c>
      <c r="T77" s="18">
        <f t="shared" si="19"/>
        <v>2800</v>
      </c>
      <c r="U77" s="24"/>
      <c r="V77" s="25">
        <f t="shared" si="16"/>
        <v>0</v>
      </c>
    </row>
    <row r="78" spans="1:22" ht="24" customHeight="1">
      <c r="A78" s="26"/>
      <c r="B78" s="15"/>
      <c r="C78" s="16"/>
      <c r="D78" s="16">
        <v>75</v>
      </c>
      <c r="E78" s="16" t="s">
        <v>166</v>
      </c>
      <c r="F78" s="17" t="s">
        <v>24</v>
      </c>
      <c r="G78" s="18">
        <v>1</v>
      </c>
      <c r="H78" s="19">
        <v>2</v>
      </c>
      <c r="I78" s="19"/>
      <c r="J78" s="19">
        <v>2100</v>
      </c>
      <c r="K78" s="19"/>
      <c r="L78" s="20">
        <f t="shared" si="10"/>
        <v>2</v>
      </c>
      <c r="M78" s="21">
        <f t="shared" si="11"/>
        <v>2</v>
      </c>
      <c r="N78" s="22">
        <f t="shared" si="12"/>
        <v>2</v>
      </c>
      <c r="O78" s="22">
        <f t="shared" si="13"/>
        <v>0</v>
      </c>
      <c r="P78" s="20">
        <f t="shared" si="14"/>
        <v>0</v>
      </c>
      <c r="Q78" s="23">
        <f t="shared" si="15"/>
        <v>2100</v>
      </c>
      <c r="R78" s="20">
        <f t="shared" si="17"/>
        <v>2100</v>
      </c>
      <c r="S78" s="20">
        <f t="shared" si="18"/>
        <v>2100</v>
      </c>
      <c r="T78" s="18">
        <f t="shared" si="19"/>
        <v>4200</v>
      </c>
      <c r="U78" s="24"/>
      <c r="V78" s="25">
        <f t="shared" si="16"/>
        <v>0</v>
      </c>
    </row>
    <row r="79" spans="1:22" ht="24" customHeight="1">
      <c r="A79" s="14"/>
      <c r="B79" s="15"/>
      <c r="C79" s="16"/>
      <c r="D79" s="16">
        <v>76</v>
      </c>
      <c r="E79" s="16" t="s">
        <v>881</v>
      </c>
      <c r="F79" s="17" t="s">
        <v>24</v>
      </c>
      <c r="G79" s="18">
        <v>1</v>
      </c>
      <c r="H79" s="19">
        <v>3</v>
      </c>
      <c r="I79" s="19"/>
      <c r="J79" s="19">
        <v>3000</v>
      </c>
      <c r="K79" s="19"/>
      <c r="L79" s="20">
        <f t="shared" si="10"/>
        <v>3</v>
      </c>
      <c r="M79" s="21">
        <f t="shared" si="11"/>
        <v>3</v>
      </c>
      <c r="N79" s="22">
        <f t="shared" si="12"/>
        <v>3</v>
      </c>
      <c r="O79" s="22">
        <f t="shared" si="13"/>
        <v>0</v>
      </c>
      <c r="P79" s="20">
        <f t="shared" si="14"/>
        <v>0</v>
      </c>
      <c r="Q79" s="23">
        <f t="shared" si="15"/>
        <v>3000</v>
      </c>
      <c r="R79" s="20">
        <f t="shared" si="17"/>
        <v>3000</v>
      </c>
      <c r="S79" s="20">
        <f t="shared" si="18"/>
        <v>3000</v>
      </c>
      <c r="T79" s="18">
        <f t="shared" si="19"/>
        <v>9000</v>
      </c>
      <c r="U79" s="24"/>
      <c r="V79" s="25">
        <f t="shared" si="16"/>
        <v>0</v>
      </c>
    </row>
    <row r="80" spans="1:22" ht="24" customHeight="1">
      <c r="A80" s="26"/>
      <c r="B80" s="15"/>
      <c r="C80" s="16"/>
      <c r="D80" s="16">
        <v>77</v>
      </c>
      <c r="E80" s="16" t="s">
        <v>167</v>
      </c>
      <c r="F80" s="17" t="s">
        <v>24</v>
      </c>
      <c r="G80" s="18">
        <v>1</v>
      </c>
      <c r="H80" s="19">
        <v>1</v>
      </c>
      <c r="I80" s="19"/>
      <c r="J80" s="19">
        <v>3400</v>
      </c>
      <c r="K80" s="19"/>
      <c r="L80" s="20">
        <f t="shared" si="10"/>
        <v>1</v>
      </c>
      <c r="M80" s="21">
        <f t="shared" si="11"/>
        <v>1</v>
      </c>
      <c r="N80" s="22">
        <f t="shared" si="12"/>
        <v>1</v>
      </c>
      <c r="O80" s="22">
        <f t="shared" si="13"/>
        <v>0</v>
      </c>
      <c r="P80" s="20">
        <f t="shared" si="14"/>
        <v>0</v>
      </c>
      <c r="Q80" s="23">
        <f t="shared" si="15"/>
        <v>3400</v>
      </c>
      <c r="R80" s="20">
        <f t="shared" si="17"/>
        <v>3400</v>
      </c>
      <c r="S80" s="20">
        <f t="shared" si="18"/>
        <v>3400</v>
      </c>
      <c r="T80" s="18">
        <f t="shared" si="19"/>
        <v>3400</v>
      </c>
      <c r="U80" s="24"/>
      <c r="V80" s="25">
        <f t="shared" si="16"/>
        <v>0</v>
      </c>
    </row>
    <row r="81" spans="1:22" ht="24" customHeight="1">
      <c r="A81" s="26"/>
      <c r="B81" s="15"/>
      <c r="C81" s="16"/>
      <c r="D81" s="16">
        <v>78</v>
      </c>
      <c r="E81" s="16" t="s">
        <v>168</v>
      </c>
      <c r="F81" s="17" t="s">
        <v>24</v>
      </c>
      <c r="G81" s="18">
        <v>1</v>
      </c>
      <c r="H81" s="19">
        <v>1</v>
      </c>
      <c r="I81" s="19"/>
      <c r="J81" s="19">
        <v>2500</v>
      </c>
      <c r="K81" s="19"/>
      <c r="L81" s="20">
        <f t="shared" si="10"/>
        <v>1</v>
      </c>
      <c r="M81" s="21">
        <f t="shared" si="11"/>
        <v>1</v>
      </c>
      <c r="N81" s="22">
        <f t="shared" si="12"/>
        <v>1</v>
      </c>
      <c r="O81" s="22">
        <f t="shared" si="13"/>
        <v>0</v>
      </c>
      <c r="P81" s="20">
        <f t="shared" si="14"/>
        <v>0</v>
      </c>
      <c r="Q81" s="23">
        <f t="shared" si="15"/>
        <v>2500</v>
      </c>
      <c r="R81" s="20">
        <f t="shared" si="17"/>
        <v>2500</v>
      </c>
      <c r="S81" s="20">
        <f t="shared" si="18"/>
        <v>2500</v>
      </c>
      <c r="T81" s="18">
        <f t="shared" si="19"/>
        <v>2500</v>
      </c>
      <c r="U81" s="24"/>
      <c r="V81" s="25">
        <f t="shared" si="16"/>
        <v>0</v>
      </c>
    </row>
    <row r="82" spans="1:22" ht="24" customHeight="1">
      <c r="A82" s="14"/>
      <c r="B82" s="15"/>
      <c r="C82" s="16"/>
      <c r="D82" s="16">
        <v>79</v>
      </c>
      <c r="E82" s="16" t="s">
        <v>169</v>
      </c>
      <c r="F82" s="17" t="s">
        <v>24</v>
      </c>
      <c r="G82" s="18">
        <v>1</v>
      </c>
      <c r="H82" s="19">
        <v>1</v>
      </c>
      <c r="I82" s="19"/>
      <c r="J82" s="19">
        <v>2600</v>
      </c>
      <c r="K82" s="19"/>
      <c r="L82" s="20">
        <f t="shared" si="10"/>
        <v>1</v>
      </c>
      <c r="M82" s="21">
        <f t="shared" si="11"/>
        <v>1</v>
      </c>
      <c r="N82" s="22">
        <f t="shared" si="12"/>
        <v>1</v>
      </c>
      <c r="O82" s="22">
        <f t="shared" si="13"/>
        <v>0</v>
      </c>
      <c r="P82" s="20">
        <f t="shared" si="14"/>
        <v>0</v>
      </c>
      <c r="Q82" s="23">
        <f t="shared" si="15"/>
        <v>2600</v>
      </c>
      <c r="R82" s="20">
        <f t="shared" si="17"/>
        <v>2600</v>
      </c>
      <c r="S82" s="20">
        <f t="shared" si="18"/>
        <v>2600</v>
      </c>
      <c r="T82" s="18">
        <f t="shared" si="19"/>
        <v>2600</v>
      </c>
      <c r="U82" s="24"/>
      <c r="V82" s="25">
        <f t="shared" si="16"/>
        <v>0</v>
      </c>
    </row>
    <row r="83" spans="1:22" ht="24" customHeight="1">
      <c r="A83" s="26"/>
      <c r="B83" s="15"/>
      <c r="C83" s="16"/>
      <c r="D83" s="16">
        <v>80</v>
      </c>
      <c r="E83" s="16" t="s">
        <v>170</v>
      </c>
      <c r="F83" s="17" t="s">
        <v>24</v>
      </c>
      <c r="G83" s="18">
        <v>1</v>
      </c>
      <c r="H83" s="19">
        <v>1</v>
      </c>
      <c r="I83" s="19"/>
      <c r="J83" s="19">
        <v>2600</v>
      </c>
      <c r="K83" s="19"/>
      <c r="L83" s="20">
        <f t="shared" si="10"/>
        <v>1</v>
      </c>
      <c r="M83" s="21">
        <f t="shared" si="11"/>
        <v>1</v>
      </c>
      <c r="N83" s="22">
        <f t="shared" si="12"/>
        <v>1</v>
      </c>
      <c r="O83" s="22">
        <f t="shared" si="13"/>
        <v>0</v>
      </c>
      <c r="P83" s="20">
        <f t="shared" si="14"/>
        <v>0</v>
      </c>
      <c r="Q83" s="23">
        <f t="shared" si="15"/>
        <v>2600</v>
      </c>
      <c r="R83" s="20">
        <f t="shared" si="17"/>
        <v>2600</v>
      </c>
      <c r="S83" s="20">
        <f t="shared" si="18"/>
        <v>2600</v>
      </c>
      <c r="T83" s="18">
        <f t="shared" si="19"/>
        <v>2600</v>
      </c>
      <c r="U83" s="24"/>
      <c r="V83" s="25">
        <f t="shared" si="16"/>
        <v>0</v>
      </c>
    </row>
    <row r="84" spans="1:22" ht="24" customHeight="1">
      <c r="A84" s="26"/>
      <c r="B84" s="15"/>
      <c r="C84" s="16"/>
      <c r="D84" s="16">
        <v>81</v>
      </c>
      <c r="E84" s="16" t="s">
        <v>171</v>
      </c>
      <c r="F84" s="17" t="s">
        <v>24</v>
      </c>
      <c r="G84" s="18">
        <v>1</v>
      </c>
      <c r="H84" s="19">
        <v>1</v>
      </c>
      <c r="I84" s="19"/>
      <c r="J84" s="19">
        <v>4200</v>
      </c>
      <c r="K84" s="19"/>
      <c r="L84" s="20">
        <f t="shared" si="10"/>
        <v>1</v>
      </c>
      <c r="M84" s="21">
        <f t="shared" si="11"/>
        <v>1</v>
      </c>
      <c r="N84" s="22">
        <f t="shared" si="12"/>
        <v>1</v>
      </c>
      <c r="O84" s="22">
        <f t="shared" si="13"/>
        <v>0</v>
      </c>
      <c r="P84" s="20">
        <f t="shared" si="14"/>
        <v>0</v>
      </c>
      <c r="Q84" s="23">
        <f t="shared" si="15"/>
        <v>4200</v>
      </c>
      <c r="R84" s="20">
        <f t="shared" si="17"/>
        <v>4200</v>
      </c>
      <c r="S84" s="20">
        <f t="shared" si="18"/>
        <v>4200</v>
      </c>
      <c r="T84" s="18">
        <f t="shared" si="19"/>
        <v>4200</v>
      </c>
      <c r="U84" s="24"/>
      <c r="V84" s="25">
        <f t="shared" si="16"/>
        <v>0</v>
      </c>
    </row>
    <row r="85" spans="1:22" ht="24" customHeight="1">
      <c r="A85" s="14"/>
      <c r="B85" s="15"/>
      <c r="C85" s="16"/>
      <c r="D85" s="16">
        <v>82</v>
      </c>
      <c r="E85" s="16" t="s">
        <v>172</v>
      </c>
      <c r="F85" s="17" t="s">
        <v>24</v>
      </c>
      <c r="G85" s="18">
        <v>1</v>
      </c>
      <c r="H85" s="19">
        <v>1</v>
      </c>
      <c r="I85" s="19"/>
      <c r="J85" s="19">
        <v>2400</v>
      </c>
      <c r="K85" s="19"/>
      <c r="L85" s="20">
        <f t="shared" si="10"/>
        <v>1</v>
      </c>
      <c r="M85" s="21">
        <f t="shared" si="11"/>
        <v>1</v>
      </c>
      <c r="N85" s="22">
        <f t="shared" si="12"/>
        <v>1</v>
      </c>
      <c r="O85" s="22">
        <f t="shared" si="13"/>
        <v>0</v>
      </c>
      <c r="P85" s="20">
        <f t="shared" si="14"/>
        <v>0</v>
      </c>
      <c r="Q85" s="23">
        <f t="shared" si="15"/>
        <v>2400</v>
      </c>
      <c r="R85" s="20">
        <f t="shared" si="17"/>
        <v>2400</v>
      </c>
      <c r="S85" s="20">
        <f t="shared" si="18"/>
        <v>2400</v>
      </c>
      <c r="T85" s="18">
        <f t="shared" si="19"/>
        <v>2400</v>
      </c>
      <c r="U85" s="24"/>
      <c r="V85" s="25">
        <f t="shared" si="16"/>
        <v>0</v>
      </c>
    </row>
    <row r="86" spans="1:22" ht="24" customHeight="1">
      <c r="A86" s="26"/>
      <c r="B86" s="15"/>
      <c r="C86" s="16"/>
      <c r="D86" s="16">
        <v>83</v>
      </c>
      <c r="E86" s="16" t="s">
        <v>173</v>
      </c>
      <c r="F86" s="17" t="s">
        <v>24</v>
      </c>
      <c r="G86" s="18">
        <v>1</v>
      </c>
      <c r="H86" s="19">
        <v>2</v>
      </c>
      <c r="I86" s="19"/>
      <c r="J86" s="19">
        <v>2800</v>
      </c>
      <c r="K86" s="19"/>
      <c r="L86" s="20">
        <f t="shared" si="10"/>
        <v>2</v>
      </c>
      <c r="M86" s="21">
        <f t="shared" si="11"/>
        <v>2</v>
      </c>
      <c r="N86" s="22">
        <f t="shared" si="12"/>
        <v>2</v>
      </c>
      <c r="O86" s="22">
        <f t="shared" si="13"/>
        <v>0</v>
      </c>
      <c r="P86" s="20">
        <f t="shared" si="14"/>
        <v>0</v>
      </c>
      <c r="Q86" s="23">
        <f t="shared" si="15"/>
        <v>2800</v>
      </c>
      <c r="R86" s="20">
        <f t="shared" si="17"/>
        <v>2800</v>
      </c>
      <c r="S86" s="20">
        <f t="shared" si="18"/>
        <v>2800</v>
      </c>
      <c r="T86" s="18">
        <f t="shared" si="19"/>
        <v>5600</v>
      </c>
      <c r="U86" s="24"/>
      <c r="V86" s="25">
        <f t="shared" si="16"/>
        <v>0</v>
      </c>
    </row>
    <row r="87" spans="1:22" ht="24" customHeight="1">
      <c r="A87" s="26"/>
      <c r="B87" s="15"/>
      <c r="C87" s="16"/>
      <c r="D87" s="16">
        <v>84</v>
      </c>
      <c r="E87" s="16" t="s">
        <v>174</v>
      </c>
      <c r="F87" s="17" t="s">
        <v>24</v>
      </c>
      <c r="G87" s="18">
        <v>1</v>
      </c>
      <c r="H87" s="19">
        <v>5</v>
      </c>
      <c r="I87" s="19"/>
      <c r="J87" s="19">
        <v>3200</v>
      </c>
      <c r="K87" s="19"/>
      <c r="L87" s="20">
        <f t="shared" si="10"/>
        <v>5</v>
      </c>
      <c r="M87" s="21">
        <f t="shared" si="11"/>
        <v>5</v>
      </c>
      <c r="N87" s="22">
        <f t="shared" si="12"/>
        <v>5</v>
      </c>
      <c r="O87" s="22">
        <f t="shared" si="13"/>
        <v>0</v>
      </c>
      <c r="P87" s="20">
        <f t="shared" si="14"/>
        <v>0</v>
      </c>
      <c r="Q87" s="23">
        <f t="shared" si="15"/>
        <v>3200</v>
      </c>
      <c r="R87" s="20">
        <f t="shared" si="17"/>
        <v>3200</v>
      </c>
      <c r="S87" s="20">
        <f t="shared" si="18"/>
        <v>3200</v>
      </c>
      <c r="T87" s="18">
        <f t="shared" si="19"/>
        <v>16000</v>
      </c>
      <c r="U87" s="24"/>
      <c r="V87" s="25">
        <f t="shared" si="16"/>
        <v>0</v>
      </c>
    </row>
    <row r="88" spans="1:22" ht="24" customHeight="1">
      <c r="A88" s="14"/>
      <c r="B88" s="15"/>
      <c r="C88" s="16"/>
      <c r="D88" s="16">
        <v>85</v>
      </c>
      <c r="E88" s="16" t="s">
        <v>175</v>
      </c>
      <c r="F88" s="17" t="s">
        <v>24</v>
      </c>
      <c r="G88" s="18">
        <v>1</v>
      </c>
      <c r="H88" s="19">
        <v>1</v>
      </c>
      <c r="I88" s="19"/>
      <c r="J88" s="19">
        <v>3200</v>
      </c>
      <c r="K88" s="19"/>
      <c r="L88" s="20">
        <f t="shared" si="10"/>
        <v>1</v>
      </c>
      <c r="M88" s="21">
        <f t="shared" si="11"/>
        <v>1</v>
      </c>
      <c r="N88" s="22">
        <f t="shared" si="12"/>
        <v>1</v>
      </c>
      <c r="O88" s="22">
        <f t="shared" si="13"/>
        <v>0</v>
      </c>
      <c r="P88" s="20">
        <f t="shared" si="14"/>
        <v>0</v>
      </c>
      <c r="Q88" s="23">
        <f t="shared" si="15"/>
        <v>3200</v>
      </c>
      <c r="R88" s="20">
        <f t="shared" si="17"/>
        <v>3200</v>
      </c>
      <c r="S88" s="20">
        <f t="shared" si="18"/>
        <v>3200</v>
      </c>
      <c r="T88" s="18">
        <f t="shared" si="19"/>
        <v>3200</v>
      </c>
      <c r="U88" s="24"/>
      <c r="V88" s="25">
        <f t="shared" si="16"/>
        <v>0</v>
      </c>
    </row>
    <row r="89" spans="1:22" ht="24" customHeight="1">
      <c r="A89" s="26"/>
      <c r="B89" s="15"/>
      <c r="C89" s="16"/>
      <c r="D89" s="16">
        <v>86</v>
      </c>
      <c r="E89" s="16" t="s">
        <v>176</v>
      </c>
      <c r="F89" s="17" t="s">
        <v>24</v>
      </c>
      <c r="G89" s="18">
        <v>1</v>
      </c>
      <c r="H89" s="19">
        <v>1</v>
      </c>
      <c r="I89" s="19"/>
      <c r="J89" s="19">
        <v>2250</v>
      </c>
      <c r="K89" s="19"/>
      <c r="L89" s="20">
        <f t="shared" si="10"/>
        <v>1</v>
      </c>
      <c r="M89" s="21">
        <f t="shared" si="11"/>
        <v>1</v>
      </c>
      <c r="N89" s="22">
        <f t="shared" si="12"/>
        <v>1</v>
      </c>
      <c r="O89" s="22">
        <f t="shared" si="13"/>
        <v>0</v>
      </c>
      <c r="P89" s="20">
        <f t="shared" si="14"/>
        <v>0</v>
      </c>
      <c r="Q89" s="23">
        <f t="shared" si="15"/>
        <v>2250</v>
      </c>
      <c r="R89" s="20">
        <f t="shared" si="17"/>
        <v>2250</v>
      </c>
      <c r="S89" s="20">
        <f t="shared" si="18"/>
        <v>2250</v>
      </c>
      <c r="T89" s="18">
        <f t="shared" si="19"/>
        <v>2250</v>
      </c>
      <c r="U89" s="24"/>
      <c r="V89" s="25">
        <f t="shared" si="16"/>
        <v>0</v>
      </c>
    </row>
    <row r="90" spans="1:22" ht="24" customHeight="1">
      <c r="A90" s="26"/>
      <c r="B90" s="15"/>
      <c r="C90" s="16"/>
      <c r="D90" s="16">
        <v>87</v>
      </c>
      <c r="E90" s="16" t="s">
        <v>177</v>
      </c>
      <c r="F90" s="17" t="s">
        <v>24</v>
      </c>
      <c r="G90" s="18">
        <v>1</v>
      </c>
      <c r="H90" s="19">
        <v>2</v>
      </c>
      <c r="I90" s="19"/>
      <c r="J90" s="19">
        <v>4300</v>
      </c>
      <c r="K90" s="19"/>
      <c r="L90" s="20">
        <f t="shared" si="10"/>
        <v>2</v>
      </c>
      <c r="M90" s="21">
        <f t="shared" si="11"/>
        <v>2</v>
      </c>
      <c r="N90" s="22">
        <f t="shared" si="12"/>
        <v>2</v>
      </c>
      <c r="O90" s="22">
        <f t="shared" si="13"/>
        <v>0</v>
      </c>
      <c r="P90" s="20">
        <f t="shared" si="14"/>
        <v>0</v>
      </c>
      <c r="Q90" s="23">
        <f t="shared" si="15"/>
        <v>4300</v>
      </c>
      <c r="R90" s="20">
        <f t="shared" si="17"/>
        <v>4300</v>
      </c>
      <c r="S90" s="20">
        <f t="shared" si="18"/>
        <v>4300</v>
      </c>
      <c r="T90" s="18">
        <f t="shared" si="19"/>
        <v>8600</v>
      </c>
      <c r="U90" s="24"/>
      <c r="V90" s="25">
        <f t="shared" si="16"/>
        <v>0</v>
      </c>
    </row>
    <row r="91" spans="1:22" ht="24" customHeight="1">
      <c r="A91" s="14"/>
      <c r="B91" s="15"/>
      <c r="C91" s="16"/>
      <c r="D91" s="16">
        <v>88</v>
      </c>
      <c r="E91" s="16" t="s">
        <v>178</v>
      </c>
      <c r="F91" s="17" t="s">
        <v>24</v>
      </c>
      <c r="G91" s="18">
        <v>1</v>
      </c>
      <c r="H91" s="19">
        <v>6</v>
      </c>
      <c r="I91" s="19"/>
      <c r="J91" s="19">
        <v>4100</v>
      </c>
      <c r="K91" s="19"/>
      <c r="L91" s="20">
        <f t="shared" si="10"/>
        <v>6</v>
      </c>
      <c r="M91" s="21">
        <f t="shared" si="11"/>
        <v>6</v>
      </c>
      <c r="N91" s="22">
        <f t="shared" si="12"/>
        <v>6</v>
      </c>
      <c r="O91" s="22">
        <f t="shared" si="13"/>
        <v>0</v>
      </c>
      <c r="P91" s="20">
        <f t="shared" si="14"/>
        <v>0</v>
      </c>
      <c r="Q91" s="23">
        <f t="shared" si="15"/>
        <v>4100</v>
      </c>
      <c r="R91" s="20">
        <f t="shared" si="17"/>
        <v>4100</v>
      </c>
      <c r="S91" s="20">
        <f t="shared" si="18"/>
        <v>4100</v>
      </c>
      <c r="T91" s="18">
        <f t="shared" si="19"/>
        <v>24600</v>
      </c>
      <c r="U91" s="24"/>
      <c r="V91" s="25">
        <f t="shared" si="16"/>
        <v>0</v>
      </c>
    </row>
    <row r="92" spans="1:22" ht="24" customHeight="1">
      <c r="A92" s="26"/>
      <c r="B92" s="15"/>
      <c r="C92" s="16"/>
      <c r="D92" s="16">
        <v>89</v>
      </c>
      <c r="E92" s="16" t="s">
        <v>179</v>
      </c>
      <c r="F92" s="17" t="s">
        <v>24</v>
      </c>
      <c r="G92" s="18">
        <v>1</v>
      </c>
      <c r="H92" s="19">
        <v>4</v>
      </c>
      <c r="I92" s="19"/>
      <c r="J92" s="19">
        <v>1250</v>
      </c>
      <c r="K92" s="19"/>
      <c r="L92" s="20">
        <f t="shared" si="10"/>
        <v>4</v>
      </c>
      <c r="M92" s="21">
        <f t="shared" si="11"/>
        <v>4</v>
      </c>
      <c r="N92" s="22">
        <f t="shared" si="12"/>
        <v>4</v>
      </c>
      <c r="O92" s="22">
        <f t="shared" si="13"/>
        <v>0</v>
      </c>
      <c r="P92" s="20">
        <f t="shared" si="14"/>
        <v>0</v>
      </c>
      <c r="Q92" s="23">
        <f t="shared" si="15"/>
        <v>1250</v>
      </c>
      <c r="R92" s="20">
        <f t="shared" si="17"/>
        <v>1250</v>
      </c>
      <c r="S92" s="20">
        <f t="shared" si="18"/>
        <v>1250</v>
      </c>
      <c r="T92" s="18">
        <f t="shared" si="19"/>
        <v>5000</v>
      </c>
      <c r="U92" s="24"/>
      <c r="V92" s="25">
        <f t="shared" si="16"/>
        <v>0</v>
      </c>
    </row>
    <row r="93" spans="1:22" ht="24" customHeight="1">
      <c r="A93" s="26"/>
      <c r="B93" s="15"/>
      <c r="C93" s="16"/>
      <c r="D93" s="16">
        <v>90</v>
      </c>
      <c r="E93" s="16" t="s">
        <v>180</v>
      </c>
      <c r="F93" s="17" t="s">
        <v>24</v>
      </c>
      <c r="G93" s="18">
        <v>1</v>
      </c>
      <c r="H93" s="19">
        <v>2</v>
      </c>
      <c r="I93" s="19"/>
      <c r="J93" s="19">
        <v>366</v>
      </c>
      <c r="K93" s="19"/>
      <c r="L93" s="20">
        <f t="shared" si="10"/>
        <v>2</v>
      </c>
      <c r="M93" s="21">
        <f t="shared" si="11"/>
        <v>2</v>
      </c>
      <c r="N93" s="22">
        <f t="shared" si="12"/>
        <v>2</v>
      </c>
      <c r="O93" s="22">
        <f t="shared" si="13"/>
        <v>0</v>
      </c>
      <c r="P93" s="20">
        <f t="shared" si="14"/>
        <v>0</v>
      </c>
      <c r="Q93" s="23">
        <f t="shared" si="15"/>
        <v>366</v>
      </c>
      <c r="R93" s="20">
        <f t="shared" si="17"/>
        <v>366</v>
      </c>
      <c r="S93" s="20">
        <f t="shared" si="18"/>
        <v>366</v>
      </c>
      <c r="T93" s="18">
        <f t="shared" si="19"/>
        <v>732</v>
      </c>
      <c r="U93" s="24"/>
      <c r="V93" s="25">
        <f t="shared" si="16"/>
        <v>0</v>
      </c>
    </row>
    <row r="94" spans="1:22" ht="24" customHeight="1">
      <c r="A94" s="14"/>
      <c r="B94" s="15"/>
      <c r="C94" s="16"/>
      <c r="D94" s="16">
        <v>91</v>
      </c>
      <c r="E94" s="16" t="s">
        <v>181</v>
      </c>
      <c r="F94" s="17" t="s">
        <v>24</v>
      </c>
      <c r="G94" s="18">
        <v>1</v>
      </c>
      <c r="H94" s="19">
        <v>4</v>
      </c>
      <c r="I94" s="19"/>
      <c r="J94" s="19">
        <v>120</v>
      </c>
      <c r="K94" s="19"/>
      <c r="L94" s="20">
        <f t="shared" si="10"/>
        <v>4</v>
      </c>
      <c r="M94" s="21">
        <f t="shared" si="11"/>
        <v>4</v>
      </c>
      <c r="N94" s="22">
        <f t="shared" si="12"/>
        <v>4</v>
      </c>
      <c r="O94" s="22">
        <f t="shared" si="13"/>
        <v>0</v>
      </c>
      <c r="P94" s="20">
        <f t="shared" si="14"/>
        <v>0</v>
      </c>
      <c r="Q94" s="23">
        <f t="shared" si="15"/>
        <v>120</v>
      </c>
      <c r="R94" s="20">
        <f t="shared" si="17"/>
        <v>120</v>
      </c>
      <c r="S94" s="20">
        <f t="shared" si="18"/>
        <v>120</v>
      </c>
      <c r="T94" s="18">
        <f t="shared" si="19"/>
        <v>480</v>
      </c>
      <c r="U94" s="24"/>
      <c r="V94" s="25">
        <f t="shared" si="16"/>
        <v>0</v>
      </c>
    </row>
    <row r="95" spans="1:22" ht="24" customHeight="1">
      <c r="A95" s="26"/>
      <c r="B95" s="15"/>
      <c r="C95" s="16"/>
      <c r="D95" s="16">
        <v>92</v>
      </c>
      <c r="E95" s="16" t="s">
        <v>182</v>
      </c>
      <c r="F95" s="17" t="s">
        <v>24</v>
      </c>
      <c r="G95" s="18">
        <v>1</v>
      </c>
      <c r="H95" s="19">
        <v>4</v>
      </c>
      <c r="I95" s="19"/>
      <c r="J95" s="19">
        <v>230</v>
      </c>
      <c r="K95" s="19"/>
      <c r="L95" s="20">
        <f t="shared" si="10"/>
        <v>4</v>
      </c>
      <c r="M95" s="21">
        <f t="shared" si="11"/>
        <v>4</v>
      </c>
      <c r="N95" s="22">
        <f t="shared" si="12"/>
        <v>4</v>
      </c>
      <c r="O95" s="22">
        <f t="shared" si="13"/>
        <v>0</v>
      </c>
      <c r="P95" s="20">
        <f t="shared" si="14"/>
        <v>0</v>
      </c>
      <c r="Q95" s="23">
        <f t="shared" si="15"/>
        <v>230</v>
      </c>
      <c r="R95" s="20">
        <f t="shared" si="17"/>
        <v>230</v>
      </c>
      <c r="S95" s="20">
        <f t="shared" si="18"/>
        <v>230</v>
      </c>
      <c r="T95" s="18">
        <f t="shared" si="19"/>
        <v>920</v>
      </c>
      <c r="U95" s="24"/>
      <c r="V95" s="25">
        <f t="shared" si="16"/>
        <v>0</v>
      </c>
    </row>
    <row r="96" spans="1:22" ht="24" customHeight="1">
      <c r="A96" s="26"/>
      <c r="B96" s="15"/>
      <c r="C96" s="16"/>
      <c r="D96" s="16">
        <v>93</v>
      </c>
      <c r="E96" s="16" t="s">
        <v>183</v>
      </c>
      <c r="F96" s="17" t="s">
        <v>24</v>
      </c>
      <c r="G96" s="18">
        <v>1</v>
      </c>
      <c r="H96" s="19">
        <v>1</v>
      </c>
      <c r="I96" s="19"/>
      <c r="J96" s="19">
        <v>160</v>
      </c>
      <c r="K96" s="19"/>
      <c r="L96" s="20">
        <f t="shared" si="10"/>
        <v>1</v>
      </c>
      <c r="M96" s="21">
        <f t="shared" si="11"/>
        <v>1</v>
      </c>
      <c r="N96" s="22">
        <f t="shared" si="12"/>
        <v>1</v>
      </c>
      <c r="O96" s="22">
        <f t="shared" si="13"/>
        <v>0</v>
      </c>
      <c r="P96" s="20">
        <f t="shared" si="14"/>
        <v>0</v>
      </c>
      <c r="Q96" s="23">
        <f t="shared" si="15"/>
        <v>160</v>
      </c>
      <c r="R96" s="20">
        <f t="shared" si="17"/>
        <v>160</v>
      </c>
      <c r="S96" s="20">
        <f t="shared" si="18"/>
        <v>160</v>
      </c>
      <c r="T96" s="18">
        <f t="shared" si="19"/>
        <v>160</v>
      </c>
      <c r="U96" s="24"/>
      <c r="V96" s="25">
        <f t="shared" si="16"/>
        <v>0</v>
      </c>
    </row>
    <row r="97" spans="1:22" ht="24" customHeight="1">
      <c r="A97" s="14"/>
      <c r="B97" s="15"/>
      <c r="C97" s="16"/>
      <c r="D97" s="16">
        <v>94</v>
      </c>
      <c r="E97" s="16" t="s">
        <v>184</v>
      </c>
      <c r="F97" s="17" t="s">
        <v>24</v>
      </c>
      <c r="G97" s="18">
        <v>1</v>
      </c>
      <c r="H97" s="19">
        <v>20</v>
      </c>
      <c r="I97" s="19"/>
      <c r="J97" s="19">
        <v>2900</v>
      </c>
      <c r="K97" s="19"/>
      <c r="L97" s="20">
        <f t="shared" si="10"/>
        <v>20</v>
      </c>
      <c r="M97" s="21">
        <f t="shared" si="11"/>
        <v>20</v>
      </c>
      <c r="N97" s="22">
        <f t="shared" si="12"/>
        <v>20</v>
      </c>
      <c r="O97" s="22">
        <f t="shared" si="13"/>
        <v>0</v>
      </c>
      <c r="P97" s="20">
        <f t="shared" si="14"/>
        <v>0</v>
      </c>
      <c r="Q97" s="23">
        <f t="shared" si="15"/>
        <v>2900</v>
      </c>
      <c r="R97" s="20">
        <f t="shared" si="17"/>
        <v>2900</v>
      </c>
      <c r="S97" s="20">
        <f t="shared" si="18"/>
        <v>2900</v>
      </c>
      <c r="T97" s="18">
        <f t="shared" si="19"/>
        <v>58000</v>
      </c>
      <c r="U97" s="24"/>
      <c r="V97" s="25">
        <f t="shared" si="16"/>
        <v>0</v>
      </c>
    </row>
    <row r="98" spans="1:22" ht="24" customHeight="1">
      <c r="A98" s="26"/>
      <c r="B98" s="15"/>
      <c r="C98" s="16"/>
      <c r="D98" s="16">
        <v>95</v>
      </c>
      <c r="E98" s="16" t="s">
        <v>185</v>
      </c>
      <c r="F98" s="17" t="s">
        <v>24</v>
      </c>
      <c r="G98" s="18">
        <v>1</v>
      </c>
      <c r="H98" s="19">
        <v>16</v>
      </c>
      <c r="I98" s="19"/>
      <c r="J98" s="19">
        <v>140</v>
      </c>
      <c r="K98" s="19"/>
      <c r="L98" s="20">
        <f t="shared" si="10"/>
        <v>16</v>
      </c>
      <c r="M98" s="21">
        <f t="shared" si="11"/>
        <v>16</v>
      </c>
      <c r="N98" s="22">
        <f t="shared" si="12"/>
        <v>16</v>
      </c>
      <c r="O98" s="22">
        <f t="shared" si="13"/>
        <v>0</v>
      </c>
      <c r="P98" s="20">
        <f t="shared" si="14"/>
        <v>0</v>
      </c>
      <c r="Q98" s="23">
        <f t="shared" si="15"/>
        <v>140</v>
      </c>
      <c r="R98" s="20">
        <f t="shared" si="17"/>
        <v>140</v>
      </c>
      <c r="S98" s="20">
        <f t="shared" si="18"/>
        <v>140</v>
      </c>
      <c r="T98" s="18">
        <f t="shared" si="19"/>
        <v>2240</v>
      </c>
      <c r="U98" s="24"/>
      <c r="V98" s="25">
        <f t="shared" si="16"/>
        <v>0</v>
      </c>
    </row>
    <row r="99" spans="1:22" ht="24" customHeight="1">
      <c r="A99" s="26"/>
      <c r="B99" s="15"/>
      <c r="C99" s="16"/>
      <c r="D99" s="16">
        <v>96</v>
      </c>
      <c r="E99" s="16" t="s">
        <v>186</v>
      </c>
      <c r="F99" s="17" t="s">
        <v>24</v>
      </c>
      <c r="G99" s="18">
        <v>1</v>
      </c>
      <c r="H99" s="19">
        <v>12</v>
      </c>
      <c r="I99" s="19"/>
      <c r="J99" s="19">
        <v>50</v>
      </c>
      <c r="K99" s="19"/>
      <c r="L99" s="20">
        <f t="shared" si="10"/>
        <v>12</v>
      </c>
      <c r="M99" s="21">
        <f t="shared" si="11"/>
        <v>12</v>
      </c>
      <c r="N99" s="22">
        <f t="shared" si="12"/>
        <v>12</v>
      </c>
      <c r="O99" s="22">
        <f t="shared" si="13"/>
        <v>0</v>
      </c>
      <c r="P99" s="20">
        <f t="shared" si="14"/>
        <v>0</v>
      </c>
      <c r="Q99" s="23">
        <f t="shared" si="15"/>
        <v>50</v>
      </c>
      <c r="R99" s="20">
        <f t="shared" si="17"/>
        <v>50</v>
      </c>
      <c r="S99" s="20">
        <f t="shared" si="18"/>
        <v>50</v>
      </c>
      <c r="T99" s="18">
        <f t="shared" si="19"/>
        <v>600</v>
      </c>
      <c r="U99" s="24"/>
      <c r="V99" s="25">
        <f t="shared" si="16"/>
        <v>0</v>
      </c>
    </row>
    <row r="100" spans="1:22" ht="24" customHeight="1">
      <c r="A100" s="14"/>
      <c r="B100" s="15"/>
      <c r="C100" s="16"/>
      <c r="D100" s="16">
        <v>97</v>
      </c>
      <c r="E100" s="16" t="s">
        <v>187</v>
      </c>
      <c r="F100" s="17" t="s">
        <v>24</v>
      </c>
      <c r="G100" s="18">
        <v>1</v>
      </c>
      <c r="H100" s="19">
        <v>4</v>
      </c>
      <c r="I100" s="19"/>
      <c r="J100" s="19">
        <v>50</v>
      </c>
      <c r="K100" s="19"/>
      <c r="L100" s="20">
        <f t="shared" si="10"/>
        <v>4</v>
      </c>
      <c r="M100" s="21">
        <f t="shared" si="11"/>
        <v>4</v>
      </c>
      <c r="N100" s="22">
        <f t="shared" si="12"/>
        <v>4</v>
      </c>
      <c r="O100" s="22">
        <f t="shared" si="13"/>
        <v>0</v>
      </c>
      <c r="P100" s="20">
        <f t="shared" si="14"/>
        <v>0</v>
      </c>
      <c r="Q100" s="23">
        <f t="shared" si="15"/>
        <v>50</v>
      </c>
      <c r="R100" s="20">
        <f t="shared" si="17"/>
        <v>50</v>
      </c>
      <c r="S100" s="20">
        <f t="shared" si="18"/>
        <v>50</v>
      </c>
      <c r="T100" s="18">
        <f t="shared" si="19"/>
        <v>200</v>
      </c>
      <c r="U100" s="24"/>
      <c r="V100" s="25">
        <f t="shared" si="16"/>
        <v>0</v>
      </c>
    </row>
    <row r="101" spans="1:22" ht="24" customHeight="1">
      <c r="A101" s="26"/>
      <c r="B101" s="15"/>
      <c r="C101" s="16"/>
      <c r="D101" s="16">
        <v>98</v>
      </c>
      <c r="E101" s="16" t="s">
        <v>188</v>
      </c>
      <c r="F101" s="17" t="s">
        <v>24</v>
      </c>
      <c r="G101" s="18">
        <v>12</v>
      </c>
      <c r="H101" s="19">
        <v>1</v>
      </c>
      <c r="I101" s="19"/>
      <c r="J101" s="19">
        <v>170</v>
      </c>
      <c r="K101" s="19"/>
      <c r="L101" s="20">
        <f t="shared" si="10"/>
        <v>1</v>
      </c>
      <c r="M101" s="21">
        <f t="shared" si="11"/>
        <v>8.3333333333333329E-2</v>
      </c>
      <c r="N101" s="22">
        <f t="shared" si="12"/>
        <v>1</v>
      </c>
      <c r="O101" s="22">
        <f t="shared" si="13"/>
        <v>0</v>
      </c>
      <c r="P101" s="20">
        <f t="shared" si="14"/>
        <v>0</v>
      </c>
      <c r="Q101" s="23">
        <f t="shared" si="15"/>
        <v>2040</v>
      </c>
      <c r="R101" s="20">
        <f t="shared" si="17"/>
        <v>170</v>
      </c>
      <c r="S101" s="20">
        <f t="shared" si="18"/>
        <v>2040</v>
      </c>
      <c r="T101" s="18">
        <f t="shared" si="19"/>
        <v>170</v>
      </c>
      <c r="U101" s="24"/>
      <c r="V101" s="25">
        <f t="shared" si="16"/>
        <v>0</v>
      </c>
    </row>
    <row r="102" spans="1:22" ht="24" customHeight="1">
      <c r="A102" s="26"/>
      <c r="B102" s="15"/>
      <c r="C102" s="16"/>
      <c r="D102" s="16">
        <v>99</v>
      </c>
      <c r="E102" s="16" t="s">
        <v>189</v>
      </c>
      <c r="F102" s="17" t="s">
        <v>24</v>
      </c>
      <c r="G102" s="18">
        <v>1</v>
      </c>
      <c r="H102" s="19">
        <v>1</v>
      </c>
      <c r="I102" s="19"/>
      <c r="J102" s="19">
        <v>230</v>
      </c>
      <c r="K102" s="19"/>
      <c r="L102" s="20">
        <f t="shared" si="10"/>
        <v>1</v>
      </c>
      <c r="M102" s="21">
        <f t="shared" si="11"/>
        <v>1</v>
      </c>
      <c r="N102" s="22">
        <f t="shared" si="12"/>
        <v>1</v>
      </c>
      <c r="O102" s="22">
        <f t="shared" si="13"/>
        <v>0</v>
      </c>
      <c r="P102" s="20">
        <f t="shared" si="14"/>
        <v>0</v>
      </c>
      <c r="Q102" s="23">
        <f t="shared" si="15"/>
        <v>230</v>
      </c>
      <c r="R102" s="20">
        <f t="shared" si="17"/>
        <v>230</v>
      </c>
      <c r="S102" s="20">
        <f t="shared" si="18"/>
        <v>230</v>
      </c>
      <c r="T102" s="18">
        <f t="shared" si="19"/>
        <v>230</v>
      </c>
      <c r="U102" s="24"/>
      <c r="V102" s="25">
        <f t="shared" si="16"/>
        <v>0</v>
      </c>
    </row>
    <row r="103" spans="1:22" ht="24" customHeight="1">
      <c r="A103" s="14"/>
      <c r="B103" s="15"/>
      <c r="C103" s="16"/>
      <c r="D103" s="16">
        <v>100</v>
      </c>
      <c r="E103" s="16" t="s">
        <v>190</v>
      </c>
      <c r="F103" s="17" t="s">
        <v>24</v>
      </c>
      <c r="G103" s="18">
        <v>1</v>
      </c>
      <c r="H103" s="19">
        <v>2</v>
      </c>
      <c r="I103" s="19"/>
      <c r="J103" s="19">
        <v>800</v>
      </c>
      <c r="K103" s="19"/>
      <c r="L103" s="20">
        <f t="shared" si="10"/>
        <v>2</v>
      </c>
      <c r="M103" s="21">
        <f t="shared" si="11"/>
        <v>2</v>
      </c>
      <c r="N103" s="22">
        <f t="shared" si="12"/>
        <v>2</v>
      </c>
      <c r="O103" s="22">
        <f t="shared" si="13"/>
        <v>0</v>
      </c>
      <c r="P103" s="20">
        <f t="shared" si="14"/>
        <v>0</v>
      </c>
      <c r="Q103" s="23">
        <f t="shared" si="15"/>
        <v>800</v>
      </c>
      <c r="R103" s="20">
        <f t="shared" si="17"/>
        <v>800</v>
      </c>
      <c r="S103" s="20">
        <f t="shared" si="18"/>
        <v>800</v>
      </c>
      <c r="T103" s="18">
        <f t="shared" si="19"/>
        <v>1600</v>
      </c>
      <c r="U103" s="24"/>
      <c r="V103" s="25">
        <f t="shared" si="16"/>
        <v>0</v>
      </c>
    </row>
    <row r="104" spans="1:22" ht="24" customHeight="1">
      <c r="A104" s="26"/>
      <c r="B104" s="15"/>
      <c r="C104" s="16"/>
      <c r="D104" s="16">
        <v>101</v>
      </c>
      <c r="E104" s="16" t="s">
        <v>191</v>
      </c>
      <c r="F104" s="17" t="s">
        <v>24</v>
      </c>
      <c r="G104" s="18">
        <v>1</v>
      </c>
      <c r="H104" s="19">
        <v>6</v>
      </c>
      <c r="I104" s="19"/>
      <c r="J104" s="19">
        <v>230</v>
      </c>
      <c r="K104" s="19"/>
      <c r="L104" s="20">
        <f t="shared" si="10"/>
        <v>6</v>
      </c>
      <c r="M104" s="21">
        <f t="shared" si="11"/>
        <v>6</v>
      </c>
      <c r="N104" s="22">
        <f t="shared" si="12"/>
        <v>6</v>
      </c>
      <c r="O104" s="22">
        <f t="shared" si="13"/>
        <v>0</v>
      </c>
      <c r="P104" s="20">
        <f t="shared" si="14"/>
        <v>0</v>
      </c>
      <c r="Q104" s="23">
        <f t="shared" si="15"/>
        <v>230</v>
      </c>
      <c r="R104" s="20">
        <f t="shared" si="17"/>
        <v>230</v>
      </c>
      <c r="S104" s="20">
        <f t="shared" si="18"/>
        <v>230</v>
      </c>
      <c r="T104" s="18">
        <f t="shared" si="19"/>
        <v>1380</v>
      </c>
      <c r="U104" s="24"/>
      <c r="V104" s="25">
        <f t="shared" si="16"/>
        <v>0</v>
      </c>
    </row>
    <row r="105" spans="1:22" ht="24" customHeight="1">
      <c r="A105" s="26"/>
      <c r="B105" s="15"/>
      <c r="C105" s="16"/>
      <c r="D105" s="16">
        <v>102</v>
      </c>
      <c r="E105" s="16" t="s">
        <v>192</v>
      </c>
      <c r="F105" s="17" t="s">
        <v>24</v>
      </c>
      <c r="G105" s="18">
        <v>1</v>
      </c>
      <c r="H105" s="19">
        <v>12</v>
      </c>
      <c r="I105" s="19"/>
      <c r="J105" s="19">
        <v>540</v>
      </c>
      <c r="K105" s="19"/>
      <c r="L105" s="20">
        <f t="shared" si="10"/>
        <v>12</v>
      </c>
      <c r="M105" s="21">
        <f t="shared" si="11"/>
        <v>12</v>
      </c>
      <c r="N105" s="22">
        <f t="shared" si="12"/>
        <v>12</v>
      </c>
      <c r="O105" s="22">
        <f t="shared" si="13"/>
        <v>0</v>
      </c>
      <c r="P105" s="20">
        <f t="shared" si="14"/>
        <v>0</v>
      </c>
      <c r="Q105" s="23">
        <f t="shared" si="15"/>
        <v>540</v>
      </c>
      <c r="R105" s="20">
        <f t="shared" si="17"/>
        <v>540</v>
      </c>
      <c r="S105" s="20">
        <f t="shared" si="18"/>
        <v>540</v>
      </c>
      <c r="T105" s="18">
        <f t="shared" si="19"/>
        <v>6480</v>
      </c>
      <c r="U105" s="24"/>
      <c r="V105" s="25">
        <f t="shared" si="16"/>
        <v>0</v>
      </c>
    </row>
    <row r="106" spans="1:22" ht="24" customHeight="1">
      <c r="A106" s="14"/>
      <c r="B106" s="15"/>
      <c r="C106" s="16"/>
      <c r="D106" s="16">
        <v>103</v>
      </c>
      <c r="E106" s="16" t="s">
        <v>193</v>
      </c>
      <c r="F106" s="17" t="s">
        <v>24</v>
      </c>
      <c r="G106" s="18">
        <v>1</v>
      </c>
      <c r="H106" s="19">
        <v>4</v>
      </c>
      <c r="I106" s="19"/>
      <c r="J106" s="19">
        <v>180</v>
      </c>
      <c r="K106" s="19"/>
      <c r="L106" s="20">
        <f t="shared" si="10"/>
        <v>4</v>
      </c>
      <c r="M106" s="21">
        <f t="shared" si="11"/>
        <v>4</v>
      </c>
      <c r="N106" s="22">
        <f t="shared" si="12"/>
        <v>4</v>
      </c>
      <c r="O106" s="22">
        <f t="shared" si="13"/>
        <v>0</v>
      </c>
      <c r="P106" s="20">
        <f t="shared" si="14"/>
        <v>0</v>
      </c>
      <c r="Q106" s="23">
        <f t="shared" si="15"/>
        <v>180</v>
      </c>
      <c r="R106" s="20">
        <f t="shared" si="17"/>
        <v>180</v>
      </c>
      <c r="S106" s="20">
        <f t="shared" si="18"/>
        <v>180</v>
      </c>
      <c r="T106" s="18">
        <f t="shared" si="19"/>
        <v>720</v>
      </c>
      <c r="U106" s="24"/>
      <c r="V106" s="25">
        <f t="shared" si="16"/>
        <v>0</v>
      </c>
    </row>
    <row r="107" spans="1:22" ht="24" customHeight="1">
      <c r="A107" s="26"/>
      <c r="B107" s="15"/>
      <c r="C107" s="16"/>
      <c r="D107" s="16">
        <v>104</v>
      </c>
      <c r="E107" s="16" t="s">
        <v>194</v>
      </c>
      <c r="F107" s="17" t="s">
        <v>24</v>
      </c>
      <c r="G107" s="18">
        <v>1</v>
      </c>
      <c r="H107" s="19">
        <v>5</v>
      </c>
      <c r="I107" s="19"/>
      <c r="J107" s="19">
        <v>150</v>
      </c>
      <c r="K107" s="19"/>
      <c r="L107" s="20">
        <f t="shared" si="10"/>
        <v>5</v>
      </c>
      <c r="M107" s="21">
        <f t="shared" si="11"/>
        <v>5</v>
      </c>
      <c r="N107" s="22">
        <f t="shared" si="12"/>
        <v>5</v>
      </c>
      <c r="O107" s="22">
        <f t="shared" si="13"/>
        <v>0</v>
      </c>
      <c r="P107" s="20">
        <f t="shared" si="14"/>
        <v>0</v>
      </c>
      <c r="Q107" s="23">
        <f t="shared" si="15"/>
        <v>150</v>
      </c>
      <c r="R107" s="20">
        <f t="shared" si="17"/>
        <v>150</v>
      </c>
      <c r="S107" s="20">
        <f t="shared" si="18"/>
        <v>150</v>
      </c>
      <c r="T107" s="18">
        <f t="shared" si="19"/>
        <v>750</v>
      </c>
      <c r="U107" s="24"/>
      <c r="V107" s="25">
        <f t="shared" si="16"/>
        <v>0</v>
      </c>
    </row>
    <row r="108" spans="1:22" ht="24" customHeight="1">
      <c r="A108" s="26"/>
      <c r="B108" s="15"/>
      <c r="C108" s="16"/>
      <c r="D108" s="16">
        <v>105</v>
      </c>
      <c r="E108" s="16" t="s">
        <v>195</v>
      </c>
      <c r="F108" s="17" t="s">
        <v>24</v>
      </c>
      <c r="G108" s="18">
        <v>1</v>
      </c>
      <c r="H108" s="19">
        <v>1</v>
      </c>
      <c r="I108" s="19"/>
      <c r="J108" s="19">
        <v>100</v>
      </c>
      <c r="K108" s="19"/>
      <c r="L108" s="20">
        <f t="shared" si="10"/>
        <v>1</v>
      </c>
      <c r="M108" s="21">
        <f t="shared" si="11"/>
        <v>1</v>
      </c>
      <c r="N108" s="22">
        <f t="shared" si="12"/>
        <v>1</v>
      </c>
      <c r="O108" s="22">
        <f t="shared" si="13"/>
        <v>0</v>
      </c>
      <c r="P108" s="20">
        <f t="shared" si="14"/>
        <v>0</v>
      </c>
      <c r="Q108" s="23">
        <f t="shared" si="15"/>
        <v>100</v>
      </c>
      <c r="R108" s="20">
        <f t="shared" si="17"/>
        <v>100</v>
      </c>
      <c r="S108" s="20">
        <f t="shared" si="18"/>
        <v>100</v>
      </c>
      <c r="T108" s="18">
        <f t="shared" si="19"/>
        <v>100</v>
      </c>
      <c r="U108" s="24"/>
      <c r="V108" s="25">
        <f t="shared" si="16"/>
        <v>0</v>
      </c>
    </row>
    <row r="109" spans="1:22" ht="24" customHeight="1">
      <c r="A109" s="14"/>
      <c r="B109" s="15"/>
      <c r="C109" s="16"/>
      <c r="D109" s="16">
        <v>106</v>
      </c>
      <c r="E109" s="16" t="s">
        <v>196</v>
      </c>
      <c r="F109" s="17" t="s">
        <v>24</v>
      </c>
      <c r="G109" s="18">
        <v>1</v>
      </c>
      <c r="H109" s="19">
        <v>16</v>
      </c>
      <c r="I109" s="19"/>
      <c r="J109" s="19">
        <v>210</v>
      </c>
      <c r="K109" s="19"/>
      <c r="L109" s="20">
        <f t="shared" si="10"/>
        <v>16</v>
      </c>
      <c r="M109" s="21">
        <f t="shared" si="11"/>
        <v>16</v>
      </c>
      <c r="N109" s="22">
        <f t="shared" si="12"/>
        <v>16</v>
      </c>
      <c r="O109" s="22">
        <f t="shared" si="13"/>
        <v>0</v>
      </c>
      <c r="P109" s="20">
        <f t="shared" si="14"/>
        <v>0</v>
      </c>
      <c r="Q109" s="23">
        <f t="shared" si="15"/>
        <v>210</v>
      </c>
      <c r="R109" s="20">
        <f t="shared" si="17"/>
        <v>210</v>
      </c>
      <c r="S109" s="20">
        <f t="shared" si="18"/>
        <v>210</v>
      </c>
      <c r="T109" s="18">
        <f t="shared" si="19"/>
        <v>3360</v>
      </c>
      <c r="U109" s="24"/>
      <c r="V109" s="25">
        <f t="shared" si="16"/>
        <v>0</v>
      </c>
    </row>
    <row r="110" spans="1:22" ht="24" customHeight="1">
      <c r="A110" s="26"/>
      <c r="B110" s="15"/>
      <c r="C110" s="16"/>
      <c r="D110" s="16">
        <v>107</v>
      </c>
      <c r="E110" s="16" t="s">
        <v>197</v>
      </c>
      <c r="F110" s="17" t="s">
        <v>24</v>
      </c>
      <c r="G110" s="18">
        <v>1</v>
      </c>
      <c r="H110" s="19">
        <v>1</v>
      </c>
      <c r="I110" s="19"/>
      <c r="J110" s="19">
        <v>340</v>
      </c>
      <c r="K110" s="19"/>
      <c r="L110" s="20">
        <f t="shared" si="10"/>
        <v>1</v>
      </c>
      <c r="M110" s="21">
        <f t="shared" si="11"/>
        <v>1</v>
      </c>
      <c r="N110" s="22">
        <f t="shared" si="12"/>
        <v>1</v>
      </c>
      <c r="O110" s="22">
        <f t="shared" si="13"/>
        <v>0</v>
      </c>
      <c r="P110" s="20">
        <f t="shared" si="14"/>
        <v>0</v>
      </c>
      <c r="Q110" s="23">
        <f t="shared" si="15"/>
        <v>340</v>
      </c>
      <c r="R110" s="20">
        <f t="shared" si="17"/>
        <v>340</v>
      </c>
      <c r="S110" s="20">
        <f t="shared" si="18"/>
        <v>340</v>
      </c>
      <c r="T110" s="18">
        <f t="shared" si="19"/>
        <v>340</v>
      </c>
      <c r="U110" s="24"/>
      <c r="V110" s="25">
        <f t="shared" si="16"/>
        <v>0</v>
      </c>
    </row>
    <row r="111" spans="1:22" ht="24" customHeight="1">
      <c r="A111" s="26"/>
      <c r="B111" s="15"/>
      <c r="C111" s="16"/>
      <c r="D111" s="16">
        <v>108</v>
      </c>
      <c r="E111" s="16" t="s">
        <v>198</v>
      </c>
      <c r="F111" s="17" t="s">
        <v>24</v>
      </c>
      <c r="G111" s="18">
        <v>1</v>
      </c>
      <c r="H111" s="19">
        <v>5</v>
      </c>
      <c r="I111" s="19"/>
      <c r="J111" s="19">
        <v>290</v>
      </c>
      <c r="K111" s="19"/>
      <c r="L111" s="20">
        <f t="shared" si="10"/>
        <v>5</v>
      </c>
      <c r="M111" s="21">
        <f t="shared" si="11"/>
        <v>5</v>
      </c>
      <c r="N111" s="22">
        <f t="shared" si="12"/>
        <v>5</v>
      </c>
      <c r="O111" s="22">
        <f t="shared" si="13"/>
        <v>0</v>
      </c>
      <c r="P111" s="20">
        <f t="shared" si="14"/>
        <v>0</v>
      </c>
      <c r="Q111" s="23">
        <f t="shared" si="15"/>
        <v>290</v>
      </c>
      <c r="R111" s="20">
        <f t="shared" si="17"/>
        <v>290</v>
      </c>
      <c r="S111" s="20">
        <f t="shared" si="18"/>
        <v>290</v>
      </c>
      <c r="T111" s="18">
        <f t="shared" si="19"/>
        <v>1450</v>
      </c>
      <c r="U111" s="24"/>
      <c r="V111" s="25">
        <f t="shared" si="16"/>
        <v>0</v>
      </c>
    </row>
    <row r="112" spans="1:22" ht="24" customHeight="1">
      <c r="A112" s="14"/>
      <c r="B112" s="15"/>
      <c r="C112" s="16"/>
      <c r="D112" s="16">
        <v>109</v>
      </c>
      <c r="E112" s="16" t="s">
        <v>199</v>
      </c>
      <c r="F112" s="17" t="s">
        <v>24</v>
      </c>
      <c r="G112" s="18">
        <v>1</v>
      </c>
      <c r="H112" s="19">
        <v>1</v>
      </c>
      <c r="I112" s="19"/>
      <c r="J112" s="19">
        <v>100</v>
      </c>
      <c r="K112" s="19"/>
      <c r="L112" s="20">
        <f t="shared" si="10"/>
        <v>1</v>
      </c>
      <c r="M112" s="21">
        <f t="shared" si="11"/>
        <v>1</v>
      </c>
      <c r="N112" s="22">
        <f t="shared" si="12"/>
        <v>1</v>
      </c>
      <c r="O112" s="22">
        <f t="shared" si="13"/>
        <v>0</v>
      </c>
      <c r="P112" s="20">
        <f t="shared" si="14"/>
        <v>0</v>
      </c>
      <c r="Q112" s="23">
        <f t="shared" si="15"/>
        <v>100</v>
      </c>
      <c r="R112" s="20">
        <f t="shared" si="17"/>
        <v>100</v>
      </c>
      <c r="S112" s="20">
        <f t="shared" si="18"/>
        <v>100</v>
      </c>
      <c r="T112" s="18">
        <f t="shared" si="19"/>
        <v>100</v>
      </c>
      <c r="U112" s="24"/>
      <c r="V112" s="25">
        <f t="shared" si="16"/>
        <v>0</v>
      </c>
    </row>
    <row r="113" spans="1:22" ht="24" customHeight="1">
      <c r="A113" s="26"/>
      <c r="B113" s="15"/>
      <c r="C113" s="16"/>
      <c r="D113" s="16">
        <v>110</v>
      </c>
      <c r="E113" s="16" t="s">
        <v>200</v>
      </c>
      <c r="F113" s="17" t="s">
        <v>24</v>
      </c>
      <c r="G113" s="18">
        <v>1</v>
      </c>
      <c r="H113" s="19">
        <v>12</v>
      </c>
      <c r="I113" s="19"/>
      <c r="J113" s="19">
        <v>225</v>
      </c>
      <c r="K113" s="19"/>
      <c r="L113" s="20">
        <f t="shared" si="10"/>
        <v>12</v>
      </c>
      <c r="M113" s="21">
        <f t="shared" si="11"/>
        <v>12</v>
      </c>
      <c r="N113" s="22">
        <f t="shared" si="12"/>
        <v>12</v>
      </c>
      <c r="O113" s="22">
        <f t="shared" si="13"/>
        <v>0</v>
      </c>
      <c r="P113" s="20">
        <f t="shared" si="14"/>
        <v>0</v>
      </c>
      <c r="Q113" s="23">
        <f t="shared" si="15"/>
        <v>225</v>
      </c>
      <c r="R113" s="20">
        <f t="shared" si="17"/>
        <v>225</v>
      </c>
      <c r="S113" s="20">
        <f t="shared" si="18"/>
        <v>225</v>
      </c>
      <c r="T113" s="18">
        <f t="shared" si="19"/>
        <v>2700</v>
      </c>
      <c r="U113" s="24"/>
      <c r="V113" s="25">
        <f t="shared" si="16"/>
        <v>0</v>
      </c>
    </row>
    <row r="114" spans="1:22" ht="24" customHeight="1">
      <c r="A114" s="26"/>
      <c r="B114" s="15"/>
      <c r="C114" s="16"/>
      <c r="D114" s="16">
        <v>111</v>
      </c>
      <c r="E114" s="16" t="s">
        <v>201</v>
      </c>
      <c r="F114" s="17" t="s">
        <v>24</v>
      </c>
      <c r="G114" s="18">
        <v>1</v>
      </c>
      <c r="H114" s="19">
        <v>2</v>
      </c>
      <c r="I114" s="19"/>
      <c r="J114" s="19">
        <v>450</v>
      </c>
      <c r="K114" s="19"/>
      <c r="L114" s="20">
        <f t="shared" si="10"/>
        <v>2</v>
      </c>
      <c r="M114" s="21">
        <f t="shared" si="11"/>
        <v>2</v>
      </c>
      <c r="N114" s="22">
        <f t="shared" si="12"/>
        <v>2</v>
      </c>
      <c r="O114" s="22">
        <f t="shared" si="13"/>
        <v>0</v>
      </c>
      <c r="P114" s="20">
        <f t="shared" si="14"/>
        <v>0</v>
      </c>
      <c r="Q114" s="23">
        <f t="shared" si="15"/>
        <v>450</v>
      </c>
      <c r="R114" s="20">
        <f t="shared" si="17"/>
        <v>450</v>
      </c>
      <c r="S114" s="20">
        <f t="shared" si="18"/>
        <v>450</v>
      </c>
      <c r="T114" s="18">
        <f t="shared" si="19"/>
        <v>900</v>
      </c>
      <c r="U114" s="24"/>
      <c r="V114" s="25">
        <f t="shared" si="16"/>
        <v>0</v>
      </c>
    </row>
    <row r="115" spans="1:22" ht="24" customHeight="1">
      <c r="A115" s="14"/>
      <c r="B115" s="15"/>
      <c r="C115" s="16"/>
      <c r="D115" s="16">
        <v>112</v>
      </c>
      <c r="E115" s="16" t="s">
        <v>202</v>
      </c>
      <c r="F115" s="17" t="s">
        <v>24</v>
      </c>
      <c r="G115" s="18">
        <v>1</v>
      </c>
      <c r="H115" s="19">
        <v>2</v>
      </c>
      <c r="I115" s="19"/>
      <c r="J115" s="19">
        <v>260</v>
      </c>
      <c r="K115" s="19"/>
      <c r="L115" s="20">
        <f t="shared" si="10"/>
        <v>2</v>
      </c>
      <c r="M115" s="21">
        <f t="shared" si="11"/>
        <v>2</v>
      </c>
      <c r="N115" s="22">
        <f t="shared" si="12"/>
        <v>2</v>
      </c>
      <c r="O115" s="22">
        <f t="shared" si="13"/>
        <v>0</v>
      </c>
      <c r="P115" s="20">
        <f t="shared" si="14"/>
        <v>0</v>
      </c>
      <c r="Q115" s="23">
        <f t="shared" si="15"/>
        <v>260</v>
      </c>
      <c r="R115" s="20">
        <f t="shared" si="17"/>
        <v>260</v>
      </c>
      <c r="S115" s="20">
        <f t="shared" si="18"/>
        <v>260</v>
      </c>
      <c r="T115" s="18">
        <f t="shared" si="19"/>
        <v>520</v>
      </c>
      <c r="U115" s="24"/>
      <c r="V115" s="25">
        <f t="shared" si="16"/>
        <v>0</v>
      </c>
    </row>
    <row r="116" spans="1:22" ht="24" customHeight="1">
      <c r="A116" s="26"/>
      <c r="B116" s="15"/>
      <c r="C116" s="16"/>
      <c r="D116" s="16">
        <v>113</v>
      </c>
      <c r="E116" s="16" t="s">
        <v>203</v>
      </c>
      <c r="F116" s="17" t="s">
        <v>24</v>
      </c>
      <c r="G116" s="18">
        <v>1</v>
      </c>
      <c r="H116" s="19">
        <v>2</v>
      </c>
      <c r="I116" s="19"/>
      <c r="J116" s="19">
        <v>788</v>
      </c>
      <c r="K116" s="19"/>
      <c r="L116" s="20">
        <f t="shared" si="10"/>
        <v>2</v>
      </c>
      <c r="M116" s="21">
        <f t="shared" si="11"/>
        <v>2</v>
      </c>
      <c r="N116" s="22">
        <f t="shared" si="12"/>
        <v>2</v>
      </c>
      <c r="O116" s="22">
        <f t="shared" si="13"/>
        <v>0</v>
      </c>
      <c r="P116" s="20">
        <f t="shared" si="14"/>
        <v>0</v>
      </c>
      <c r="Q116" s="23">
        <f t="shared" si="15"/>
        <v>788</v>
      </c>
      <c r="R116" s="20">
        <f t="shared" si="17"/>
        <v>788</v>
      </c>
      <c r="S116" s="20">
        <f t="shared" si="18"/>
        <v>788</v>
      </c>
      <c r="T116" s="18">
        <f t="shared" si="19"/>
        <v>1576</v>
      </c>
      <c r="U116" s="24"/>
      <c r="V116" s="25">
        <f t="shared" si="16"/>
        <v>0</v>
      </c>
    </row>
    <row r="117" spans="1:22" ht="24" customHeight="1">
      <c r="A117" s="26"/>
      <c r="B117" s="15"/>
      <c r="C117" s="16"/>
      <c r="D117" s="16">
        <v>114</v>
      </c>
      <c r="E117" s="16" t="s">
        <v>204</v>
      </c>
      <c r="F117" s="17" t="s">
        <v>24</v>
      </c>
      <c r="G117" s="18">
        <v>1</v>
      </c>
      <c r="H117" s="19">
        <v>7</v>
      </c>
      <c r="I117" s="19"/>
      <c r="J117" s="19">
        <v>120</v>
      </c>
      <c r="K117" s="19"/>
      <c r="L117" s="20">
        <f t="shared" si="10"/>
        <v>7</v>
      </c>
      <c r="M117" s="21">
        <f t="shared" si="11"/>
        <v>7</v>
      </c>
      <c r="N117" s="22">
        <f t="shared" si="12"/>
        <v>7</v>
      </c>
      <c r="O117" s="22">
        <f t="shared" si="13"/>
        <v>0</v>
      </c>
      <c r="P117" s="20">
        <f t="shared" si="14"/>
        <v>0</v>
      </c>
      <c r="Q117" s="23">
        <f t="shared" si="15"/>
        <v>120</v>
      </c>
      <c r="R117" s="20">
        <f t="shared" si="17"/>
        <v>120</v>
      </c>
      <c r="S117" s="20">
        <f t="shared" si="18"/>
        <v>120</v>
      </c>
      <c r="T117" s="18">
        <f t="shared" si="19"/>
        <v>840</v>
      </c>
      <c r="U117" s="24"/>
      <c r="V117" s="25">
        <f t="shared" si="16"/>
        <v>0</v>
      </c>
    </row>
    <row r="118" spans="1:22" ht="24" customHeight="1">
      <c r="A118" s="14"/>
      <c r="B118" s="15"/>
      <c r="C118" s="16"/>
      <c r="D118" s="16">
        <v>115</v>
      </c>
      <c r="E118" s="16" t="s">
        <v>205</v>
      </c>
      <c r="F118" s="17" t="s">
        <v>24</v>
      </c>
      <c r="G118" s="18">
        <v>4</v>
      </c>
      <c r="H118" s="19"/>
      <c r="I118" s="19">
        <v>5</v>
      </c>
      <c r="J118" s="19">
        <v>98</v>
      </c>
      <c r="K118" s="19"/>
      <c r="L118" s="20">
        <f t="shared" si="10"/>
        <v>20</v>
      </c>
      <c r="M118" s="21">
        <f t="shared" si="11"/>
        <v>5</v>
      </c>
      <c r="N118" s="22">
        <f t="shared" si="12"/>
        <v>0</v>
      </c>
      <c r="O118" s="22">
        <f t="shared" si="13"/>
        <v>5</v>
      </c>
      <c r="P118" s="20">
        <f t="shared" si="14"/>
        <v>0</v>
      </c>
      <c r="Q118" s="23">
        <f t="shared" si="15"/>
        <v>392</v>
      </c>
      <c r="R118" s="20">
        <f t="shared" si="17"/>
        <v>98</v>
      </c>
      <c r="S118" s="20">
        <f t="shared" si="18"/>
        <v>392</v>
      </c>
      <c r="T118" s="18">
        <f t="shared" si="19"/>
        <v>1960</v>
      </c>
      <c r="U118" s="24"/>
      <c r="V118" s="25">
        <f t="shared" si="16"/>
        <v>0</v>
      </c>
    </row>
    <row r="119" spans="1:22" ht="24" customHeight="1">
      <c r="A119" s="26"/>
      <c r="B119" s="15"/>
      <c r="C119" s="16"/>
      <c r="D119" s="16">
        <v>116</v>
      </c>
      <c r="E119" s="16" t="s">
        <v>882</v>
      </c>
      <c r="F119" s="17" t="s">
        <v>24</v>
      </c>
      <c r="G119" s="18">
        <v>1</v>
      </c>
      <c r="H119" s="19"/>
      <c r="I119" s="19">
        <v>2</v>
      </c>
      <c r="J119" s="19">
        <v>800</v>
      </c>
      <c r="K119" s="19"/>
      <c r="L119" s="20">
        <f t="shared" si="10"/>
        <v>2</v>
      </c>
      <c r="M119" s="21">
        <f t="shared" si="11"/>
        <v>2</v>
      </c>
      <c r="N119" s="22">
        <f t="shared" si="12"/>
        <v>2</v>
      </c>
      <c r="O119" s="22">
        <f t="shared" si="13"/>
        <v>0</v>
      </c>
      <c r="P119" s="20">
        <f t="shared" si="14"/>
        <v>0</v>
      </c>
      <c r="Q119" s="23">
        <f t="shared" si="15"/>
        <v>800</v>
      </c>
      <c r="R119" s="20">
        <f t="shared" si="17"/>
        <v>800</v>
      </c>
      <c r="S119" s="20">
        <f t="shared" si="18"/>
        <v>800</v>
      </c>
      <c r="T119" s="18">
        <f t="shared" si="19"/>
        <v>1600</v>
      </c>
      <c r="U119" s="24"/>
      <c r="V119" s="25">
        <f t="shared" si="16"/>
        <v>0</v>
      </c>
    </row>
    <row r="120" spans="1:22" ht="24" customHeight="1">
      <c r="A120" s="26"/>
      <c r="B120" s="15"/>
      <c r="C120" s="16"/>
      <c r="D120" s="16">
        <v>117</v>
      </c>
      <c r="E120" s="16" t="s">
        <v>206</v>
      </c>
      <c r="F120" s="17" t="s">
        <v>24</v>
      </c>
      <c r="G120" s="18">
        <v>100</v>
      </c>
      <c r="H120" s="19">
        <v>10</v>
      </c>
      <c r="I120" s="19">
        <v>1</v>
      </c>
      <c r="J120" s="19"/>
      <c r="K120" s="19">
        <v>650</v>
      </c>
      <c r="L120" s="20">
        <f t="shared" si="10"/>
        <v>110</v>
      </c>
      <c r="M120" s="21">
        <f t="shared" si="11"/>
        <v>1.1000000000000001</v>
      </c>
      <c r="N120" s="22">
        <f t="shared" si="12"/>
        <v>10.000000000000009</v>
      </c>
      <c r="O120" s="22">
        <f t="shared" si="13"/>
        <v>1</v>
      </c>
      <c r="P120" s="20">
        <f t="shared" si="14"/>
        <v>6.5</v>
      </c>
      <c r="Q120" s="23">
        <f t="shared" si="15"/>
        <v>0</v>
      </c>
      <c r="R120" s="20">
        <f t="shared" si="17"/>
        <v>6.5</v>
      </c>
      <c r="S120" s="20">
        <f t="shared" si="18"/>
        <v>650</v>
      </c>
      <c r="T120" s="18">
        <f t="shared" si="19"/>
        <v>715</v>
      </c>
      <c r="U120" s="24"/>
      <c r="V120" s="25">
        <f t="shared" si="16"/>
        <v>0</v>
      </c>
    </row>
    <row r="121" spans="1:22" ht="24" customHeight="1">
      <c r="A121" s="14"/>
      <c r="B121" s="15"/>
      <c r="C121" s="16"/>
      <c r="D121" s="16">
        <v>118</v>
      </c>
      <c r="E121" s="16" t="s">
        <v>207</v>
      </c>
      <c r="F121" s="17" t="s">
        <v>24</v>
      </c>
      <c r="G121" s="18">
        <v>1</v>
      </c>
      <c r="H121" s="19">
        <v>7</v>
      </c>
      <c r="I121" s="19"/>
      <c r="J121" s="19">
        <v>625</v>
      </c>
      <c r="K121" s="19"/>
      <c r="L121" s="20">
        <f t="shared" si="10"/>
        <v>7</v>
      </c>
      <c r="M121" s="21">
        <f t="shared" si="11"/>
        <v>7</v>
      </c>
      <c r="N121" s="22">
        <f t="shared" si="12"/>
        <v>7</v>
      </c>
      <c r="O121" s="22">
        <f t="shared" si="13"/>
        <v>0</v>
      </c>
      <c r="P121" s="20">
        <f t="shared" si="14"/>
        <v>0</v>
      </c>
      <c r="Q121" s="23">
        <f t="shared" si="15"/>
        <v>625</v>
      </c>
      <c r="R121" s="20">
        <f t="shared" si="17"/>
        <v>625</v>
      </c>
      <c r="S121" s="20">
        <f t="shared" si="18"/>
        <v>625</v>
      </c>
      <c r="T121" s="18">
        <f t="shared" si="19"/>
        <v>4375</v>
      </c>
      <c r="U121" s="24"/>
      <c r="V121" s="25">
        <f t="shared" si="16"/>
        <v>0</v>
      </c>
    </row>
    <row r="122" spans="1:22" ht="24" customHeight="1">
      <c r="A122" s="26"/>
      <c r="B122" s="15"/>
      <c r="C122" s="16"/>
      <c r="D122" s="16">
        <v>119</v>
      </c>
      <c r="E122" s="16" t="s">
        <v>208</v>
      </c>
      <c r="F122" s="17" t="s">
        <v>24</v>
      </c>
      <c r="G122" s="18">
        <v>12</v>
      </c>
      <c r="H122" s="19"/>
      <c r="I122" s="19">
        <v>1</v>
      </c>
      <c r="J122" s="19">
        <v>92</v>
      </c>
      <c r="K122" s="19"/>
      <c r="L122" s="20">
        <f t="shared" si="10"/>
        <v>12</v>
      </c>
      <c r="M122" s="21">
        <f t="shared" si="11"/>
        <v>1</v>
      </c>
      <c r="N122" s="22">
        <f t="shared" si="12"/>
        <v>0</v>
      </c>
      <c r="O122" s="22">
        <f t="shared" si="13"/>
        <v>1</v>
      </c>
      <c r="P122" s="20">
        <f t="shared" si="14"/>
        <v>0</v>
      </c>
      <c r="Q122" s="23">
        <f t="shared" si="15"/>
        <v>1104</v>
      </c>
      <c r="R122" s="20">
        <f t="shared" si="17"/>
        <v>92</v>
      </c>
      <c r="S122" s="20">
        <f t="shared" si="18"/>
        <v>1104</v>
      </c>
      <c r="T122" s="18">
        <f t="shared" si="19"/>
        <v>1104</v>
      </c>
      <c r="U122" s="24"/>
      <c r="V122" s="25">
        <f t="shared" si="16"/>
        <v>0</v>
      </c>
    </row>
    <row r="123" spans="1:22" ht="24" customHeight="1">
      <c r="A123" s="26"/>
      <c r="B123" s="15"/>
      <c r="C123" s="16"/>
      <c r="D123" s="16">
        <v>120</v>
      </c>
      <c r="E123" s="16" t="s">
        <v>209</v>
      </c>
      <c r="F123" s="17" t="s">
        <v>24</v>
      </c>
      <c r="G123" s="18">
        <v>1</v>
      </c>
      <c r="H123" s="19">
        <v>4</v>
      </c>
      <c r="I123" s="19"/>
      <c r="J123" s="19">
        <v>163</v>
      </c>
      <c r="K123" s="19"/>
      <c r="L123" s="20">
        <f t="shared" si="10"/>
        <v>4</v>
      </c>
      <c r="M123" s="21">
        <f t="shared" si="11"/>
        <v>4</v>
      </c>
      <c r="N123" s="22">
        <f t="shared" si="12"/>
        <v>4</v>
      </c>
      <c r="O123" s="22">
        <f t="shared" si="13"/>
        <v>0</v>
      </c>
      <c r="P123" s="20">
        <f t="shared" si="14"/>
        <v>0</v>
      </c>
      <c r="Q123" s="23">
        <f t="shared" si="15"/>
        <v>163</v>
      </c>
      <c r="R123" s="20">
        <f t="shared" si="17"/>
        <v>163</v>
      </c>
      <c r="S123" s="20">
        <f t="shared" si="18"/>
        <v>163</v>
      </c>
      <c r="T123" s="18">
        <f t="shared" si="19"/>
        <v>652</v>
      </c>
      <c r="U123" s="24"/>
      <c r="V123" s="25">
        <f t="shared" si="16"/>
        <v>0</v>
      </c>
    </row>
    <row r="124" spans="1:22" ht="24" customHeight="1">
      <c r="A124" s="14"/>
      <c r="B124" s="15"/>
      <c r="C124" s="16"/>
      <c r="D124" s="16">
        <v>121</v>
      </c>
      <c r="E124" s="16" t="s">
        <v>210</v>
      </c>
      <c r="F124" s="17" t="s">
        <v>24</v>
      </c>
      <c r="G124" s="18">
        <v>12</v>
      </c>
      <c r="H124" s="19"/>
      <c r="I124" s="19">
        <v>1</v>
      </c>
      <c r="J124" s="19">
        <v>141</v>
      </c>
      <c r="K124" s="19"/>
      <c r="L124" s="20">
        <f t="shared" si="10"/>
        <v>12</v>
      </c>
      <c r="M124" s="21">
        <f t="shared" si="11"/>
        <v>1</v>
      </c>
      <c r="N124" s="22">
        <f t="shared" si="12"/>
        <v>0</v>
      </c>
      <c r="O124" s="22">
        <f t="shared" si="13"/>
        <v>1</v>
      </c>
      <c r="P124" s="20">
        <f t="shared" si="14"/>
        <v>0</v>
      </c>
      <c r="Q124" s="23">
        <f t="shared" si="15"/>
        <v>1692</v>
      </c>
      <c r="R124" s="20">
        <f t="shared" si="17"/>
        <v>141</v>
      </c>
      <c r="S124" s="20">
        <f t="shared" si="18"/>
        <v>1692</v>
      </c>
      <c r="T124" s="18">
        <f t="shared" si="19"/>
        <v>1692</v>
      </c>
      <c r="U124" s="24"/>
      <c r="V124" s="25">
        <f t="shared" si="16"/>
        <v>0</v>
      </c>
    </row>
    <row r="125" spans="1:22" ht="24" customHeight="1">
      <c r="A125" s="26"/>
      <c r="B125" s="15"/>
      <c r="C125" s="16"/>
      <c r="D125" s="16">
        <v>122</v>
      </c>
      <c r="E125" s="16" t="s">
        <v>211</v>
      </c>
      <c r="F125" s="17" t="s">
        <v>24</v>
      </c>
      <c r="G125" s="18">
        <v>1</v>
      </c>
      <c r="H125" s="19">
        <v>1</v>
      </c>
      <c r="I125" s="19"/>
      <c r="J125" s="19">
        <v>185</v>
      </c>
      <c r="K125" s="19"/>
      <c r="L125" s="20">
        <f t="shared" si="10"/>
        <v>1</v>
      </c>
      <c r="M125" s="21">
        <f t="shared" si="11"/>
        <v>1</v>
      </c>
      <c r="N125" s="22">
        <f t="shared" si="12"/>
        <v>1</v>
      </c>
      <c r="O125" s="22">
        <f t="shared" si="13"/>
        <v>0</v>
      </c>
      <c r="P125" s="20">
        <f t="shared" si="14"/>
        <v>0</v>
      </c>
      <c r="Q125" s="23">
        <f t="shared" si="15"/>
        <v>185</v>
      </c>
      <c r="R125" s="20">
        <f t="shared" si="17"/>
        <v>185</v>
      </c>
      <c r="S125" s="20">
        <f t="shared" si="18"/>
        <v>185</v>
      </c>
      <c r="T125" s="18">
        <f t="shared" si="19"/>
        <v>185</v>
      </c>
      <c r="U125" s="24"/>
      <c r="V125" s="25">
        <f t="shared" si="16"/>
        <v>0</v>
      </c>
    </row>
    <row r="126" spans="1:22" ht="24" customHeight="1">
      <c r="A126" s="26"/>
      <c r="B126" s="15"/>
      <c r="C126" s="16"/>
      <c r="D126" s="16">
        <v>123</v>
      </c>
      <c r="E126" s="16" t="s">
        <v>212</v>
      </c>
      <c r="F126" s="17" t="s">
        <v>24</v>
      </c>
      <c r="G126" s="18">
        <v>1</v>
      </c>
      <c r="H126" s="19">
        <v>24</v>
      </c>
      <c r="I126" s="19"/>
      <c r="J126" s="19">
        <v>340</v>
      </c>
      <c r="K126" s="19"/>
      <c r="L126" s="20">
        <f t="shared" si="10"/>
        <v>24</v>
      </c>
      <c r="M126" s="21">
        <f t="shared" si="11"/>
        <v>24</v>
      </c>
      <c r="N126" s="22">
        <f t="shared" si="12"/>
        <v>24</v>
      </c>
      <c r="O126" s="22">
        <f t="shared" si="13"/>
        <v>0</v>
      </c>
      <c r="P126" s="20">
        <f t="shared" si="14"/>
        <v>0</v>
      </c>
      <c r="Q126" s="23">
        <f t="shared" si="15"/>
        <v>340</v>
      </c>
      <c r="R126" s="20">
        <f t="shared" si="17"/>
        <v>340</v>
      </c>
      <c r="S126" s="20">
        <f t="shared" si="18"/>
        <v>340</v>
      </c>
      <c r="T126" s="18">
        <f t="shared" si="19"/>
        <v>8160</v>
      </c>
      <c r="U126" s="24"/>
      <c r="V126" s="25">
        <f t="shared" si="16"/>
        <v>0</v>
      </c>
    </row>
    <row r="127" spans="1:22" ht="24" customHeight="1">
      <c r="A127" s="14"/>
      <c r="B127" s="15"/>
      <c r="C127" s="16"/>
      <c r="D127" s="16">
        <v>124</v>
      </c>
      <c r="E127" s="16" t="s">
        <v>213</v>
      </c>
      <c r="F127" s="17" t="s">
        <v>24</v>
      </c>
      <c r="G127" s="18">
        <v>1</v>
      </c>
      <c r="H127" s="19">
        <v>3</v>
      </c>
      <c r="I127" s="19"/>
      <c r="J127" s="19">
        <v>650</v>
      </c>
      <c r="K127" s="19"/>
      <c r="L127" s="20">
        <f t="shared" si="10"/>
        <v>3</v>
      </c>
      <c r="M127" s="21">
        <f t="shared" si="11"/>
        <v>3</v>
      </c>
      <c r="N127" s="22">
        <f t="shared" si="12"/>
        <v>3</v>
      </c>
      <c r="O127" s="22">
        <f t="shared" si="13"/>
        <v>0</v>
      </c>
      <c r="P127" s="20">
        <f t="shared" si="14"/>
        <v>0</v>
      </c>
      <c r="Q127" s="23">
        <f t="shared" si="15"/>
        <v>650</v>
      </c>
      <c r="R127" s="20">
        <f t="shared" si="17"/>
        <v>650</v>
      </c>
      <c r="S127" s="20">
        <f t="shared" si="18"/>
        <v>650</v>
      </c>
      <c r="T127" s="18">
        <f t="shared" si="19"/>
        <v>1950</v>
      </c>
      <c r="U127" s="24"/>
      <c r="V127" s="25">
        <f t="shared" si="16"/>
        <v>0</v>
      </c>
    </row>
    <row r="128" spans="1:22" ht="24" customHeight="1">
      <c r="A128" s="26"/>
      <c r="B128" s="15"/>
      <c r="C128" s="16"/>
      <c r="D128" s="16">
        <v>125</v>
      </c>
      <c r="E128" s="16" t="s">
        <v>214</v>
      </c>
      <c r="F128" s="17" t="s">
        <v>24</v>
      </c>
      <c r="G128" s="18">
        <v>1</v>
      </c>
      <c r="H128" s="19">
        <v>5</v>
      </c>
      <c r="I128" s="19"/>
      <c r="J128" s="19">
        <v>420</v>
      </c>
      <c r="K128" s="19"/>
      <c r="L128" s="20">
        <f t="shared" si="10"/>
        <v>5</v>
      </c>
      <c r="M128" s="21">
        <f t="shared" si="11"/>
        <v>5</v>
      </c>
      <c r="N128" s="22">
        <f t="shared" si="12"/>
        <v>5</v>
      </c>
      <c r="O128" s="22">
        <f t="shared" si="13"/>
        <v>0</v>
      </c>
      <c r="P128" s="20">
        <f t="shared" si="14"/>
        <v>0</v>
      </c>
      <c r="Q128" s="23">
        <f t="shared" si="15"/>
        <v>420</v>
      </c>
      <c r="R128" s="20">
        <f t="shared" si="17"/>
        <v>420</v>
      </c>
      <c r="S128" s="20">
        <f t="shared" si="18"/>
        <v>420</v>
      </c>
      <c r="T128" s="18">
        <f t="shared" si="19"/>
        <v>2100</v>
      </c>
      <c r="U128" s="24"/>
      <c r="V128" s="25">
        <f t="shared" si="16"/>
        <v>0</v>
      </c>
    </row>
    <row r="129" spans="1:22" ht="24" customHeight="1">
      <c r="A129" s="26"/>
      <c r="B129" s="15"/>
      <c r="C129" s="16"/>
      <c r="D129" s="16">
        <v>126</v>
      </c>
      <c r="E129" s="16" t="s">
        <v>215</v>
      </c>
      <c r="F129" s="17" t="s">
        <v>24</v>
      </c>
      <c r="G129" s="18">
        <v>1</v>
      </c>
      <c r="H129" s="19">
        <v>2</v>
      </c>
      <c r="I129" s="19"/>
      <c r="J129" s="19">
        <v>2500</v>
      </c>
      <c r="K129" s="19"/>
      <c r="L129" s="20">
        <f t="shared" si="10"/>
        <v>2</v>
      </c>
      <c r="M129" s="21">
        <f t="shared" si="11"/>
        <v>2</v>
      </c>
      <c r="N129" s="22">
        <f t="shared" si="12"/>
        <v>2</v>
      </c>
      <c r="O129" s="22">
        <f t="shared" si="13"/>
        <v>0</v>
      </c>
      <c r="P129" s="20">
        <f t="shared" si="14"/>
        <v>0</v>
      </c>
      <c r="Q129" s="23">
        <f t="shared" si="15"/>
        <v>2500</v>
      </c>
      <c r="R129" s="20">
        <f t="shared" si="17"/>
        <v>2500</v>
      </c>
      <c r="S129" s="20">
        <f t="shared" si="18"/>
        <v>2500</v>
      </c>
      <c r="T129" s="18">
        <f t="shared" si="19"/>
        <v>5000</v>
      </c>
      <c r="U129" s="24"/>
      <c r="V129" s="25">
        <f t="shared" si="16"/>
        <v>0</v>
      </c>
    </row>
    <row r="130" spans="1:22" ht="24" customHeight="1">
      <c r="A130" s="14"/>
      <c r="B130" s="15"/>
      <c r="C130" s="16"/>
      <c r="D130" s="16">
        <v>127</v>
      </c>
      <c r="E130" s="16" t="s">
        <v>216</v>
      </c>
      <c r="F130" s="17" t="s">
        <v>24</v>
      </c>
      <c r="G130" s="18">
        <v>1</v>
      </c>
      <c r="H130" s="19">
        <v>6</v>
      </c>
      <c r="I130" s="19"/>
      <c r="J130" s="19">
        <v>2700</v>
      </c>
      <c r="K130" s="19"/>
      <c r="L130" s="20">
        <f t="shared" si="10"/>
        <v>6</v>
      </c>
      <c r="M130" s="21">
        <f t="shared" si="11"/>
        <v>6</v>
      </c>
      <c r="N130" s="22">
        <f t="shared" si="12"/>
        <v>6</v>
      </c>
      <c r="O130" s="22">
        <f t="shared" si="13"/>
        <v>0</v>
      </c>
      <c r="P130" s="20">
        <f t="shared" si="14"/>
        <v>0</v>
      </c>
      <c r="Q130" s="23">
        <f t="shared" si="15"/>
        <v>2700</v>
      </c>
      <c r="R130" s="20">
        <f t="shared" si="17"/>
        <v>2700</v>
      </c>
      <c r="S130" s="20">
        <f t="shared" si="18"/>
        <v>2700</v>
      </c>
      <c r="T130" s="18">
        <f t="shared" si="19"/>
        <v>16200</v>
      </c>
      <c r="U130" s="24"/>
      <c r="V130" s="25">
        <f t="shared" si="16"/>
        <v>0</v>
      </c>
    </row>
    <row r="131" spans="1:22" ht="24" customHeight="1">
      <c r="A131" s="26"/>
      <c r="B131" s="15"/>
      <c r="C131" s="16"/>
      <c r="D131" s="16">
        <v>128</v>
      </c>
      <c r="E131" s="16" t="s">
        <v>217</v>
      </c>
      <c r="F131" s="17" t="s">
        <v>24</v>
      </c>
      <c r="G131" s="18">
        <v>1</v>
      </c>
      <c r="H131" s="19">
        <v>4</v>
      </c>
      <c r="I131" s="19"/>
      <c r="J131" s="19">
        <v>2500</v>
      </c>
      <c r="K131" s="19"/>
      <c r="L131" s="20">
        <f t="shared" si="10"/>
        <v>4</v>
      </c>
      <c r="M131" s="21">
        <f t="shared" si="11"/>
        <v>4</v>
      </c>
      <c r="N131" s="22">
        <f t="shared" si="12"/>
        <v>4</v>
      </c>
      <c r="O131" s="22">
        <f t="shared" si="13"/>
        <v>0</v>
      </c>
      <c r="P131" s="20">
        <f t="shared" si="14"/>
        <v>0</v>
      </c>
      <c r="Q131" s="23">
        <f t="shared" si="15"/>
        <v>2500</v>
      </c>
      <c r="R131" s="20">
        <f t="shared" si="17"/>
        <v>2500</v>
      </c>
      <c r="S131" s="20">
        <f t="shared" si="18"/>
        <v>2500</v>
      </c>
      <c r="T131" s="18">
        <f t="shared" si="19"/>
        <v>10000</v>
      </c>
      <c r="U131" s="24"/>
      <c r="V131" s="25">
        <f t="shared" si="16"/>
        <v>0</v>
      </c>
    </row>
    <row r="132" spans="1:22" ht="24" customHeight="1">
      <c r="A132" s="26"/>
      <c r="B132" s="15"/>
      <c r="C132" s="16"/>
      <c r="D132" s="16">
        <v>129</v>
      </c>
      <c r="E132" s="16" t="s">
        <v>218</v>
      </c>
      <c r="F132" s="17" t="s">
        <v>24</v>
      </c>
      <c r="G132" s="18">
        <v>1</v>
      </c>
      <c r="H132" s="19">
        <v>8</v>
      </c>
      <c r="I132" s="19"/>
      <c r="J132" s="19">
        <v>2850</v>
      </c>
      <c r="K132" s="19"/>
      <c r="L132" s="20">
        <f t="shared" ref="L132:L189" si="20">I132*G132+H132</f>
        <v>8</v>
      </c>
      <c r="M132" s="21">
        <f t="shared" ref="M132:M194" si="21">IFERROR(L132/G132,"")</f>
        <v>8</v>
      </c>
      <c r="N132" s="22">
        <f t="shared" ref="N132:N194" si="22">IF(G132=1,L132,IF(G132&gt;1,IFERROR((M132-O132)*G132,""),""))</f>
        <v>8</v>
      </c>
      <c r="O132" s="22">
        <f t="shared" ref="O132:O194" si="23">IFERROR(IF(G132=1,0,IF(G132&gt;1,ROUNDDOWN(M132,0))),"")</f>
        <v>0</v>
      </c>
      <c r="P132" s="20">
        <f t="shared" ref="P132:P194" si="24">IFERROR(K132/G132,"")</f>
        <v>0</v>
      </c>
      <c r="Q132" s="23">
        <f t="shared" ref="Q132:Q189" si="25">IFERROR(J132*G132,"")</f>
        <v>2850</v>
      </c>
      <c r="R132" s="20">
        <f t="shared" si="17"/>
        <v>2850</v>
      </c>
      <c r="S132" s="20">
        <f t="shared" si="18"/>
        <v>2850</v>
      </c>
      <c r="T132" s="18">
        <f t="shared" si="19"/>
        <v>22800</v>
      </c>
      <c r="U132" s="24"/>
      <c r="V132" s="25">
        <f t="shared" ref="V132:V194" si="26">B132</f>
        <v>0</v>
      </c>
    </row>
    <row r="133" spans="1:22" ht="24" customHeight="1">
      <c r="A133" s="14"/>
      <c r="B133" s="15"/>
      <c r="C133" s="16"/>
      <c r="D133" s="16">
        <v>130</v>
      </c>
      <c r="E133" s="16" t="s">
        <v>219</v>
      </c>
      <c r="F133" s="17" t="s">
        <v>24</v>
      </c>
      <c r="G133" s="18">
        <v>1</v>
      </c>
      <c r="H133" s="19">
        <v>3</v>
      </c>
      <c r="I133" s="19"/>
      <c r="J133" s="19">
        <v>4200</v>
      </c>
      <c r="K133" s="19"/>
      <c r="L133" s="20">
        <f t="shared" si="20"/>
        <v>3</v>
      </c>
      <c r="M133" s="21">
        <f t="shared" si="21"/>
        <v>3</v>
      </c>
      <c r="N133" s="22">
        <f t="shared" si="22"/>
        <v>3</v>
      </c>
      <c r="O133" s="22">
        <f t="shared" si="23"/>
        <v>0</v>
      </c>
      <c r="P133" s="20">
        <f t="shared" si="24"/>
        <v>0</v>
      </c>
      <c r="Q133" s="23">
        <f t="shared" si="25"/>
        <v>4200</v>
      </c>
      <c r="R133" s="20">
        <f t="shared" ref="R133:R189" si="27">IFERROR(IF(J133&gt;0,J133,IF(J133&lt;0,P133,IF(J133=0,P133))),"")</f>
        <v>4200</v>
      </c>
      <c r="S133" s="20">
        <f t="shared" ref="S133:S195" si="28">IFERROR(IF(K133&gt;0,K133,IF(K133&lt;0,Q133,IF(K133=0,Q133))),"")</f>
        <v>4200</v>
      </c>
      <c r="T133" s="18">
        <f t="shared" ref="T133:T189" si="29">IFERROR(S133*I133+R133*H133,"")</f>
        <v>12600</v>
      </c>
      <c r="U133" s="24"/>
      <c r="V133" s="25">
        <f t="shared" si="26"/>
        <v>0</v>
      </c>
    </row>
    <row r="134" spans="1:22" ht="24" customHeight="1">
      <c r="A134" s="26"/>
      <c r="B134" s="15"/>
      <c r="C134" s="16"/>
      <c r="D134" s="16">
        <v>131</v>
      </c>
      <c r="E134" s="16" t="s">
        <v>220</v>
      </c>
      <c r="F134" s="17" t="s">
        <v>24</v>
      </c>
      <c r="G134" s="18">
        <v>1</v>
      </c>
      <c r="H134" s="19">
        <v>1</v>
      </c>
      <c r="I134" s="19"/>
      <c r="J134" s="19">
        <v>4200</v>
      </c>
      <c r="K134" s="19"/>
      <c r="L134" s="20">
        <f t="shared" si="20"/>
        <v>1</v>
      </c>
      <c r="M134" s="21">
        <f t="shared" si="21"/>
        <v>1</v>
      </c>
      <c r="N134" s="22">
        <f t="shared" si="22"/>
        <v>1</v>
      </c>
      <c r="O134" s="22">
        <f t="shared" si="23"/>
        <v>0</v>
      </c>
      <c r="P134" s="20">
        <f t="shared" si="24"/>
        <v>0</v>
      </c>
      <c r="Q134" s="23">
        <f t="shared" si="25"/>
        <v>4200</v>
      </c>
      <c r="R134" s="20">
        <f t="shared" si="27"/>
        <v>4200</v>
      </c>
      <c r="S134" s="20">
        <f t="shared" si="28"/>
        <v>4200</v>
      </c>
      <c r="T134" s="18">
        <f t="shared" si="29"/>
        <v>4200</v>
      </c>
      <c r="U134" s="24"/>
      <c r="V134" s="25">
        <f t="shared" si="26"/>
        <v>0</v>
      </c>
    </row>
    <row r="135" spans="1:22" ht="24" customHeight="1">
      <c r="A135" s="26"/>
      <c r="B135" s="15"/>
      <c r="C135" s="16"/>
      <c r="D135" s="16">
        <v>132</v>
      </c>
      <c r="E135" s="16" t="s">
        <v>221</v>
      </c>
      <c r="F135" s="17" t="s">
        <v>24</v>
      </c>
      <c r="G135" s="18">
        <v>1</v>
      </c>
      <c r="H135" s="19">
        <v>6</v>
      </c>
      <c r="I135" s="19"/>
      <c r="J135" s="19">
        <v>4700</v>
      </c>
      <c r="K135" s="19"/>
      <c r="L135" s="20">
        <f t="shared" si="20"/>
        <v>6</v>
      </c>
      <c r="M135" s="21">
        <f t="shared" si="21"/>
        <v>6</v>
      </c>
      <c r="N135" s="22">
        <f t="shared" si="22"/>
        <v>6</v>
      </c>
      <c r="O135" s="22">
        <f t="shared" si="23"/>
        <v>0</v>
      </c>
      <c r="P135" s="20">
        <f t="shared" si="24"/>
        <v>0</v>
      </c>
      <c r="Q135" s="23">
        <f t="shared" si="25"/>
        <v>4700</v>
      </c>
      <c r="R135" s="20">
        <f t="shared" si="27"/>
        <v>4700</v>
      </c>
      <c r="S135" s="20">
        <f t="shared" si="28"/>
        <v>4700</v>
      </c>
      <c r="T135" s="18">
        <f t="shared" si="29"/>
        <v>28200</v>
      </c>
      <c r="U135" s="24"/>
      <c r="V135" s="25">
        <f t="shared" si="26"/>
        <v>0</v>
      </c>
    </row>
    <row r="136" spans="1:22" ht="24" customHeight="1">
      <c r="A136" s="14"/>
      <c r="B136" s="15"/>
      <c r="C136" s="16"/>
      <c r="D136" s="16">
        <v>133</v>
      </c>
      <c r="E136" s="16" t="s">
        <v>222</v>
      </c>
      <c r="F136" s="17" t="s">
        <v>24</v>
      </c>
      <c r="G136" s="18">
        <v>1</v>
      </c>
      <c r="H136" s="19">
        <v>1</v>
      </c>
      <c r="I136" s="19"/>
      <c r="J136" s="19">
        <v>4100</v>
      </c>
      <c r="K136" s="19"/>
      <c r="L136" s="20">
        <f t="shared" si="20"/>
        <v>1</v>
      </c>
      <c r="M136" s="21">
        <f t="shared" si="21"/>
        <v>1</v>
      </c>
      <c r="N136" s="22">
        <f t="shared" si="22"/>
        <v>1</v>
      </c>
      <c r="O136" s="22">
        <f t="shared" si="23"/>
        <v>0</v>
      </c>
      <c r="P136" s="20">
        <f t="shared" si="24"/>
        <v>0</v>
      </c>
      <c r="Q136" s="23">
        <f t="shared" si="25"/>
        <v>4100</v>
      </c>
      <c r="R136" s="20">
        <f t="shared" si="27"/>
        <v>4100</v>
      </c>
      <c r="S136" s="20">
        <f t="shared" si="28"/>
        <v>4100</v>
      </c>
      <c r="T136" s="18">
        <f t="shared" si="29"/>
        <v>4100</v>
      </c>
      <c r="U136" s="24"/>
      <c r="V136" s="25">
        <f t="shared" si="26"/>
        <v>0</v>
      </c>
    </row>
    <row r="137" spans="1:22" ht="24" customHeight="1">
      <c r="A137" s="26"/>
      <c r="B137" s="15"/>
      <c r="C137" s="16"/>
      <c r="D137" s="16">
        <v>134</v>
      </c>
      <c r="E137" s="16" t="s">
        <v>223</v>
      </c>
      <c r="F137" s="17" t="s">
        <v>24</v>
      </c>
      <c r="G137" s="18">
        <v>1</v>
      </c>
      <c r="H137" s="19">
        <v>2</v>
      </c>
      <c r="I137" s="19"/>
      <c r="J137" s="19">
        <v>4600</v>
      </c>
      <c r="K137" s="19"/>
      <c r="L137" s="20">
        <f t="shared" si="20"/>
        <v>2</v>
      </c>
      <c r="M137" s="21">
        <f t="shared" si="21"/>
        <v>2</v>
      </c>
      <c r="N137" s="22">
        <f t="shared" si="22"/>
        <v>2</v>
      </c>
      <c r="O137" s="22">
        <f t="shared" si="23"/>
        <v>0</v>
      </c>
      <c r="P137" s="20">
        <f t="shared" si="24"/>
        <v>0</v>
      </c>
      <c r="Q137" s="23">
        <f t="shared" si="25"/>
        <v>4600</v>
      </c>
      <c r="R137" s="20">
        <f t="shared" si="27"/>
        <v>4600</v>
      </c>
      <c r="S137" s="20">
        <f t="shared" si="28"/>
        <v>4600</v>
      </c>
      <c r="T137" s="18">
        <f t="shared" si="29"/>
        <v>9200</v>
      </c>
      <c r="U137" s="24"/>
      <c r="V137" s="25">
        <f t="shared" si="26"/>
        <v>0</v>
      </c>
    </row>
    <row r="138" spans="1:22" ht="24" customHeight="1">
      <c r="A138" s="26"/>
      <c r="B138" s="15"/>
      <c r="C138" s="16"/>
      <c r="D138" s="16">
        <v>135</v>
      </c>
      <c r="E138" s="16" t="s">
        <v>224</v>
      </c>
      <c r="F138" s="17" t="s">
        <v>24</v>
      </c>
      <c r="G138" s="18">
        <v>1</v>
      </c>
      <c r="H138" s="19">
        <v>5</v>
      </c>
      <c r="I138" s="19"/>
      <c r="J138" s="19">
        <v>2500</v>
      </c>
      <c r="K138" s="19"/>
      <c r="L138" s="20">
        <f t="shared" si="20"/>
        <v>5</v>
      </c>
      <c r="M138" s="21">
        <f t="shared" si="21"/>
        <v>5</v>
      </c>
      <c r="N138" s="22">
        <f t="shared" si="22"/>
        <v>5</v>
      </c>
      <c r="O138" s="22">
        <f t="shared" si="23"/>
        <v>0</v>
      </c>
      <c r="P138" s="20">
        <f t="shared" si="24"/>
        <v>0</v>
      </c>
      <c r="Q138" s="23">
        <f t="shared" si="25"/>
        <v>2500</v>
      </c>
      <c r="R138" s="20">
        <f t="shared" si="27"/>
        <v>2500</v>
      </c>
      <c r="S138" s="20">
        <f t="shared" si="28"/>
        <v>2500</v>
      </c>
      <c r="T138" s="18">
        <f t="shared" si="29"/>
        <v>12500</v>
      </c>
      <c r="U138" s="24"/>
      <c r="V138" s="25">
        <f t="shared" si="26"/>
        <v>0</v>
      </c>
    </row>
    <row r="139" spans="1:22" ht="24" customHeight="1">
      <c r="A139" s="14"/>
      <c r="B139" s="15"/>
      <c r="C139" s="16"/>
      <c r="D139" s="16">
        <v>136</v>
      </c>
      <c r="E139" s="16" t="s">
        <v>225</v>
      </c>
      <c r="F139" s="17" t="s">
        <v>24</v>
      </c>
      <c r="G139" s="18">
        <v>1</v>
      </c>
      <c r="H139" s="19">
        <v>3</v>
      </c>
      <c r="I139" s="19"/>
      <c r="J139" s="19">
        <v>3500</v>
      </c>
      <c r="K139" s="19"/>
      <c r="L139" s="20">
        <f t="shared" si="20"/>
        <v>3</v>
      </c>
      <c r="M139" s="21">
        <f t="shared" si="21"/>
        <v>3</v>
      </c>
      <c r="N139" s="22">
        <f t="shared" si="22"/>
        <v>3</v>
      </c>
      <c r="O139" s="22">
        <f t="shared" si="23"/>
        <v>0</v>
      </c>
      <c r="P139" s="20">
        <f t="shared" si="24"/>
        <v>0</v>
      </c>
      <c r="Q139" s="23">
        <f t="shared" si="25"/>
        <v>3500</v>
      </c>
      <c r="R139" s="20">
        <f t="shared" si="27"/>
        <v>3500</v>
      </c>
      <c r="S139" s="20">
        <f t="shared" si="28"/>
        <v>3500</v>
      </c>
      <c r="T139" s="18">
        <f t="shared" si="29"/>
        <v>10500</v>
      </c>
      <c r="U139" s="24"/>
      <c r="V139" s="25">
        <f t="shared" si="26"/>
        <v>0</v>
      </c>
    </row>
    <row r="140" spans="1:22" ht="24" customHeight="1">
      <c r="A140" s="26"/>
      <c r="B140" s="15"/>
      <c r="C140" s="16"/>
      <c r="D140" s="16">
        <v>137</v>
      </c>
      <c r="E140" s="16" t="s">
        <v>226</v>
      </c>
      <c r="F140" s="17" t="s">
        <v>24</v>
      </c>
      <c r="G140" s="18">
        <v>1</v>
      </c>
      <c r="H140" s="19">
        <v>3</v>
      </c>
      <c r="I140" s="19"/>
      <c r="J140" s="19">
        <v>3500</v>
      </c>
      <c r="K140" s="19"/>
      <c r="L140" s="20">
        <f t="shared" si="20"/>
        <v>3</v>
      </c>
      <c r="M140" s="21">
        <f t="shared" si="21"/>
        <v>3</v>
      </c>
      <c r="N140" s="22">
        <f t="shared" si="22"/>
        <v>3</v>
      </c>
      <c r="O140" s="22">
        <f t="shared" si="23"/>
        <v>0</v>
      </c>
      <c r="P140" s="20">
        <f t="shared" si="24"/>
        <v>0</v>
      </c>
      <c r="Q140" s="23">
        <f t="shared" si="25"/>
        <v>3500</v>
      </c>
      <c r="R140" s="20">
        <f t="shared" si="27"/>
        <v>3500</v>
      </c>
      <c r="S140" s="20">
        <f t="shared" si="28"/>
        <v>3500</v>
      </c>
      <c r="T140" s="18">
        <f t="shared" si="29"/>
        <v>10500</v>
      </c>
      <c r="U140" s="24"/>
      <c r="V140" s="25">
        <f t="shared" si="26"/>
        <v>0</v>
      </c>
    </row>
    <row r="141" spans="1:22" ht="24" customHeight="1">
      <c r="A141" s="26"/>
      <c r="B141" s="15"/>
      <c r="C141" s="16"/>
      <c r="D141" s="16">
        <v>138</v>
      </c>
      <c r="E141" s="16" t="s">
        <v>227</v>
      </c>
      <c r="F141" s="17" t="s">
        <v>24</v>
      </c>
      <c r="G141" s="18">
        <v>1</v>
      </c>
      <c r="H141" s="19">
        <v>2</v>
      </c>
      <c r="I141" s="19"/>
      <c r="J141" s="19">
        <v>4000</v>
      </c>
      <c r="K141" s="19"/>
      <c r="L141" s="20">
        <f t="shared" si="20"/>
        <v>2</v>
      </c>
      <c r="M141" s="21">
        <f t="shared" si="21"/>
        <v>2</v>
      </c>
      <c r="N141" s="22">
        <f t="shared" si="22"/>
        <v>2</v>
      </c>
      <c r="O141" s="22">
        <f t="shared" si="23"/>
        <v>0</v>
      </c>
      <c r="P141" s="20">
        <f t="shared" si="24"/>
        <v>0</v>
      </c>
      <c r="Q141" s="23">
        <f t="shared" si="25"/>
        <v>4000</v>
      </c>
      <c r="R141" s="20">
        <f t="shared" si="27"/>
        <v>4000</v>
      </c>
      <c r="S141" s="20">
        <f t="shared" si="28"/>
        <v>4000</v>
      </c>
      <c r="T141" s="18">
        <f t="shared" si="29"/>
        <v>8000</v>
      </c>
      <c r="U141" s="24"/>
      <c r="V141" s="25">
        <f t="shared" si="26"/>
        <v>0</v>
      </c>
    </row>
    <row r="142" spans="1:22" ht="24" customHeight="1">
      <c r="A142" s="14"/>
      <c r="B142" s="15"/>
      <c r="C142" s="16"/>
      <c r="D142" s="16">
        <v>139</v>
      </c>
      <c r="E142" s="16" t="s">
        <v>228</v>
      </c>
      <c r="F142" s="17" t="s">
        <v>24</v>
      </c>
      <c r="G142" s="18">
        <v>1</v>
      </c>
      <c r="H142" s="19">
        <v>6</v>
      </c>
      <c r="I142" s="19"/>
      <c r="J142" s="19">
        <v>1450</v>
      </c>
      <c r="K142" s="19"/>
      <c r="L142" s="20">
        <f t="shared" si="20"/>
        <v>6</v>
      </c>
      <c r="M142" s="21">
        <f t="shared" si="21"/>
        <v>6</v>
      </c>
      <c r="N142" s="22">
        <f t="shared" si="22"/>
        <v>6</v>
      </c>
      <c r="O142" s="22">
        <f t="shared" si="23"/>
        <v>0</v>
      </c>
      <c r="P142" s="20">
        <f t="shared" si="24"/>
        <v>0</v>
      </c>
      <c r="Q142" s="23">
        <f t="shared" si="25"/>
        <v>1450</v>
      </c>
      <c r="R142" s="20">
        <f t="shared" si="27"/>
        <v>1450</v>
      </c>
      <c r="S142" s="20">
        <f t="shared" si="28"/>
        <v>1450</v>
      </c>
      <c r="T142" s="18">
        <f t="shared" si="29"/>
        <v>8700</v>
      </c>
      <c r="U142" s="24"/>
      <c r="V142" s="25">
        <f t="shared" si="26"/>
        <v>0</v>
      </c>
    </row>
    <row r="143" spans="1:22" ht="24" customHeight="1">
      <c r="A143" s="26"/>
      <c r="B143" s="15"/>
      <c r="C143" s="16"/>
      <c r="D143" s="16">
        <v>140</v>
      </c>
      <c r="E143" s="16" t="s">
        <v>229</v>
      </c>
      <c r="F143" s="17" t="s">
        <v>24</v>
      </c>
      <c r="G143" s="18">
        <v>1</v>
      </c>
      <c r="H143" s="19">
        <v>1</v>
      </c>
      <c r="I143" s="19"/>
      <c r="J143" s="19">
        <v>7500</v>
      </c>
      <c r="K143" s="19"/>
      <c r="L143" s="20">
        <f t="shared" si="20"/>
        <v>1</v>
      </c>
      <c r="M143" s="21">
        <f t="shared" si="21"/>
        <v>1</v>
      </c>
      <c r="N143" s="22">
        <f t="shared" si="22"/>
        <v>1</v>
      </c>
      <c r="O143" s="22">
        <f t="shared" si="23"/>
        <v>0</v>
      </c>
      <c r="P143" s="20">
        <f t="shared" si="24"/>
        <v>0</v>
      </c>
      <c r="Q143" s="23">
        <f t="shared" si="25"/>
        <v>7500</v>
      </c>
      <c r="R143" s="20">
        <f t="shared" si="27"/>
        <v>7500</v>
      </c>
      <c r="S143" s="20">
        <f t="shared" si="28"/>
        <v>7500</v>
      </c>
      <c r="T143" s="18">
        <f t="shared" si="29"/>
        <v>7500</v>
      </c>
      <c r="U143" s="24"/>
      <c r="V143" s="25">
        <f t="shared" si="26"/>
        <v>0</v>
      </c>
    </row>
    <row r="144" spans="1:22" ht="24" customHeight="1">
      <c r="A144" s="26"/>
      <c r="B144" s="15"/>
      <c r="C144" s="16"/>
      <c r="D144" s="16">
        <v>141</v>
      </c>
      <c r="E144" s="16" t="s">
        <v>230</v>
      </c>
      <c r="F144" s="17" t="s">
        <v>24</v>
      </c>
      <c r="G144" s="18">
        <v>1</v>
      </c>
      <c r="H144" s="19">
        <v>2</v>
      </c>
      <c r="I144" s="19"/>
      <c r="J144" s="19">
        <v>3500</v>
      </c>
      <c r="K144" s="19"/>
      <c r="L144" s="20">
        <f t="shared" si="20"/>
        <v>2</v>
      </c>
      <c r="M144" s="21">
        <f t="shared" si="21"/>
        <v>2</v>
      </c>
      <c r="N144" s="22">
        <f t="shared" si="22"/>
        <v>2</v>
      </c>
      <c r="O144" s="22">
        <f t="shared" si="23"/>
        <v>0</v>
      </c>
      <c r="P144" s="20">
        <f t="shared" si="24"/>
        <v>0</v>
      </c>
      <c r="Q144" s="23">
        <f t="shared" si="25"/>
        <v>3500</v>
      </c>
      <c r="R144" s="20">
        <f t="shared" si="27"/>
        <v>3500</v>
      </c>
      <c r="S144" s="20">
        <f t="shared" si="28"/>
        <v>3500</v>
      </c>
      <c r="T144" s="18">
        <f t="shared" si="29"/>
        <v>7000</v>
      </c>
      <c r="U144" s="24"/>
      <c r="V144" s="25">
        <f t="shared" si="26"/>
        <v>0</v>
      </c>
    </row>
    <row r="145" spans="1:22" ht="24" customHeight="1">
      <c r="A145" s="14"/>
      <c r="B145" s="15"/>
      <c r="C145" s="16"/>
      <c r="D145" s="16">
        <v>142</v>
      </c>
      <c r="E145" s="16" t="s">
        <v>231</v>
      </c>
      <c r="F145" s="17" t="s">
        <v>24</v>
      </c>
      <c r="G145" s="18">
        <v>1</v>
      </c>
      <c r="H145" s="19">
        <v>4</v>
      </c>
      <c r="I145" s="19"/>
      <c r="J145" s="19">
        <v>3500</v>
      </c>
      <c r="K145" s="19"/>
      <c r="L145" s="20">
        <f t="shared" si="20"/>
        <v>4</v>
      </c>
      <c r="M145" s="21">
        <f t="shared" si="21"/>
        <v>4</v>
      </c>
      <c r="N145" s="22">
        <f t="shared" si="22"/>
        <v>4</v>
      </c>
      <c r="O145" s="22">
        <f t="shared" si="23"/>
        <v>0</v>
      </c>
      <c r="P145" s="20">
        <f t="shared" si="24"/>
        <v>0</v>
      </c>
      <c r="Q145" s="23">
        <f t="shared" si="25"/>
        <v>3500</v>
      </c>
      <c r="R145" s="20">
        <f t="shared" si="27"/>
        <v>3500</v>
      </c>
      <c r="S145" s="20">
        <f t="shared" si="28"/>
        <v>3500</v>
      </c>
      <c r="T145" s="18">
        <f t="shared" si="29"/>
        <v>14000</v>
      </c>
      <c r="U145" s="24"/>
      <c r="V145" s="25">
        <f t="shared" si="26"/>
        <v>0</v>
      </c>
    </row>
    <row r="146" spans="1:22" ht="24" customHeight="1">
      <c r="A146" s="26"/>
      <c r="B146" s="15"/>
      <c r="C146" s="16"/>
      <c r="D146" s="16">
        <v>143</v>
      </c>
      <c r="E146" s="16" t="s">
        <v>232</v>
      </c>
      <c r="F146" s="17" t="s">
        <v>24</v>
      </c>
      <c r="G146" s="18">
        <v>1</v>
      </c>
      <c r="H146" s="19">
        <v>4</v>
      </c>
      <c r="I146" s="19"/>
      <c r="J146" s="19">
        <v>2700</v>
      </c>
      <c r="K146" s="19"/>
      <c r="L146" s="20">
        <f t="shared" si="20"/>
        <v>4</v>
      </c>
      <c r="M146" s="21">
        <f t="shared" si="21"/>
        <v>4</v>
      </c>
      <c r="N146" s="22">
        <f t="shared" si="22"/>
        <v>4</v>
      </c>
      <c r="O146" s="22">
        <f t="shared" si="23"/>
        <v>0</v>
      </c>
      <c r="P146" s="20">
        <f t="shared" si="24"/>
        <v>0</v>
      </c>
      <c r="Q146" s="23">
        <f t="shared" si="25"/>
        <v>2700</v>
      </c>
      <c r="R146" s="20">
        <f t="shared" si="27"/>
        <v>2700</v>
      </c>
      <c r="S146" s="20">
        <f t="shared" si="28"/>
        <v>2700</v>
      </c>
      <c r="T146" s="18">
        <f t="shared" si="29"/>
        <v>10800</v>
      </c>
      <c r="U146" s="24"/>
      <c r="V146" s="25">
        <f t="shared" si="26"/>
        <v>0</v>
      </c>
    </row>
    <row r="147" spans="1:22" ht="24" customHeight="1">
      <c r="A147" s="26"/>
      <c r="B147" s="15"/>
      <c r="C147" s="16"/>
      <c r="D147" s="16">
        <v>144</v>
      </c>
      <c r="E147" s="16" t="s">
        <v>233</v>
      </c>
      <c r="F147" s="17" t="s">
        <v>24</v>
      </c>
      <c r="G147" s="18">
        <v>1</v>
      </c>
      <c r="H147" s="19">
        <v>1</v>
      </c>
      <c r="I147" s="19"/>
      <c r="J147" s="19">
        <v>2500</v>
      </c>
      <c r="K147" s="19"/>
      <c r="L147" s="20">
        <f t="shared" si="20"/>
        <v>1</v>
      </c>
      <c r="M147" s="21">
        <f t="shared" si="21"/>
        <v>1</v>
      </c>
      <c r="N147" s="22">
        <f t="shared" si="22"/>
        <v>1</v>
      </c>
      <c r="O147" s="22">
        <f t="shared" si="23"/>
        <v>0</v>
      </c>
      <c r="P147" s="20">
        <f t="shared" si="24"/>
        <v>0</v>
      </c>
      <c r="Q147" s="23">
        <f t="shared" si="25"/>
        <v>2500</v>
      </c>
      <c r="R147" s="20">
        <f t="shared" si="27"/>
        <v>2500</v>
      </c>
      <c r="S147" s="20">
        <f t="shared" si="28"/>
        <v>2500</v>
      </c>
      <c r="T147" s="18">
        <f t="shared" si="29"/>
        <v>2500</v>
      </c>
      <c r="U147" s="24"/>
      <c r="V147" s="25">
        <f t="shared" si="26"/>
        <v>0</v>
      </c>
    </row>
    <row r="148" spans="1:22" ht="24" customHeight="1">
      <c r="A148" s="14"/>
      <c r="B148" s="15"/>
      <c r="C148" s="16"/>
      <c r="D148" s="16">
        <v>145</v>
      </c>
      <c r="E148" s="16" t="s">
        <v>234</v>
      </c>
      <c r="F148" s="17" t="s">
        <v>24</v>
      </c>
      <c r="G148" s="18">
        <v>1</v>
      </c>
      <c r="H148" s="19">
        <v>5</v>
      </c>
      <c r="I148" s="19"/>
      <c r="J148" s="19">
        <v>1500</v>
      </c>
      <c r="K148" s="19"/>
      <c r="L148" s="20">
        <f t="shared" si="20"/>
        <v>5</v>
      </c>
      <c r="M148" s="21">
        <f t="shared" si="21"/>
        <v>5</v>
      </c>
      <c r="N148" s="22">
        <f t="shared" si="22"/>
        <v>5</v>
      </c>
      <c r="O148" s="22">
        <f t="shared" si="23"/>
        <v>0</v>
      </c>
      <c r="P148" s="20">
        <f t="shared" si="24"/>
        <v>0</v>
      </c>
      <c r="Q148" s="23">
        <f t="shared" si="25"/>
        <v>1500</v>
      </c>
      <c r="R148" s="20">
        <f t="shared" si="27"/>
        <v>1500</v>
      </c>
      <c r="S148" s="20">
        <f t="shared" si="28"/>
        <v>1500</v>
      </c>
      <c r="T148" s="18">
        <f t="shared" si="29"/>
        <v>7500</v>
      </c>
      <c r="U148" s="24"/>
      <c r="V148" s="25">
        <f t="shared" si="26"/>
        <v>0</v>
      </c>
    </row>
    <row r="149" spans="1:22" ht="24" customHeight="1">
      <c r="A149" s="26"/>
      <c r="B149" s="15"/>
      <c r="C149" s="16"/>
      <c r="D149" s="16">
        <v>146</v>
      </c>
      <c r="E149" s="16" t="s">
        <v>235</v>
      </c>
      <c r="F149" s="17" t="s">
        <v>24</v>
      </c>
      <c r="G149" s="18">
        <v>1</v>
      </c>
      <c r="H149" s="19">
        <v>1</v>
      </c>
      <c r="I149" s="19"/>
      <c r="J149" s="19">
        <v>5200</v>
      </c>
      <c r="K149" s="19"/>
      <c r="L149" s="20">
        <f t="shared" si="20"/>
        <v>1</v>
      </c>
      <c r="M149" s="21">
        <f t="shared" si="21"/>
        <v>1</v>
      </c>
      <c r="N149" s="22">
        <f t="shared" si="22"/>
        <v>1</v>
      </c>
      <c r="O149" s="22">
        <f t="shared" si="23"/>
        <v>0</v>
      </c>
      <c r="P149" s="20">
        <f t="shared" si="24"/>
        <v>0</v>
      </c>
      <c r="Q149" s="23">
        <f t="shared" si="25"/>
        <v>5200</v>
      </c>
      <c r="R149" s="20">
        <f t="shared" si="27"/>
        <v>5200</v>
      </c>
      <c r="S149" s="20">
        <f t="shared" si="28"/>
        <v>5200</v>
      </c>
      <c r="T149" s="18">
        <f t="shared" si="29"/>
        <v>5200</v>
      </c>
      <c r="U149" s="24"/>
      <c r="V149" s="25">
        <f t="shared" si="26"/>
        <v>0</v>
      </c>
    </row>
    <row r="150" spans="1:22" ht="24" customHeight="1">
      <c r="A150" s="14"/>
      <c r="B150" s="15"/>
      <c r="C150" s="16"/>
      <c r="D150" s="16">
        <v>147</v>
      </c>
      <c r="E150" s="16" t="s">
        <v>883</v>
      </c>
      <c r="F150" s="17" t="s">
        <v>24</v>
      </c>
      <c r="G150" s="18">
        <v>1</v>
      </c>
      <c r="H150" s="19">
        <v>1</v>
      </c>
      <c r="I150" s="19"/>
      <c r="J150" s="19">
        <v>4200</v>
      </c>
      <c r="K150" s="19"/>
      <c r="L150" s="20">
        <f t="shared" si="20"/>
        <v>1</v>
      </c>
      <c r="M150" s="21">
        <f t="shared" si="21"/>
        <v>1</v>
      </c>
      <c r="N150" s="22">
        <f t="shared" si="22"/>
        <v>1</v>
      </c>
      <c r="O150" s="22">
        <f t="shared" si="23"/>
        <v>0</v>
      </c>
      <c r="P150" s="20">
        <f t="shared" si="24"/>
        <v>0</v>
      </c>
      <c r="Q150" s="23">
        <f t="shared" si="25"/>
        <v>4200</v>
      </c>
      <c r="R150" s="20">
        <f t="shared" si="27"/>
        <v>4200</v>
      </c>
      <c r="S150" s="20">
        <f t="shared" si="28"/>
        <v>4200</v>
      </c>
      <c r="T150" s="18">
        <f t="shared" si="29"/>
        <v>4200</v>
      </c>
      <c r="U150" s="24"/>
      <c r="V150" s="25">
        <f t="shared" si="26"/>
        <v>0</v>
      </c>
    </row>
    <row r="151" spans="1:22" ht="24" customHeight="1">
      <c r="A151" s="26"/>
      <c r="B151" s="15"/>
      <c r="C151" s="16"/>
      <c r="D151" s="16">
        <v>148</v>
      </c>
      <c r="E151" s="16" t="s">
        <v>236</v>
      </c>
      <c r="F151" s="17" t="s">
        <v>24</v>
      </c>
      <c r="G151" s="18">
        <v>1</v>
      </c>
      <c r="H151" s="19">
        <v>1</v>
      </c>
      <c r="I151" s="19"/>
      <c r="J151" s="19">
        <v>3800</v>
      </c>
      <c r="K151" s="19"/>
      <c r="L151" s="20">
        <f t="shared" si="20"/>
        <v>1</v>
      </c>
      <c r="M151" s="21">
        <f t="shared" si="21"/>
        <v>1</v>
      </c>
      <c r="N151" s="22">
        <f t="shared" si="22"/>
        <v>1</v>
      </c>
      <c r="O151" s="22">
        <f t="shared" si="23"/>
        <v>0</v>
      </c>
      <c r="P151" s="20">
        <f t="shared" si="24"/>
        <v>0</v>
      </c>
      <c r="Q151" s="23">
        <f t="shared" si="25"/>
        <v>3800</v>
      </c>
      <c r="R151" s="20">
        <f t="shared" si="27"/>
        <v>3800</v>
      </c>
      <c r="S151" s="20">
        <f t="shared" si="28"/>
        <v>3800</v>
      </c>
      <c r="T151" s="18">
        <f t="shared" si="29"/>
        <v>3800</v>
      </c>
      <c r="U151" s="24"/>
      <c r="V151" s="25">
        <f t="shared" si="26"/>
        <v>0</v>
      </c>
    </row>
    <row r="152" spans="1:22" ht="24" customHeight="1">
      <c r="A152" s="26"/>
      <c r="B152" s="15"/>
      <c r="C152" s="16"/>
      <c r="D152" s="16">
        <v>149</v>
      </c>
      <c r="E152" s="16" t="s">
        <v>237</v>
      </c>
      <c r="F152" s="17" t="s">
        <v>24</v>
      </c>
      <c r="G152" s="18">
        <v>1</v>
      </c>
      <c r="H152" s="19">
        <v>9</v>
      </c>
      <c r="I152" s="19"/>
      <c r="J152" s="19">
        <v>1600</v>
      </c>
      <c r="K152" s="19"/>
      <c r="L152" s="20">
        <f t="shared" si="20"/>
        <v>9</v>
      </c>
      <c r="M152" s="21">
        <f t="shared" si="21"/>
        <v>9</v>
      </c>
      <c r="N152" s="22">
        <f t="shared" si="22"/>
        <v>9</v>
      </c>
      <c r="O152" s="22">
        <f t="shared" si="23"/>
        <v>0</v>
      </c>
      <c r="P152" s="20">
        <f t="shared" si="24"/>
        <v>0</v>
      </c>
      <c r="Q152" s="23">
        <f t="shared" si="25"/>
        <v>1600</v>
      </c>
      <c r="R152" s="20">
        <f t="shared" si="27"/>
        <v>1600</v>
      </c>
      <c r="S152" s="20">
        <f t="shared" si="28"/>
        <v>1600</v>
      </c>
      <c r="T152" s="18">
        <f t="shared" si="29"/>
        <v>14400</v>
      </c>
      <c r="U152" s="24"/>
      <c r="V152" s="25">
        <f t="shared" si="26"/>
        <v>0</v>
      </c>
    </row>
    <row r="153" spans="1:22" ht="27" customHeight="1">
      <c r="A153" s="14"/>
      <c r="B153" s="15"/>
      <c r="C153" s="16"/>
      <c r="D153" s="16">
        <v>150</v>
      </c>
      <c r="E153" s="16" t="s">
        <v>238</v>
      </c>
      <c r="F153" s="17" t="s">
        <v>24</v>
      </c>
      <c r="G153" s="18">
        <v>1</v>
      </c>
      <c r="H153" s="19">
        <v>66</v>
      </c>
      <c r="I153" s="19"/>
      <c r="J153" s="19">
        <v>20</v>
      </c>
      <c r="K153" s="19"/>
      <c r="L153" s="20">
        <f t="shared" si="20"/>
        <v>66</v>
      </c>
      <c r="M153" s="21">
        <f t="shared" si="21"/>
        <v>66</v>
      </c>
      <c r="N153" s="22">
        <f t="shared" si="22"/>
        <v>66</v>
      </c>
      <c r="O153" s="22">
        <f t="shared" si="23"/>
        <v>0</v>
      </c>
      <c r="P153" s="20">
        <f t="shared" si="24"/>
        <v>0</v>
      </c>
      <c r="Q153" s="23">
        <f t="shared" si="25"/>
        <v>20</v>
      </c>
      <c r="R153" s="20">
        <f t="shared" si="27"/>
        <v>20</v>
      </c>
      <c r="S153" s="20">
        <f t="shared" si="28"/>
        <v>20</v>
      </c>
      <c r="T153" s="18">
        <f t="shared" si="29"/>
        <v>1320</v>
      </c>
      <c r="U153" s="24"/>
      <c r="V153" s="25">
        <f t="shared" si="26"/>
        <v>0</v>
      </c>
    </row>
    <row r="154" spans="1:22" ht="29.25" customHeight="1">
      <c r="A154" s="26"/>
      <c r="B154" s="15"/>
      <c r="C154" s="16"/>
      <c r="D154" s="16">
        <v>151</v>
      </c>
      <c r="E154" s="16" t="s">
        <v>239</v>
      </c>
      <c r="F154" s="17" t="s">
        <v>24</v>
      </c>
      <c r="G154" s="18">
        <v>1</v>
      </c>
      <c r="H154" s="19">
        <v>54</v>
      </c>
      <c r="I154" s="19"/>
      <c r="J154" s="19">
        <v>42</v>
      </c>
      <c r="K154" s="19"/>
      <c r="L154" s="20">
        <f t="shared" si="20"/>
        <v>54</v>
      </c>
      <c r="M154" s="21">
        <f t="shared" si="21"/>
        <v>54</v>
      </c>
      <c r="N154" s="22">
        <f t="shared" si="22"/>
        <v>54</v>
      </c>
      <c r="O154" s="22">
        <f t="shared" si="23"/>
        <v>0</v>
      </c>
      <c r="P154" s="20">
        <f t="shared" si="24"/>
        <v>0</v>
      </c>
      <c r="Q154" s="23">
        <f t="shared" si="25"/>
        <v>42</v>
      </c>
      <c r="R154" s="20">
        <f t="shared" si="27"/>
        <v>42</v>
      </c>
      <c r="S154" s="20">
        <f t="shared" si="28"/>
        <v>42</v>
      </c>
      <c r="T154" s="18">
        <f t="shared" si="29"/>
        <v>2268</v>
      </c>
      <c r="U154" s="24"/>
      <c r="V154" s="25">
        <f t="shared" si="26"/>
        <v>0</v>
      </c>
    </row>
    <row r="155" spans="1:22" ht="24" customHeight="1">
      <c r="A155" s="26"/>
      <c r="B155" s="15"/>
      <c r="C155" s="16"/>
      <c r="D155" s="16">
        <v>152</v>
      </c>
      <c r="E155" s="16" t="s">
        <v>240</v>
      </c>
      <c r="F155" s="17" t="s">
        <v>24</v>
      </c>
      <c r="G155" s="18">
        <v>1</v>
      </c>
      <c r="H155" s="19">
        <v>7</v>
      </c>
      <c r="I155" s="19"/>
      <c r="J155" s="19">
        <v>120</v>
      </c>
      <c r="K155" s="19"/>
      <c r="L155" s="20">
        <f t="shared" si="20"/>
        <v>7</v>
      </c>
      <c r="M155" s="21">
        <f t="shared" si="21"/>
        <v>7</v>
      </c>
      <c r="N155" s="22">
        <f t="shared" si="22"/>
        <v>7</v>
      </c>
      <c r="O155" s="22">
        <f t="shared" si="23"/>
        <v>0</v>
      </c>
      <c r="P155" s="20">
        <f t="shared" si="24"/>
        <v>0</v>
      </c>
      <c r="Q155" s="23">
        <f t="shared" si="25"/>
        <v>120</v>
      </c>
      <c r="R155" s="20">
        <f t="shared" si="27"/>
        <v>120</v>
      </c>
      <c r="S155" s="20">
        <f t="shared" si="28"/>
        <v>120</v>
      </c>
      <c r="T155" s="18">
        <f t="shared" si="29"/>
        <v>840</v>
      </c>
      <c r="U155" s="24"/>
      <c r="V155" s="25">
        <f t="shared" si="26"/>
        <v>0</v>
      </c>
    </row>
    <row r="156" spans="1:22" ht="24" customHeight="1">
      <c r="A156" s="14"/>
      <c r="B156" s="15"/>
      <c r="C156" s="16"/>
      <c r="D156" s="16">
        <v>153</v>
      </c>
      <c r="E156" s="43" t="s">
        <v>241</v>
      </c>
      <c r="F156" s="17" t="s">
        <v>24</v>
      </c>
      <c r="G156" s="18">
        <v>1</v>
      </c>
      <c r="H156" s="19">
        <v>1</v>
      </c>
      <c r="I156" s="19"/>
      <c r="J156" s="19">
        <v>750</v>
      </c>
      <c r="K156" s="19"/>
      <c r="L156" s="20">
        <f t="shared" si="20"/>
        <v>1</v>
      </c>
      <c r="M156" s="21">
        <f t="shared" si="21"/>
        <v>1</v>
      </c>
      <c r="N156" s="22">
        <f t="shared" si="22"/>
        <v>1</v>
      </c>
      <c r="O156" s="22">
        <f t="shared" si="23"/>
        <v>0</v>
      </c>
      <c r="P156" s="20">
        <f t="shared" si="24"/>
        <v>0</v>
      </c>
      <c r="Q156" s="23">
        <f t="shared" si="25"/>
        <v>750</v>
      </c>
      <c r="R156" s="20">
        <f t="shared" si="27"/>
        <v>750</v>
      </c>
      <c r="S156" s="20">
        <f t="shared" si="28"/>
        <v>750</v>
      </c>
      <c r="T156" s="18">
        <f t="shared" si="29"/>
        <v>750</v>
      </c>
      <c r="U156" s="24" t="s">
        <v>152</v>
      </c>
      <c r="V156" s="25">
        <f t="shared" si="26"/>
        <v>0</v>
      </c>
    </row>
    <row r="157" spans="1:22" ht="24" customHeight="1">
      <c r="A157" s="26"/>
      <c r="B157" s="15"/>
      <c r="C157" s="16"/>
      <c r="D157" s="16">
        <v>154</v>
      </c>
      <c r="E157" s="43" t="s">
        <v>150</v>
      </c>
      <c r="F157" s="17" t="s">
        <v>24</v>
      </c>
      <c r="G157" s="18">
        <v>1</v>
      </c>
      <c r="H157" s="18">
        <v>7</v>
      </c>
      <c r="I157" s="19"/>
      <c r="J157" s="19">
        <v>1300</v>
      </c>
      <c r="K157" s="19"/>
      <c r="L157" s="20">
        <f t="shared" ref="L157:L172" si="30">I157*G157+H158</f>
        <v>2</v>
      </c>
      <c r="M157" s="21">
        <f t="shared" si="21"/>
        <v>2</v>
      </c>
      <c r="N157" s="22">
        <f t="shared" si="22"/>
        <v>2</v>
      </c>
      <c r="O157" s="22">
        <f t="shared" si="23"/>
        <v>0</v>
      </c>
      <c r="P157" s="20">
        <f t="shared" si="24"/>
        <v>0</v>
      </c>
      <c r="Q157" s="23">
        <f t="shared" si="25"/>
        <v>1300</v>
      </c>
      <c r="R157" s="20">
        <f t="shared" si="27"/>
        <v>1300</v>
      </c>
      <c r="S157" s="20">
        <f t="shared" si="28"/>
        <v>1300</v>
      </c>
      <c r="T157" s="18">
        <f t="shared" ref="T157:T171" si="31">IFERROR(S157*I157+R157*H158,"")</f>
        <v>2600</v>
      </c>
      <c r="U157" s="24" t="s">
        <v>152</v>
      </c>
      <c r="V157" s="25">
        <f t="shared" si="26"/>
        <v>0</v>
      </c>
    </row>
    <row r="158" spans="1:22" ht="24" customHeight="1">
      <c r="A158" s="26"/>
      <c r="B158" s="15"/>
      <c r="C158" s="16"/>
      <c r="D158" s="16">
        <v>155</v>
      </c>
      <c r="E158" s="16" t="s">
        <v>242</v>
      </c>
      <c r="F158" s="17" t="s">
        <v>24</v>
      </c>
      <c r="G158" s="18">
        <v>1</v>
      </c>
      <c r="H158" s="19">
        <v>2</v>
      </c>
      <c r="I158" s="19"/>
      <c r="J158" s="19">
        <v>420</v>
      </c>
      <c r="K158" s="19"/>
      <c r="L158" s="20">
        <f t="shared" si="30"/>
        <v>5</v>
      </c>
      <c r="M158" s="21">
        <f t="shared" si="21"/>
        <v>5</v>
      </c>
      <c r="N158" s="22">
        <f t="shared" si="22"/>
        <v>5</v>
      </c>
      <c r="O158" s="22">
        <f t="shared" si="23"/>
        <v>0</v>
      </c>
      <c r="P158" s="20">
        <f t="shared" si="24"/>
        <v>0</v>
      </c>
      <c r="Q158" s="23">
        <f t="shared" si="25"/>
        <v>420</v>
      </c>
      <c r="R158" s="20">
        <f t="shared" si="27"/>
        <v>420</v>
      </c>
      <c r="S158" s="20">
        <f t="shared" si="28"/>
        <v>420</v>
      </c>
      <c r="T158" s="18">
        <f t="shared" si="31"/>
        <v>2100</v>
      </c>
      <c r="U158" s="24"/>
      <c r="V158" s="25">
        <f t="shared" si="26"/>
        <v>0</v>
      </c>
    </row>
    <row r="159" spans="1:22" ht="24" customHeight="1">
      <c r="A159" s="14"/>
      <c r="B159" s="15"/>
      <c r="C159" s="16"/>
      <c r="D159" s="16">
        <v>156</v>
      </c>
      <c r="E159" s="16" t="s">
        <v>243</v>
      </c>
      <c r="F159" s="17" t="s">
        <v>24</v>
      </c>
      <c r="G159" s="18">
        <v>1</v>
      </c>
      <c r="H159" s="19">
        <v>5</v>
      </c>
      <c r="I159" s="19"/>
      <c r="J159" s="19">
        <v>130</v>
      </c>
      <c r="K159" s="19"/>
      <c r="L159" s="20">
        <f t="shared" si="30"/>
        <v>3</v>
      </c>
      <c r="M159" s="21">
        <f t="shared" si="21"/>
        <v>3</v>
      </c>
      <c r="N159" s="22">
        <f t="shared" si="22"/>
        <v>3</v>
      </c>
      <c r="O159" s="22">
        <f t="shared" si="23"/>
        <v>0</v>
      </c>
      <c r="P159" s="20">
        <f t="shared" si="24"/>
        <v>0</v>
      </c>
      <c r="Q159" s="23">
        <f t="shared" si="25"/>
        <v>130</v>
      </c>
      <c r="R159" s="20">
        <f t="shared" si="27"/>
        <v>130</v>
      </c>
      <c r="S159" s="20">
        <f t="shared" si="28"/>
        <v>130</v>
      </c>
      <c r="T159" s="18">
        <f t="shared" si="31"/>
        <v>390</v>
      </c>
      <c r="U159" s="24"/>
      <c r="V159" s="25">
        <f t="shared" si="26"/>
        <v>0</v>
      </c>
    </row>
    <row r="160" spans="1:22" ht="24" customHeight="1">
      <c r="A160" s="26"/>
      <c r="B160" s="15"/>
      <c r="C160" s="16"/>
      <c r="D160" s="16">
        <v>157</v>
      </c>
      <c r="E160" s="16" t="s">
        <v>244</v>
      </c>
      <c r="F160" s="17" t="s">
        <v>24</v>
      </c>
      <c r="G160" s="18">
        <v>1</v>
      </c>
      <c r="H160" s="19">
        <v>3</v>
      </c>
      <c r="I160" s="19"/>
      <c r="J160" s="19">
        <v>860</v>
      </c>
      <c r="K160" s="19"/>
      <c r="L160" s="20">
        <f t="shared" si="30"/>
        <v>3</v>
      </c>
      <c r="M160" s="21">
        <f t="shared" si="21"/>
        <v>3</v>
      </c>
      <c r="N160" s="22">
        <f t="shared" si="22"/>
        <v>3</v>
      </c>
      <c r="O160" s="22">
        <f t="shared" si="23"/>
        <v>0</v>
      </c>
      <c r="P160" s="20">
        <f t="shared" si="24"/>
        <v>0</v>
      </c>
      <c r="Q160" s="23">
        <f t="shared" si="25"/>
        <v>860</v>
      </c>
      <c r="R160" s="20">
        <f t="shared" si="27"/>
        <v>860</v>
      </c>
      <c r="S160" s="20">
        <f t="shared" si="28"/>
        <v>860</v>
      </c>
      <c r="T160" s="18">
        <f t="shared" si="31"/>
        <v>2580</v>
      </c>
      <c r="U160" s="24"/>
      <c r="V160" s="25">
        <f t="shared" si="26"/>
        <v>0</v>
      </c>
    </row>
    <row r="161" spans="1:22" ht="24" customHeight="1">
      <c r="A161" s="26"/>
      <c r="B161" s="15"/>
      <c r="C161" s="16"/>
      <c r="D161" s="16">
        <v>158</v>
      </c>
      <c r="E161" s="16" t="s">
        <v>245</v>
      </c>
      <c r="F161" s="17" t="s">
        <v>24</v>
      </c>
      <c r="G161" s="18">
        <v>1</v>
      </c>
      <c r="H161" s="19">
        <v>3</v>
      </c>
      <c r="I161" s="19"/>
      <c r="J161" s="19">
        <v>75</v>
      </c>
      <c r="K161" s="19"/>
      <c r="L161" s="20">
        <f t="shared" si="30"/>
        <v>2</v>
      </c>
      <c r="M161" s="21">
        <f t="shared" si="21"/>
        <v>2</v>
      </c>
      <c r="N161" s="22">
        <f t="shared" si="22"/>
        <v>2</v>
      </c>
      <c r="O161" s="22">
        <f t="shared" si="23"/>
        <v>0</v>
      </c>
      <c r="P161" s="20">
        <f t="shared" si="24"/>
        <v>0</v>
      </c>
      <c r="Q161" s="23">
        <f t="shared" si="25"/>
        <v>75</v>
      </c>
      <c r="R161" s="20">
        <f t="shared" si="27"/>
        <v>75</v>
      </c>
      <c r="S161" s="20">
        <f t="shared" si="28"/>
        <v>75</v>
      </c>
      <c r="T161" s="18">
        <f t="shared" si="31"/>
        <v>150</v>
      </c>
      <c r="U161" s="24"/>
      <c r="V161" s="25">
        <f t="shared" si="26"/>
        <v>0</v>
      </c>
    </row>
    <row r="162" spans="1:22" ht="24" customHeight="1">
      <c r="A162" s="14"/>
      <c r="B162" s="15"/>
      <c r="C162" s="16"/>
      <c r="D162" s="16">
        <v>159</v>
      </c>
      <c r="E162" s="16" t="s">
        <v>246</v>
      </c>
      <c r="F162" s="17" t="s">
        <v>24</v>
      </c>
      <c r="G162" s="18">
        <v>1</v>
      </c>
      <c r="H162" s="19">
        <v>2</v>
      </c>
      <c r="I162" s="19"/>
      <c r="J162" s="19">
        <v>900</v>
      </c>
      <c r="K162" s="19"/>
      <c r="L162" s="20">
        <f t="shared" si="30"/>
        <v>1</v>
      </c>
      <c r="M162" s="21">
        <f t="shared" si="21"/>
        <v>1</v>
      </c>
      <c r="N162" s="22">
        <f t="shared" si="22"/>
        <v>1</v>
      </c>
      <c r="O162" s="22">
        <f t="shared" si="23"/>
        <v>0</v>
      </c>
      <c r="P162" s="20">
        <f t="shared" si="24"/>
        <v>0</v>
      </c>
      <c r="Q162" s="23">
        <f t="shared" si="25"/>
        <v>900</v>
      </c>
      <c r="R162" s="20">
        <f t="shared" si="27"/>
        <v>900</v>
      </c>
      <c r="S162" s="20">
        <f t="shared" si="28"/>
        <v>900</v>
      </c>
      <c r="T162" s="18">
        <f t="shared" si="31"/>
        <v>900</v>
      </c>
      <c r="U162" s="24"/>
      <c r="V162" s="25">
        <f t="shared" si="26"/>
        <v>0</v>
      </c>
    </row>
    <row r="163" spans="1:22" ht="24" customHeight="1">
      <c r="A163" s="26"/>
      <c r="B163" s="15"/>
      <c r="C163" s="16"/>
      <c r="D163" s="16">
        <v>160</v>
      </c>
      <c r="E163" s="16" t="s">
        <v>247</v>
      </c>
      <c r="F163" s="17" t="s">
        <v>24</v>
      </c>
      <c r="G163" s="18">
        <v>1</v>
      </c>
      <c r="H163" s="19">
        <v>1</v>
      </c>
      <c r="I163" s="19"/>
      <c r="J163" s="19">
        <v>530</v>
      </c>
      <c r="K163" s="19"/>
      <c r="L163" s="20">
        <f t="shared" si="30"/>
        <v>1</v>
      </c>
      <c r="M163" s="21">
        <f t="shared" si="21"/>
        <v>1</v>
      </c>
      <c r="N163" s="22">
        <f t="shared" si="22"/>
        <v>1</v>
      </c>
      <c r="O163" s="22">
        <f t="shared" si="23"/>
        <v>0</v>
      </c>
      <c r="P163" s="20">
        <f t="shared" si="24"/>
        <v>0</v>
      </c>
      <c r="Q163" s="23">
        <f t="shared" si="25"/>
        <v>530</v>
      </c>
      <c r="R163" s="20">
        <f t="shared" si="27"/>
        <v>530</v>
      </c>
      <c r="S163" s="20">
        <f t="shared" si="28"/>
        <v>530</v>
      </c>
      <c r="T163" s="18">
        <f t="shared" si="31"/>
        <v>530</v>
      </c>
      <c r="U163" s="24"/>
      <c r="V163" s="25">
        <f t="shared" si="26"/>
        <v>0</v>
      </c>
    </row>
    <row r="164" spans="1:22" ht="24" customHeight="1">
      <c r="A164" s="26"/>
      <c r="B164" s="15"/>
      <c r="C164" s="16"/>
      <c r="D164" s="16">
        <v>161</v>
      </c>
      <c r="E164" s="16" t="s">
        <v>248</v>
      </c>
      <c r="F164" s="17" t="s">
        <v>24</v>
      </c>
      <c r="G164" s="18">
        <v>1</v>
      </c>
      <c r="H164" s="19">
        <v>1</v>
      </c>
      <c r="I164" s="19"/>
      <c r="J164" s="19">
        <v>800</v>
      </c>
      <c r="K164" s="19"/>
      <c r="L164" s="20">
        <f t="shared" si="30"/>
        <v>2</v>
      </c>
      <c r="M164" s="21">
        <f t="shared" si="21"/>
        <v>2</v>
      </c>
      <c r="N164" s="22">
        <f t="shared" si="22"/>
        <v>2</v>
      </c>
      <c r="O164" s="22">
        <f t="shared" si="23"/>
        <v>0</v>
      </c>
      <c r="P164" s="20">
        <f t="shared" si="24"/>
        <v>0</v>
      </c>
      <c r="Q164" s="23">
        <f t="shared" si="25"/>
        <v>800</v>
      </c>
      <c r="R164" s="20">
        <f t="shared" si="27"/>
        <v>800</v>
      </c>
      <c r="S164" s="20">
        <f t="shared" si="28"/>
        <v>800</v>
      </c>
      <c r="T164" s="18">
        <f t="shared" si="31"/>
        <v>1600</v>
      </c>
      <c r="U164" s="24"/>
      <c r="V164" s="25">
        <f t="shared" si="26"/>
        <v>0</v>
      </c>
    </row>
    <row r="165" spans="1:22" ht="24" customHeight="1">
      <c r="A165" s="14"/>
      <c r="B165" s="15"/>
      <c r="C165" s="16"/>
      <c r="D165" s="16">
        <v>162</v>
      </c>
      <c r="E165" s="16" t="s">
        <v>70</v>
      </c>
      <c r="F165" s="17" t="s">
        <v>24</v>
      </c>
      <c r="G165" s="18">
        <v>1</v>
      </c>
      <c r="H165" s="19">
        <v>2</v>
      </c>
      <c r="I165" s="19"/>
      <c r="J165" s="19">
        <v>210</v>
      </c>
      <c r="K165" s="19"/>
      <c r="L165" s="20">
        <f t="shared" si="30"/>
        <v>2</v>
      </c>
      <c r="M165" s="21">
        <f t="shared" si="21"/>
        <v>2</v>
      </c>
      <c r="N165" s="22">
        <f t="shared" si="22"/>
        <v>2</v>
      </c>
      <c r="O165" s="22">
        <f t="shared" si="23"/>
        <v>0</v>
      </c>
      <c r="P165" s="20">
        <f t="shared" si="24"/>
        <v>0</v>
      </c>
      <c r="Q165" s="23">
        <f t="shared" si="25"/>
        <v>210</v>
      </c>
      <c r="R165" s="20">
        <f t="shared" si="27"/>
        <v>210</v>
      </c>
      <c r="S165" s="20">
        <f t="shared" si="28"/>
        <v>210</v>
      </c>
      <c r="T165" s="18">
        <f t="shared" si="31"/>
        <v>420</v>
      </c>
      <c r="U165" s="24"/>
      <c r="V165" s="25">
        <f t="shared" si="26"/>
        <v>0</v>
      </c>
    </row>
    <row r="166" spans="1:22" ht="24" customHeight="1">
      <c r="A166" s="26"/>
      <c r="B166" s="15"/>
      <c r="C166" s="16"/>
      <c r="D166" s="16">
        <v>163</v>
      </c>
      <c r="E166" s="16" t="s">
        <v>69</v>
      </c>
      <c r="F166" s="17" t="s">
        <v>24</v>
      </c>
      <c r="G166" s="18">
        <v>1</v>
      </c>
      <c r="H166" s="19">
        <v>2</v>
      </c>
      <c r="I166" s="19"/>
      <c r="J166" s="19">
        <v>380</v>
      </c>
      <c r="K166" s="19"/>
      <c r="L166" s="20">
        <f t="shared" si="30"/>
        <v>1</v>
      </c>
      <c r="M166" s="21">
        <f t="shared" si="21"/>
        <v>1</v>
      </c>
      <c r="N166" s="22">
        <f t="shared" si="22"/>
        <v>1</v>
      </c>
      <c r="O166" s="22">
        <f t="shared" si="23"/>
        <v>0</v>
      </c>
      <c r="P166" s="20">
        <f t="shared" si="24"/>
        <v>0</v>
      </c>
      <c r="Q166" s="23">
        <f t="shared" si="25"/>
        <v>380</v>
      </c>
      <c r="R166" s="20">
        <f t="shared" si="27"/>
        <v>380</v>
      </c>
      <c r="S166" s="20">
        <f t="shared" si="28"/>
        <v>380</v>
      </c>
      <c r="T166" s="18">
        <f t="shared" si="31"/>
        <v>380</v>
      </c>
      <c r="U166" s="24"/>
      <c r="V166" s="25">
        <f t="shared" si="26"/>
        <v>0</v>
      </c>
    </row>
    <row r="167" spans="1:22" ht="24" customHeight="1">
      <c r="A167" s="26"/>
      <c r="B167" s="15"/>
      <c r="C167" s="16"/>
      <c r="D167" s="16">
        <v>164</v>
      </c>
      <c r="E167" s="16" t="s">
        <v>249</v>
      </c>
      <c r="F167" s="17" t="s">
        <v>24</v>
      </c>
      <c r="G167" s="18">
        <v>1</v>
      </c>
      <c r="H167" s="19">
        <v>1</v>
      </c>
      <c r="I167" s="19"/>
      <c r="J167" s="19">
        <v>750</v>
      </c>
      <c r="K167" s="19"/>
      <c r="L167" s="20">
        <f t="shared" si="30"/>
        <v>2</v>
      </c>
      <c r="M167" s="21">
        <f t="shared" si="21"/>
        <v>2</v>
      </c>
      <c r="N167" s="22">
        <f t="shared" si="22"/>
        <v>2</v>
      </c>
      <c r="O167" s="22">
        <f t="shared" si="23"/>
        <v>0</v>
      </c>
      <c r="P167" s="20">
        <f t="shared" si="24"/>
        <v>0</v>
      </c>
      <c r="Q167" s="23">
        <f t="shared" si="25"/>
        <v>750</v>
      </c>
      <c r="R167" s="20">
        <f t="shared" si="27"/>
        <v>750</v>
      </c>
      <c r="S167" s="20">
        <f t="shared" si="28"/>
        <v>750</v>
      </c>
      <c r="T167" s="18">
        <f t="shared" si="31"/>
        <v>1500</v>
      </c>
      <c r="U167" s="24"/>
      <c r="V167" s="25">
        <f t="shared" si="26"/>
        <v>0</v>
      </c>
    </row>
    <row r="168" spans="1:22" ht="24" customHeight="1">
      <c r="A168" s="14"/>
      <c r="B168" s="15"/>
      <c r="C168" s="16"/>
      <c r="D168" s="16">
        <v>165</v>
      </c>
      <c r="E168" s="16" t="s">
        <v>953</v>
      </c>
      <c r="F168" s="17" t="s">
        <v>24</v>
      </c>
      <c r="G168" s="18">
        <v>1</v>
      </c>
      <c r="H168" s="19">
        <v>2</v>
      </c>
      <c r="I168" s="19"/>
      <c r="J168" s="19">
        <v>1500</v>
      </c>
      <c r="K168" s="19"/>
      <c r="L168" s="20">
        <f t="shared" si="30"/>
        <v>2</v>
      </c>
      <c r="M168" s="21">
        <f t="shared" si="21"/>
        <v>2</v>
      </c>
      <c r="N168" s="22">
        <f t="shared" si="22"/>
        <v>2</v>
      </c>
      <c r="O168" s="22">
        <f t="shared" si="23"/>
        <v>0</v>
      </c>
      <c r="P168" s="20">
        <f t="shared" si="24"/>
        <v>0</v>
      </c>
      <c r="Q168" s="23">
        <f t="shared" si="25"/>
        <v>1500</v>
      </c>
      <c r="R168" s="20">
        <f t="shared" si="27"/>
        <v>1500</v>
      </c>
      <c r="S168" s="20">
        <f t="shared" si="28"/>
        <v>1500</v>
      </c>
      <c r="T168" s="18">
        <f t="shared" si="31"/>
        <v>3000</v>
      </c>
      <c r="U168" s="24"/>
      <c r="V168" s="25">
        <f t="shared" si="26"/>
        <v>0</v>
      </c>
    </row>
    <row r="169" spans="1:22" ht="24" customHeight="1">
      <c r="A169" s="26"/>
      <c r="B169" s="15"/>
      <c r="C169" s="16"/>
      <c r="D169" s="16">
        <v>166</v>
      </c>
      <c r="E169" s="16" t="s">
        <v>250</v>
      </c>
      <c r="F169" s="17" t="s">
        <v>24</v>
      </c>
      <c r="G169" s="18">
        <v>1</v>
      </c>
      <c r="H169" s="19">
        <v>2</v>
      </c>
      <c r="I169" s="19"/>
      <c r="J169" s="19">
        <v>650</v>
      </c>
      <c r="K169" s="19"/>
      <c r="L169" s="20">
        <f t="shared" si="30"/>
        <v>13</v>
      </c>
      <c r="M169" s="21">
        <f t="shared" si="21"/>
        <v>13</v>
      </c>
      <c r="N169" s="22">
        <f t="shared" si="22"/>
        <v>13</v>
      </c>
      <c r="O169" s="22">
        <f t="shared" si="23"/>
        <v>0</v>
      </c>
      <c r="P169" s="20">
        <f t="shared" si="24"/>
        <v>0</v>
      </c>
      <c r="Q169" s="23">
        <f t="shared" si="25"/>
        <v>650</v>
      </c>
      <c r="R169" s="20">
        <f t="shared" si="27"/>
        <v>650</v>
      </c>
      <c r="S169" s="20">
        <f t="shared" si="28"/>
        <v>650</v>
      </c>
      <c r="T169" s="18">
        <f t="shared" si="31"/>
        <v>8450</v>
      </c>
      <c r="U169" s="24"/>
      <c r="V169" s="25">
        <f t="shared" si="26"/>
        <v>0</v>
      </c>
    </row>
    <row r="170" spans="1:22" ht="24" customHeight="1">
      <c r="A170" s="26"/>
      <c r="B170" s="15"/>
      <c r="C170" s="16"/>
      <c r="D170" s="16">
        <v>167</v>
      </c>
      <c r="E170" s="16" t="s">
        <v>251</v>
      </c>
      <c r="F170" s="17" t="s">
        <v>24</v>
      </c>
      <c r="G170" s="18">
        <v>1</v>
      </c>
      <c r="H170" s="19">
        <v>13</v>
      </c>
      <c r="I170" s="19"/>
      <c r="J170" s="19">
        <v>110</v>
      </c>
      <c r="K170" s="19"/>
      <c r="L170" s="20">
        <f t="shared" si="30"/>
        <v>6</v>
      </c>
      <c r="M170" s="21">
        <f t="shared" si="21"/>
        <v>6</v>
      </c>
      <c r="N170" s="22">
        <f t="shared" si="22"/>
        <v>6</v>
      </c>
      <c r="O170" s="22">
        <f t="shared" si="23"/>
        <v>0</v>
      </c>
      <c r="P170" s="20">
        <f t="shared" si="24"/>
        <v>0</v>
      </c>
      <c r="Q170" s="23">
        <f t="shared" si="25"/>
        <v>110</v>
      </c>
      <c r="R170" s="20">
        <f t="shared" si="27"/>
        <v>110</v>
      </c>
      <c r="S170" s="20">
        <f t="shared" si="28"/>
        <v>110</v>
      </c>
      <c r="T170" s="18">
        <f t="shared" si="31"/>
        <v>660</v>
      </c>
      <c r="U170" s="24"/>
      <c r="V170" s="25">
        <f t="shared" si="26"/>
        <v>0</v>
      </c>
    </row>
    <row r="171" spans="1:22" ht="24" customHeight="1">
      <c r="A171" s="14"/>
      <c r="B171" s="15"/>
      <c r="C171" s="16"/>
      <c r="D171" s="16">
        <v>168</v>
      </c>
      <c r="E171" s="16" t="s">
        <v>252</v>
      </c>
      <c r="F171" s="17" t="s">
        <v>24</v>
      </c>
      <c r="G171" s="18">
        <v>1</v>
      </c>
      <c r="H171" s="19">
        <v>6</v>
      </c>
      <c r="I171" s="19"/>
      <c r="J171" s="19">
        <v>400</v>
      </c>
      <c r="K171" s="19"/>
      <c r="L171" s="20">
        <f t="shared" si="30"/>
        <v>3</v>
      </c>
      <c r="M171" s="21">
        <f t="shared" si="21"/>
        <v>3</v>
      </c>
      <c r="N171" s="22">
        <f t="shared" si="22"/>
        <v>3</v>
      </c>
      <c r="O171" s="22">
        <f t="shared" si="23"/>
        <v>0</v>
      </c>
      <c r="P171" s="20">
        <f t="shared" si="24"/>
        <v>0</v>
      </c>
      <c r="Q171" s="23">
        <f t="shared" si="25"/>
        <v>400</v>
      </c>
      <c r="R171" s="20">
        <f t="shared" si="27"/>
        <v>400</v>
      </c>
      <c r="S171" s="20">
        <f t="shared" si="28"/>
        <v>400</v>
      </c>
      <c r="T171" s="18">
        <f t="shared" si="31"/>
        <v>1200</v>
      </c>
      <c r="U171" s="24"/>
      <c r="V171" s="25">
        <f t="shared" si="26"/>
        <v>0</v>
      </c>
    </row>
    <row r="172" spans="1:22" ht="24" customHeight="1">
      <c r="A172" s="26"/>
      <c r="B172" s="15"/>
      <c r="C172" s="16"/>
      <c r="D172" s="16">
        <v>169</v>
      </c>
      <c r="E172" s="16" t="s">
        <v>253</v>
      </c>
      <c r="F172" s="17" t="s">
        <v>24</v>
      </c>
      <c r="G172" s="18">
        <v>1</v>
      </c>
      <c r="H172" s="19">
        <v>3</v>
      </c>
      <c r="I172" s="19"/>
      <c r="J172" s="19">
        <v>100</v>
      </c>
      <c r="K172" s="19"/>
      <c r="L172" s="20">
        <f t="shared" si="30"/>
        <v>9</v>
      </c>
      <c r="M172" s="21">
        <f t="shared" si="21"/>
        <v>9</v>
      </c>
      <c r="N172" s="22">
        <f t="shared" si="22"/>
        <v>9</v>
      </c>
      <c r="O172" s="22">
        <f t="shared" si="23"/>
        <v>0</v>
      </c>
      <c r="P172" s="20">
        <f t="shared" si="24"/>
        <v>0</v>
      </c>
      <c r="Q172" s="23">
        <f t="shared" si="25"/>
        <v>100</v>
      </c>
      <c r="R172" s="20">
        <f t="shared" si="27"/>
        <v>100</v>
      </c>
      <c r="S172" s="20">
        <f t="shared" si="28"/>
        <v>100</v>
      </c>
      <c r="T172" s="18">
        <v>300</v>
      </c>
      <c r="U172" s="24"/>
      <c r="V172" s="25">
        <f t="shared" si="26"/>
        <v>0</v>
      </c>
    </row>
    <row r="173" spans="1:22" ht="24" customHeight="1">
      <c r="A173" s="26"/>
      <c r="B173" s="15"/>
      <c r="C173" s="16"/>
      <c r="D173" s="16">
        <v>170</v>
      </c>
      <c r="E173" s="16" t="s">
        <v>254</v>
      </c>
      <c r="F173" s="17" t="s">
        <v>24</v>
      </c>
      <c r="G173" s="18">
        <v>1</v>
      </c>
      <c r="H173" s="19">
        <v>9</v>
      </c>
      <c r="I173" s="19"/>
      <c r="J173" s="19">
        <v>230</v>
      </c>
      <c r="K173" s="19"/>
      <c r="L173" s="20">
        <f t="shared" si="20"/>
        <v>9</v>
      </c>
      <c r="M173" s="21">
        <f t="shared" si="21"/>
        <v>9</v>
      </c>
      <c r="N173" s="22">
        <f t="shared" si="22"/>
        <v>9</v>
      </c>
      <c r="O173" s="22">
        <f t="shared" si="23"/>
        <v>0</v>
      </c>
      <c r="P173" s="20">
        <f t="shared" si="24"/>
        <v>0</v>
      </c>
      <c r="Q173" s="23">
        <f t="shared" si="25"/>
        <v>230</v>
      </c>
      <c r="R173" s="20">
        <f t="shared" si="27"/>
        <v>230</v>
      </c>
      <c r="S173" s="20">
        <f t="shared" si="28"/>
        <v>230</v>
      </c>
      <c r="T173" s="18">
        <f t="shared" si="29"/>
        <v>2070</v>
      </c>
      <c r="U173" s="24"/>
      <c r="V173" s="25">
        <f t="shared" si="26"/>
        <v>0</v>
      </c>
    </row>
    <row r="174" spans="1:22" ht="24" customHeight="1">
      <c r="A174" s="14"/>
      <c r="B174" s="15"/>
      <c r="C174" s="16"/>
      <c r="D174" s="16">
        <v>171</v>
      </c>
      <c r="E174" s="16" t="s">
        <v>255</v>
      </c>
      <c r="F174" s="17" t="s">
        <v>24</v>
      </c>
      <c r="G174" s="18">
        <v>1</v>
      </c>
      <c r="H174" s="19">
        <v>4</v>
      </c>
      <c r="I174" s="19"/>
      <c r="J174" s="19">
        <v>140</v>
      </c>
      <c r="K174" s="19"/>
      <c r="L174" s="20">
        <f t="shared" si="20"/>
        <v>4</v>
      </c>
      <c r="M174" s="21">
        <f t="shared" si="21"/>
        <v>4</v>
      </c>
      <c r="N174" s="22">
        <f t="shared" si="22"/>
        <v>4</v>
      </c>
      <c r="O174" s="22">
        <f t="shared" si="23"/>
        <v>0</v>
      </c>
      <c r="P174" s="20">
        <f t="shared" si="24"/>
        <v>0</v>
      </c>
      <c r="Q174" s="23">
        <f t="shared" si="25"/>
        <v>140</v>
      </c>
      <c r="R174" s="20">
        <f t="shared" si="27"/>
        <v>140</v>
      </c>
      <c r="S174" s="20">
        <f t="shared" si="28"/>
        <v>140</v>
      </c>
      <c r="T174" s="18">
        <f t="shared" si="29"/>
        <v>560</v>
      </c>
      <c r="U174" s="24"/>
      <c r="V174" s="25">
        <f t="shared" si="26"/>
        <v>0</v>
      </c>
    </row>
    <row r="175" spans="1:22" ht="24" customHeight="1">
      <c r="A175" s="26"/>
      <c r="B175" s="15"/>
      <c r="C175" s="16"/>
      <c r="D175" s="16">
        <v>172</v>
      </c>
      <c r="E175" s="16" t="s">
        <v>256</v>
      </c>
      <c r="F175" s="17" t="s">
        <v>24</v>
      </c>
      <c r="G175" s="18">
        <v>1</v>
      </c>
      <c r="H175" s="19">
        <v>2</v>
      </c>
      <c r="I175" s="19"/>
      <c r="J175" s="19">
        <v>1400</v>
      </c>
      <c r="K175" s="19"/>
      <c r="L175" s="20">
        <f t="shared" si="20"/>
        <v>2</v>
      </c>
      <c r="M175" s="21">
        <f t="shared" si="21"/>
        <v>2</v>
      </c>
      <c r="N175" s="22">
        <f t="shared" si="22"/>
        <v>2</v>
      </c>
      <c r="O175" s="22">
        <f t="shared" si="23"/>
        <v>0</v>
      </c>
      <c r="P175" s="20">
        <f t="shared" si="24"/>
        <v>0</v>
      </c>
      <c r="Q175" s="23">
        <f t="shared" si="25"/>
        <v>1400</v>
      </c>
      <c r="R175" s="20">
        <f t="shared" si="27"/>
        <v>1400</v>
      </c>
      <c r="S175" s="20">
        <f t="shared" si="28"/>
        <v>1400</v>
      </c>
      <c r="T175" s="18">
        <f t="shared" si="29"/>
        <v>2800</v>
      </c>
      <c r="U175" s="24"/>
      <c r="V175" s="25">
        <f t="shared" si="26"/>
        <v>0</v>
      </c>
    </row>
    <row r="176" spans="1:22" ht="24" customHeight="1">
      <c r="A176" s="26"/>
      <c r="B176" s="15"/>
      <c r="C176" s="16"/>
      <c r="D176" s="16">
        <v>173</v>
      </c>
      <c r="E176" s="16" t="s">
        <v>257</v>
      </c>
      <c r="F176" s="17" t="s">
        <v>24</v>
      </c>
      <c r="G176" s="18">
        <v>1</v>
      </c>
      <c r="H176" s="19">
        <v>1</v>
      </c>
      <c r="I176" s="19"/>
      <c r="J176" s="19">
        <v>680</v>
      </c>
      <c r="K176" s="19"/>
      <c r="L176" s="20">
        <f t="shared" si="20"/>
        <v>1</v>
      </c>
      <c r="M176" s="21">
        <f t="shared" si="21"/>
        <v>1</v>
      </c>
      <c r="N176" s="22">
        <f t="shared" si="22"/>
        <v>1</v>
      </c>
      <c r="O176" s="22">
        <f t="shared" si="23"/>
        <v>0</v>
      </c>
      <c r="P176" s="20">
        <f t="shared" si="24"/>
        <v>0</v>
      </c>
      <c r="Q176" s="23">
        <f t="shared" si="25"/>
        <v>680</v>
      </c>
      <c r="R176" s="20">
        <f t="shared" si="27"/>
        <v>680</v>
      </c>
      <c r="S176" s="20">
        <f t="shared" si="28"/>
        <v>680</v>
      </c>
      <c r="T176" s="18">
        <f t="shared" si="29"/>
        <v>680</v>
      </c>
      <c r="U176" s="24"/>
      <c r="V176" s="25">
        <f t="shared" si="26"/>
        <v>0</v>
      </c>
    </row>
    <row r="177" spans="1:22" ht="24" customHeight="1">
      <c r="A177" s="14"/>
      <c r="B177" s="15"/>
      <c r="C177" s="16"/>
      <c r="D177" s="16">
        <v>174</v>
      </c>
      <c r="E177" s="16" t="s">
        <v>258</v>
      </c>
      <c r="F177" s="17" t="s">
        <v>24</v>
      </c>
      <c r="G177" s="18">
        <v>1</v>
      </c>
      <c r="H177" s="19">
        <v>1</v>
      </c>
      <c r="I177" s="19"/>
      <c r="J177" s="19">
        <v>800</v>
      </c>
      <c r="K177" s="19"/>
      <c r="L177" s="20">
        <f t="shared" si="20"/>
        <v>1</v>
      </c>
      <c r="M177" s="21">
        <f t="shared" si="21"/>
        <v>1</v>
      </c>
      <c r="N177" s="22">
        <f t="shared" si="22"/>
        <v>1</v>
      </c>
      <c r="O177" s="22">
        <f t="shared" si="23"/>
        <v>0</v>
      </c>
      <c r="P177" s="20">
        <f t="shared" si="24"/>
        <v>0</v>
      </c>
      <c r="Q177" s="23">
        <f t="shared" si="25"/>
        <v>800</v>
      </c>
      <c r="R177" s="20">
        <f t="shared" si="27"/>
        <v>800</v>
      </c>
      <c r="S177" s="20">
        <f t="shared" si="28"/>
        <v>800</v>
      </c>
      <c r="T177" s="18">
        <f t="shared" si="29"/>
        <v>800</v>
      </c>
      <c r="U177" s="24"/>
      <c r="V177" s="25">
        <f t="shared" si="26"/>
        <v>0</v>
      </c>
    </row>
    <row r="178" spans="1:22" ht="24" customHeight="1">
      <c r="A178" s="26"/>
      <c r="B178" s="15"/>
      <c r="C178" s="16"/>
      <c r="D178" s="16">
        <v>175</v>
      </c>
      <c r="E178" s="16" t="s">
        <v>386</v>
      </c>
      <c r="F178" s="17" t="s">
        <v>24</v>
      </c>
      <c r="G178" s="18">
        <v>1</v>
      </c>
      <c r="H178" s="19">
        <v>1</v>
      </c>
      <c r="I178" s="19"/>
      <c r="J178" s="19">
        <v>1300</v>
      </c>
      <c r="K178" s="19"/>
      <c r="L178" s="20">
        <f t="shared" si="20"/>
        <v>1</v>
      </c>
      <c r="M178" s="21">
        <f t="shared" si="21"/>
        <v>1</v>
      </c>
      <c r="N178" s="22">
        <f t="shared" si="22"/>
        <v>1</v>
      </c>
      <c r="O178" s="22">
        <f t="shared" si="23"/>
        <v>0</v>
      </c>
      <c r="P178" s="20">
        <f t="shared" si="24"/>
        <v>0</v>
      </c>
      <c r="Q178" s="23">
        <f t="shared" si="25"/>
        <v>1300</v>
      </c>
      <c r="R178" s="20">
        <f t="shared" si="27"/>
        <v>1300</v>
      </c>
      <c r="S178" s="20">
        <f t="shared" si="28"/>
        <v>1300</v>
      </c>
      <c r="T178" s="18">
        <f t="shared" si="29"/>
        <v>1300</v>
      </c>
      <c r="U178" s="24"/>
      <c r="V178" s="25">
        <f t="shared" si="26"/>
        <v>0</v>
      </c>
    </row>
    <row r="179" spans="1:22" ht="24" customHeight="1">
      <c r="A179" s="26"/>
      <c r="B179" s="15"/>
      <c r="C179" s="16"/>
      <c r="D179" s="16">
        <v>176</v>
      </c>
      <c r="E179" s="16" t="s">
        <v>259</v>
      </c>
      <c r="F179" s="17" t="s">
        <v>24</v>
      </c>
      <c r="G179" s="18">
        <v>1</v>
      </c>
      <c r="H179" s="19">
        <v>3</v>
      </c>
      <c r="I179" s="19"/>
      <c r="J179" s="19">
        <v>210</v>
      </c>
      <c r="K179" s="19"/>
      <c r="L179" s="20">
        <f t="shared" si="20"/>
        <v>3</v>
      </c>
      <c r="M179" s="21">
        <f t="shared" si="21"/>
        <v>3</v>
      </c>
      <c r="N179" s="22">
        <f t="shared" si="22"/>
        <v>3</v>
      </c>
      <c r="O179" s="22">
        <f t="shared" si="23"/>
        <v>0</v>
      </c>
      <c r="P179" s="20">
        <f t="shared" si="24"/>
        <v>0</v>
      </c>
      <c r="Q179" s="23">
        <f t="shared" si="25"/>
        <v>210</v>
      </c>
      <c r="R179" s="20">
        <f t="shared" si="27"/>
        <v>210</v>
      </c>
      <c r="S179" s="20">
        <f t="shared" si="28"/>
        <v>210</v>
      </c>
      <c r="T179" s="18">
        <f t="shared" si="29"/>
        <v>630</v>
      </c>
      <c r="U179" s="24"/>
      <c r="V179" s="25">
        <f t="shared" si="26"/>
        <v>0</v>
      </c>
    </row>
    <row r="180" spans="1:22" ht="24" customHeight="1">
      <c r="A180" s="14"/>
      <c r="B180" s="15"/>
      <c r="C180" s="16"/>
      <c r="D180" s="16">
        <v>177</v>
      </c>
      <c r="E180" s="16" t="s">
        <v>260</v>
      </c>
      <c r="F180" s="17" t="s">
        <v>24</v>
      </c>
      <c r="G180" s="18">
        <v>1</v>
      </c>
      <c r="H180" s="19">
        <v>1</v>
      </c>
      <c r="I180" s="19"/>
      <c r="J180" s="19">
        <v>260</v>
      </c>
      <c r="K180" s="19"/>
      <c r="L180" s="20">
        <f t="shared" si="20"/>
        <v>1</v>
      </c>
      <c r="M180" s="21">
        <f t="shared" si="21"/>
        <v>1</v>
      </c>
      <c r="N180" s="22">
        <f t="shared" si="22"/>
        <v>1</v>
      </c>
      <c r="O180" s="22">
        <f t="shared" si="23"/>
        <v>0</v>
      </c>
      <c r="P180" s="20">
        <f t="shared" si="24"/>
        <v>0</v>
      </c>
      <c r="Q180" s="23">
        <f t="shared" si="25"/>
        <v>260</v>
      </c>
      <c r="R180" s="20">
        <f t="shared" si="27"/>
        <v>260</v>
      </c>
      <c r="S180" s="20">
        <f t="shared" si="28"/>
        <v>260</v>
      </c>
      <c r="T180" s="18">
        <f t="shared" si="29"/>
        <v>260</v>
      </c>
      <c r="U180" s="24"/>
      <c r="V180" s="25">
        <f t="shared" si="26"/>
        <v>0</v>
      </c>
    </row>
    <row r="181" spans="1:22" ht="24" customHeight="1">
      <c r="A181" s="26"/>
      <c r="B181" s="15"/>
      <c r="C181" s="16"/>
      <c r="D181" s="16">
        <v>178</v>
      </c>
      <c r="E181" s="16" t="s">
        <v>261</v>
      </c>
      <c r="F181" s="17" t="s">
        <v>24</v>
      </c>
      <c r="G181" s="18">
        <v>1</v>
      </c>
      <c r="H181" s="19">
        <v>10</v>
      </c>
      <c r="I181" s="19"/>
      <c r="J181" s="19">
        <v>168</v>
      </c>
      <c r="K181" s="19"/>
      <c r="L181" s="20">
        <f t="shared" si="20"/>
        <v>10</v>
      </c>
      <c r="M181" s="21">
        <f t="shared" si="21"/>
        <v>10</v>
      </c>
      <c r="N181" s="22">
        <f t="shared" si="22"/>
        <v>10</v>
      </c>
      <c r="O181" s="22">
        <f t="shared" si="23"/>
        <v>0</v>
      </c>
      <c r="P181" s="20">
        <f t="shared" si="24"/>
        <v>0</v>
      </c>
      <c r="Q181" s="23">
        <f t="shared" si="25"/>
        <v>168</v>
      </c>
      <c r="R181" s="20">
        <f t="shared" si="27"/>
        <v>168</v>
      </c>
      <c r="S181" s="20">
        <f t="shared" si="28"/>
        <v>168</v>
      </c>
      <c r="T181" s="18">
        <f t="shared" si="29"/>
        <v>1680</v>
      </c>
      <c r="U181" s="24"/>
      <c r="V181" s="25">
        <f t="shared" si="26"/>
        <v>0</v>
      </c>
    </row>
    <row r="182" spans="1:22" ht="24" customHeight="1">
      <c r="A182" s="26"/>
      <c r="B182" s="15"/>
      <c r="C182" s="16"/>
      <c r="D182" s="16">
        <v>179</v>
      </c>
      <c r="E182" s="16" t="s">
        <v>262</v>
      </c>
      <c r="F182" s="17" t="s">
        <v>24</v>
      </c>
      <c r="G182" s="18">
        <v>1</v>
      </c>
      <c r="H182" s="19">
        <v>6</v>
      </c>
      <c r="I182" s="19"/>
      <c r="J182" s="19">
        <v>186</v>
      </c>
      <c r="K182" s="19"/>
      <c r="L182" s="20">
        <f t="shared" si="20"/>
        <v>6</v>
      </c>
      <c r="M182" s="21">
        <f t="shared" si="21"/>
        <v>6</v>
      </c>
      <c r="N182" s="22">
        <f t="shared" si="22"/>
        <v>6</v>
      </c>
      <c r="O182" s="22">
        <f t="shared" si="23"/>
        <v>0</v>
      </c>
      <c r="P182" s="20">
        <f t="shared" si="24"/>
        <v>0</v>
      </c>
      <c r="Q182" s="23">
        <f t="shared" si="25"/>
        <v>186</v>
      </c>
      <c r="R182" s="20">
        <f t="shared" si="27"/>
        <v>186</v>
      </c>
      <c r="S182" s="20">
        <f t="shared" si="28"/>
        <v>186</v>
      </c>
      <c r="T182" s="18">
        <f t="shared" si="29"/>
        <v>1116</v>
      </c>
      <c r="U182" s="24"/>
      <c r="V182" s="25">
        <f t="shared" si="26"/>
        <v>0</v>
      </c>
    </row>
    <row r="183" spans="1:22" ht="24" customHeight="1">
      <c r="A183" s="14"/>
      <c r="B183" s="15"/>
      <c r="C183" s="16"/>
      <c r="D183" s="16">
        <v>180</v>
      </c>
      <c r="E183" s="16" t="s">
        <v>263</v>
      </c>
      <c r="F183" s="17" t="s">
        <v>24</v>
      </c>
      <c r="G183" s="18">
        <v>1</v>
      </c>
      <c r="H183" s="19">
        <v>5</v>
      </c>
      <c r="I183" s="19"/>
      <c r="J183" s="19">
        <v>1000</v>
      </c>
      <c r="K183" s="19"/>
      <c r="L183" s="20">
        <f t="shared" si="20"/>
        <v>5</v>
      </c>
      <c r="M183" s="21">
        <f t="shared" si="21"/>
        <v>5</v>
      </c>
      <c r="N183" s="22">
        <f t="shared" si="22"/>
        <v>5</v>
      </c>
      <c r="O183" s="22">
        <f t="shared" si="23"/>
        <v>0</v>
      </c>
      <c r="P183" s="20">
        <f t="shared" si="24"/>
        <v>0</v>
      </c>
      <c r="Q183" s="23">
        <f t="shared" si="25"/>
        <v>1000</v>
      </c>
      <c r="R183" s="20">
        <f t="shared" si="27"/>
        <v>1000</v>
      </c>
      <c r="S183" s="20">
        <f t="shared" si="28"/>
        <v>1000</v>
      </c>
      <c r="T183" s="18">
        <f t="shared" si="29"/>
        <v>5000</v>
      </c>
      <c r="U183" s="24"/>
      <c r="V183" s="25">
        <f t="shared" si="26"/>
        <v>0</v>
      </c>
    </row>
    <row r="184" spans="1:22" ht="24" customHeight="1">
      <c r="A184" s="26"/>
      <c r="B184" s="15"/>
      <c r="C184" s="16"/>
      <c r="D184" s="16">
        <v>181</v>
      </c>
      <c r="E184" s="16" t="s">
        <v>64</v>
      </c>
      <c r="F184" s="17" t="s">
        <v>24</v>
      </c>
      <c r="G184" s="18">
        <v>1</v>
      </c>
      <c r="H184" s="19">
        <v>2</v>
      </c>
      <c r="I184" s="19"/>
      <c r="J184" s="19">
        <v>2500</v>
      </c>
      <c r="K184" s="19"/>
      <c r="L184" s="20">
        <f t="shared" si="20"/>
        <v>2</v>
      </c>
      <c r="M184" s="21">
        <f t="shared" si="21"/>
        <v>2</v>
      </c>
      <c r="N184" s="22">
        <f t="shared" si="22"/>
        <v>2</v>
      </c>
      <c r="O184" s="22">
        <f t="shared" si="23"/>
        <v>0</v>
      </c>
      <c r="P184" s="20">
        <f t="shared" si="24"/>
        <v>0</v>
      </c>
      <c r="Q184" s="23">
        <f t="shared" si="25"/>
        <v>2500</v>
      </c>
      <c r="R184" s="20">
        <f t="shared" si="27"/>
        <v>2500</v>
      </c>
      <c r="S184" s="20">
        <f t="shared" si="28"/>
        <v>2500</v>
      </c>
      <c r="T184" s="18">
        <f t="shared" si="29"/>
        <v>5000</v>
      </c>
      <c r="U184" s="24"/>
      <c r="V184" s="25">
        <f t="shared" si="26"/>
        <v>0</v>
      </c>
    </row>
    <row r="185" spans="1:22" ht="24" customHeight="1">
      <c r="A185" s="26"/>
      <c r="B185" s="15"/>
      <c r="C185" s="16"/>
      <c r="D185" s="16">
        <v>182</v>
      </c>
      <c r="E185" s="16" t="s">
        <v>65</v>
      </c>
      <c r="F185" s="17" t="s">
        <v>24</v>
      </c>
      <c r="G185" s="18">
        <v>1</v>
      </c>
      <c r="H185" s="19">
        <v>2</v>
      </c>
      <c r="I185" s="19"/>
      <c r="J185" s="19">
        <v>1900</v>
      </c>
      <c r="K185" s="19"/>
      <c r="L185" s="20">
        <f t="shared" si="20"/>
        <v>2</v>
      </c>
      <c r="M185" s="21">
        <f t="shared" si="21"/>
        <v>2</v>
      </c>
      <c r="N185" s="22">
        <f t="shared" si="22"/>
        <v>2</v>
      </c>
      <c r="O185" s="22">
        <f t="shared" si="23"/>
        <v>0</v>
      </c>
      <c r="P185" s="20">
        <f t="shared" si="24"/>
        <v>0</v>
      </c>
      <c r="Q185" s="23">
        <f t="shared" si="25"/>
        <v>1900</v>
      </c>
      <c r="R185" s="20">
        <f t="shared" si="27"/>
        <v>1900</v>
      </c>
      <c r="S185" s="20">
        <f t="shared" si="28"/>
        <v>1900</v>
      </c>
      <c r="T185" s="18">
        <f t="shared" si="29"/>
        <v>3800</v>
      </c>
      <c r="U185" s="24"/>
      <c r="V185" s="25">
        <f t="shared" si="26"/>
        <v>0</v>
      </c>
    </row>
    <row r="186" spans="1:22" ht="24" customHeight="1">
      <c r="A186" s="14"/>
      <c r="B186" s="15"/>
      <c r="C186" s="16"/>
      <c r="D186" s="16">
        <v>183</v>
      </c>
      <c r="E186" s="44" t="s">
        <v>264</v>
      </c>
      <c r="F186" s="17" t="s">
        <v>24</v>
      </c>
      <c r="G186" s="18">
        <v>1</v>
      </c>
      <c r="H186" s="19">
        <v>2</v>
      </c>
      <c r="I186" s="19"/>
      <c r="J186" s="19">
        <v>150</v>
      </c>
      <c r="K186" s="19"/>
      <c r="L186" s="20">
        <f t="shared" si="20"/>
        <v>2</v>
      </c>
      <c r="M186" s="21">
        <f t="shared" si="21"/>
        <v>2</v>
      </c>
      <c r="N186" s="22">
        <f t="shared" si="22"/>
        <v>2</v>
      </c>
      <c r="O186" s="22">
        <f t="shared" si="23"/>
        <v>0</v>
      </c>
      <c r="P186" s="20">
        <f t="shared" si="24"/>
        <v>0</v>
      </c>
      <c r="Q186" s="23">
        <f t="shared" si="25"/>
        <v>150</v>
      </c>
      <c r="R186" s="20">
        <f t="shared" si="27"/>
        <v>150</v>
      </c>
      <c r="S186" s="20">
        <f t="shared" si="28"/>
        <v>150</v>
      </c>
      <c r="T186" s="18">
        <f t="shared" si="29"/>
        <v>300</v>
      </c>
      <c r="U186" s="24"/>
      <c r="V186" s="25">
        <f t="shared" si="26"/>
        <v>0</v>
      </c>
    </row>
    <row r="187" spans="1:22" ht="24" customHeight="1">
      <c r="A187" s="26"/>
      <c r="B187" s="15"/>
      <c r="C187" s="16"/>
      <c r="D187" s="16">
        <v>184</v>
      </c>
      <c r="E187" s="16" t="s">
        <v>265</v>
      </c>
      <c r="F187" s="17" t="s">
        <v>24</v>
      </c>
      <c r="G187" s="18">
        <v>1</v>
      </c>
      <c r="H187" s="19">
        <v>2</v>
      </c>
      <c r="I187" s="19"/>
      <c r="J187" s="19">
        <v>4500</v>
      </c>
      <c r="K187" s="19"/>
      <c r="L187" s="20">
        <f t="shared" si="20"/>
        <v>2</v>
      </c>
      <c r="M187" s="21">
        <f t="shared" si="21"/>
        <v>2</v>
      </c>
      <c r="N187" s="22">
        <f t="shared" si="22"/>
        <v>2</v>
      </c>
      <c r="O187" s="22">
        <f t="shared" si="23"/>
        <v>0</v>
      </c>
      <c r="P187" s="20">
        <f t="shared" si="24"/>
        <v>0</v>
      </c>
      <c r="Q187" s="23">
        <f t="shared" si="25"/>
        <v>4500</v>
      </c>
      <c r="R187" s="20">
        <f t="shared" si="27"/>
        <v>4500</v>
      </c>
      <c r="S187" s="20">
        <f t="shared" si="28"/>
        <v>4500</v>
      </c>
      <c r="T187" s="18">
        <f t="shared" si="29"/>
        <v>9000</v>
      </c>
      <c r="U187" s="24"/>
      <c r="V187" s="25">
        <f t="shared" si="26"/>
        <v>0</v>
      </c>
    </row>
    <row r="188" spans="1:22" ht="24" customHeight="1">
      <c r="A188" s="26"/>
      <c r="B188" s="15"/>
      <c r="C188" s="16"/>
      <c r="D188" s="16">
        <v>185</v>
      </c>
      <c r="E188" s="16" t="s">
        <v>266</v>
      </c>
      <c r="F188" s="17" t="s">
        <v>24</v>
      </c>
      <c r="G188" s="18">
        <v>12</v>
      </c>
      <c r="H188" s="19"/>
      <c r="I188" s="19">
        <v>2</v>
      </c>
      <c r="J188" s="19">
        <v>200</v>
      </c>
      <c r="K188" s="19"/>
      <c r="L188" s="20">
        <f t="shared" si="20"/>
        <v>24</v>
      </c>
      <c r="M188" s="21">
        <f t="shared" si="21"/>
        <v>2</v>
      </c>
      <c r="N188" s="22">
        <f t="shared" si="22"/>
        <v>0</v>
      </c>
      <c r="O188" s="22">
        <f t="shared" si="23"/>
        <v>2</v>
      </c>
      <c r="P188" s="20">
        <f t="shared" si="24"/>
        <v>0</v>
      </c>
      <c r="Q188" s="23">
        <f t="shared" si="25"/>
        <v>2400</v>
      </c>
      <c r="R188" s="20">
        <f t="shared" si="27"/>
        <v>200</v>
      </c>
      <c r="S188" s="20">
        <f t="shared" si="28"/>
        <v>2400</v>
      </c>
      <c r="T188" s="18">
        <f t="shared" si="29"/>
        <v>4800</v>
      </c>
      <c r="U188" s="24"/>
      <c r="V188" s="25">
        <f t="shared" si="26"/>
        <v>0</v>
      </c>
    </row>
    <row r="189" spans="1:22" ht="24" customHeight="1">
      <c r="A189" s="14"/>
      <c r="B189" s="15"/>
      <c r="C189" s="16"/>
      <c r="D189" s="16">
        <v>186</v>
      </c>
      <c r="E189" s="16" t="s">
        <v>267</v>
      </c>
      <c r="F189" s="17" t="s">
        <v>24</v>
      </c>
      <c r="G189" s="18">
        <v>1</v>
      </c>
      <c r="H189" s="19">
        <v>9</v>
      </c>
      <c r="I189" s="19"/>
      <c r="J189" s="19">
        <v>200</v>
      </c>
      <c r="K189" s="19"/>
      <c r="L189" s="20">
        <f t="shared" si="20"/>
        <v>9</v>
      </c>
      <c r="M189" s="21">
        <f t="shared" si="21"/>
        <v>9</v>
      </c>
      <c r="N189" s="22">
        <f t="shared" si="22"/>
        <v>9</v>
      </c>
      <c r="O189" s="22">
        <f t="shared" si="23"/>
        <v>0</v>
      </c>
      <c r="P189" s="20">
        <f t="shared" si="24"/>
        <v>0</v>
      </c>
      <c r="Q189" s="23">
        <f t="shared" si="25"/>
        <v>200</v>
      </c>
      <c r="R189" s="20">
        <f t="shared" si="27"/>
        <v>200</v>
      </c>
      <c r="S189" s="20">
        <f t="shared" si="28"/>
        <v>200</v>
      </c>
      <c r="T189" s="18">
        <f t="shared" si="29"/>
        <v>1800</v>
      </c>
      <c r="U189" s="24"/>
      <c r="V189" s="25">
        <f t="shared" si="26"/>
        <v>0</v>
      </c>
    </row>
    <row r="190" spans="1:22" ht="24" customHeight="1">
      <c r="A190" s="26"/>
      <c r="B190" s="15"/>
      <c r="C190" s="16"/>
      <c r="D190" s="16">
        <v>187</v>
      </c>
      <c r="E190" s="16" t="s">
        <v>268</v>
      </c>
      <c r="F190" s="17" t="s">
        <v>24</v>
      </c>
      <c r="G190" s="18">
        <v>1</v>
      </c>
      <c r="H190" s="19">
        <v>1</v>
      </c>
      <c r="I190" s="19"/>
      <c r="J190" s="19">
        <v>350</v>
      </c>
      <c r="K190" s="19"/>
      <c r="L190" s="20">
        <f t="shared" ref="L190:L220" si="32">J190*G190+H190</f>
        <v>351</v>
      </c>
      <c r="M190" s="21">
        <f t="shared" si="21"/>
        <v>351</v>
      </c>
      <c r="N190" s="22">
        <f t="shared" si="22"/>
        <v>351</v>
      </c>
      <c r="O190" s="22">
        <f t="shared" si="23"/>
        <v>0</v>
      </c>
      <c r="P190" s="20">
        <f t="shared" si="24"/>
        <v>0</v>
      </c>
      <c r="Q190" s="23" t="str">
        <f>IFERROR(#REF!*G190,"")</f>
        <v/>
      </c>
      <c r="R190" s="20" t="str">
        <f>IFERROR(IF(#REF!&gt;0,#REF!,IF(#REF!&lt;0,P190,IF(#REF!=0,P190))),"")</f>
        <v/>
      </c>
      <c r="S190" s="20" t="str">
        <f t="shared" si="28"/>
        <v/>
      </c>
      <c r="T190" s="18">
        <v>350</v>
      </c>
      <c r="U190" s="24"/>
      <c r="V190" s="25">
        <f t="shared" si="26"/>
        <v>0</v>
      </c>
    </row>
    <row r="191" spans="1:22" ht="24" customHeight="1">
      <c r="A191" s="26"/>
      <c r="B191" s="15"/>
      <c r="C191" s="16"/>
      <c r="D191" s="16">
        <v>188</v>
      </c>
      <c r="E191" s="16" t="s">
        <v>269</v>
      </c>
      <c r="F191" s="17" t="s">
        <v>24</v>
      </c>
      <c r="G191" s="18">
        <v>1</v>
      </c>
      <c r="H191" s="19">
        <v>2</v>
      </c>
      <c r="I191" s="19"/>
      <c r="J191" s="19">
        <v>56</v>
      </c>
      <c r="K191" s="19"/>
      <c r="L191" s="20">
        <f t="shared" si="32"/>
        <v>58</v>
      </c>
      <c r="M191" s="21">
        <f t="shared" si="21"/>
        <v>58</v>
      </c>
      <c r="N191" s="22">
        <f t="shared" si="22"/>
        <v>58</v>
      </c>
      <c r="O191" s="22">
        <f t="shared" si="23"/>
        <v>0</v>
      </c>
      <c r="P191" s="20">
        <f t="shared" si="24"/>
        <v>0</v>
      </c>
      <c r="Q191" s="23" t="str">
        <f>IFERROR(#REF!*G191,"")</f>
        <v/>
      </c>
      <c r="R191" s="20" t="str">
        <f>IFERROR(IF(#REF!&gt;0,#REF!,IF(#REF!&lt;0,P191,IF(#REF!=0,P191))),"")</f>
        <v/>
      </c>
      <c r="S191" s="20" t="str">
        <f t="shared" si="28"/>
        <v/>
      </c>
      <c r="T191" s="18">
        <v>112</v>
      </c>
      <c r="U191" s="24"/>
      <c r="V191" s="25">
        <f t="shared" si="26"/>
        <v>0</v>
      </c>
    </row>
    <row r="192" spans="1:22" ht="24" customHeight="1">
      <c r="A192" s="14"/>
      <c r="B192" s="15"/>
      <c r="C192" s="16"/>
      <c r="D192" s="16">
        <v>189</v>
      </c>
      <c r="E192" s="16" t="s">
        <v>270</v>
      </c>
      <c r="F192" s="17" t="s">
        <v>24</v>
      </c>
      <c r="G192" s="18">
        <v>1</v>
      </c>
      <c r="H192" s="19">
        <v>5</v>
      </c>
      <c r="I192" s="19"/>
      <c r="J192" s="19">
        <v>275</v>
      </c>
      <c r="K192" s="19"/>
      <c r="L192" s="20">
        <f t="shared" si="32"/>
        <v>280</v>
      </c>
      <c r="M192" s="21">
        <f t="shared" si="21"/>
        <v>280</v>
      </c>
      <c r="N192" s="22">
        <f t="shared" si="22"/>
        <v>280</v>
      </c>
      <c r="O192" s="22">
        <f t="shared" si="23"/>
        <v>0</v>
      </c>
      <c r="P192" s="20">
        <f t="shared" si="24"/>
        <v>0</v>
      </c>
      <c r="Q192" s="23" t="str">
        <f>IFERROR(#REF!*G192,"")</f>
        <v/>
      </c>
      <c r="R192" s="20" t="str">
        <f>IFERROR(IF(#REF!&gt;0,#REF!,IF(#REF!&lt;0,P192,IF(#REF!=0,P192))),"")</f>
        <v/>
      </c>
      <c r="S192" s="20" t="str">
        <f t="shared" si="28"/>
        <v/>
      </c>
      <c r="T192" s="18">
        <f>275*5</f>
        <v>1375</v>
      </c>
      <c r="U192" s="24"/>
      <c r="V192" s="25">
        <f t="shared" si="26"/>
        <v>0</v>
      </c>
    </row>
    <row r="193" spans="1:22" ht="24" customHeight="1">
      <c r="A193" s="26"/>
      <c r="B193" s="15"/>
      <c r="C193" s="16"/>
      <c r="D193" s="16">
        <v>190</v>
      </c>
      <c r="E193" s="16" t="s">
        <v>271</v>
      </c>
      <c r="F193" s="17" t="s">
        <v>24</v>
      </c>
      <c r="G193" s="18">
        <v>1</v>
      </c>
      <c r="H193" s="19">
        <v>1</v>
      </c>
      <c r="I193" s="19"/>
      <c r="J193" s="19">
        <v>265</v>
      </c>
      <c r="K193" s="19"/>
      <c r="L193" s="20">
        <f t="shared" si="32"/>
        <v>266</v>
      </c>
      <c r="M193" s="21">
        <f t="shared" si="21"/>
        <v>266</v>
      </c>
      <c r="N193" s="22">
        <f t="shared" si="22"/>
        <v>266</v>
      </c>
      <c r="O193" s="22">
        <f t="shared" si="23"/>
        <v>0</v>
      </c>
      <c r="P193" s="20">
        <f t="shared" si="24"/>
        <v>0</v>
      </c>
      <c r="Q193" s="23" t="str">
        <f>IFERROR(#REF!*G193,"")</f>
        <v/>
      </c>
      <c r="R193" s="20" t="str">
        <f>IFERROR(IF(#REF!&gt;0,#REF!,IF(#REF!&lt;0,P193,IF(#REF!=0,P193))),"")</f>
        <v/>
      </c>
      <c r="S193" s="20" t="str">
        <f t="shared" si="28"/>
        <v/>
      </c>
      <c r="T193" s="18">
        <v>265</v>
      </c>
      <c r="U193" s="24"/>
      <c r="V193" s="25">
        <f t="shared" si="26"/>
        <v>0</v>
      </c>
    </row>
    <row r="194" spans="1:22" ht="24" customHeight="1">
      <c r="A194" s="26"/>
      <c r="B194" s="15"/>
      <c r="C194" s="16"/>
      <c r="D194" s="16">
        <v>191</v>
      </c>
      <c r="E194" s="16" t="s">
        <v>272</v>
      </c>
      <c r="F194" s="17" t="s">
        <v>24</v>
      </c>
      <c r="G194" s="18">
        <v>1</v>
      </c>
      <c r="H194" s="19">
        <v>11</v>
      </c>
      <c r="I194" s="19"/>
      <c r="J194" s="19">
        <v>120</v>
      </c>
      <c r="K194" s="19"/>
      <c r="L194" s="20">
        <f t="shared" si="32"/>
        <v>131</v>
      </c>
      <c r="M194" s="21">
        <f t="shared" si="21"/>
        <v>131</v>
      </c>
      <c r="N194" s="22">
        <f t="shared" si="22"/>
        <v>131</v>
      </c>
      <c r="O194" s="22">
        <f t="shared" si="23"/>
        <v>0</v>
      </c>
      <c r="P194" s="20">
        <f t="shared" si="24"/>
        <v>0</v>
      </c>
      <c r="Q194" s="23" t="str">
        <f>IFERROR(#REF!*G194,"")</f>
        <v/>
      </c>
      <c r="R194" s="20" t="str">
        <f>IFERROR(IF(#REF!&gt;0,#REF!,IF(#REF!&lt;0,P194,IF(#REF!=0,P194))),"")</f>
        <v/>
      </c>
      <c r="S194" s="20" t="str">
        <f t="shared" si="28"/>
        <v/>
      </c>
      <c r="T194" s="18">
        <f>120*11</f>
        <v>1320</v>
      </c>
      <c r="U194" s="24"/>
      <c r="V194" s="25">
        <f t="shared" si="26"/>
        <v>0</v>
      </c>
    </row>
    <row r="195" spans="1:22" ht="24" customHeight="1">
      <c r="A195" s="14"/>
      <c r="B195" s="15"/>
      <c r="C195" s="16"/>
      <c r="D195" s="16">
        <v>192</v>
      </c>
      <c r="E195" s="16" t="s">
        <v>273</v>
      </c>
      <c r="F195" s="17" t="s">
        <v>24</v>
      </c>
      <c r="G195" s="18">
        <v>1</v>
      </c>
      <c r="H195" s="19">
        <v>1</v>
      </c>
      <c r="I195" s="19"/>
      <c r="J195" s="19">
        <v>230</v>
      </c>
      <c r="K195" s="19"/>
      <c r="L195" s="20">
        <f t="shared" si="32"/>
        <v>231</v>
      </c>
      <c r="M195" s="21">
        <f t="shared" ref="M195:M258" si="33">IFERROR(L195/G195,"")</f>
        <v>231</v>
      </c>
      <c r="N195" s="22">
        <f t="shared" ref="N195:N258" si="34">IF(G195=1,L195,IF(G195&gt;1,IFERROR((M195-O195)*G195,""),""))</f>
        <v>231</v>
      </c>
      <c r="O195" s="22">
        <f t="shared" ref="O195:O258" si="35">IFERROR(IF(G195=1,0,IF(G195&gt;1,ROUNDDOWN(M195,0))),"")</f>
        <v>0</v>
      </c>
      <c r="P195" s="20">
        <f t="shared" ref="P195:P259" si="36">IFERROR(K195/G195,"")</f>
        <v>0</v>
      </c>
      <c r="Q195" s="23" t="str">
        <f>IFERROR(#REF!*G195,"")</f>
        <v/>
      </c>
      <c r="R195" s="20" t="str">
        <f>IFERROR(IF(#REF!&gt;0,#REF!,IF(#REF!&lt;0,P195,IF(#REF!=0,P195))),"")</f>
        <v/>
      </c>
      <c r="S195" s="20" t="str">
        <f t="shared" si="28"/>
        <v/>
      </c>
      <c r="T195" s="18">
        <v>230</v>
      </c>
      <c r="U195" s="24"/>
      <c r="V195" s="25">
        <f t="shared" ref="V195:V258" si="37">B195</f>
        <v>0</v>
      </c>
    </row>
    <row r="196" spans="1:22" ht="24" customHeight="1">
      <c r="A196" s="26"/>
      <c r="B196" s="15"/>
      <c r="C196" s="16"/>
      <c r="D196" s="16">
        <v>193</v>
      </c>
      <c r="E196" s="16" t="s">
        <v>274</v>
      </c>
      <c r="F196" s="17" t="s">
        <v>24</v>
      </c>
      <c r="G196" s="18">
        <v>1</v>
      </c>
      <c r="H196" s="19">
        <v>1</v>
      </c>
      <c r="I196" s="19"/>
      <c r="J196" s="19">
        <v>900</v>
      </c>
      <c r="K196" s="19"/>
      <c r="L196" s="20">
        <f t="shared" si="32"/>
        <v>901</v>
      </c>
      <c r="M196" s="21">
        <f t="shared" si="33"/>
        <v>901</v>
      </c>
      <c r="N196" s="22">
        <f t="shared" si="34"/>
        <v>901</v>
      </c>
      <c r="O196" s="22">
        <f t="shared" si="35"/>
        <v>0</v>
      </c>
      <c r="P196" s="20">
        <f t="shared" si="36"/>
        <v>0</v>
      </c>
      <c r="Q196" s="23" t="str">
        <f>IFERROR(#REF!*G196,"")</f>
        <v/>
      </c>
      <c r="R196" s="20" t="str">
        <f>IFERROR(IF(#REF!&gt;0,#REF!,IF(#REF!&lt;0,P196,IF(#REF!=0,P196))),"")</f>
        <v/>
      </c>
      <c r="S196" s="20" t="str">
        <f t="shared" ref="S196:S277" si="38">IFERROR(IF(K196&gt;0,K196,IF(K196&lt;0,Q196,IF(K196=0,Q196))),"")</f>
        <v/>
      </c>
      <c r="T196" s="18">
        <v>900</v>
      </c>
      <c r="U196" s="24"/>
      <c r="V196" s="25">
        <f t="shared" si="37"/>
        <v>0</v>
      </c>
    </row>
    <row r="197" spans="1:22" ht="24" customHeight="1">
      <c r="A197" s="26"/>
      <c r="B197" s="15"/>
      <c r="C197" s="16"/>
      <c r="D197" s="16">
        <v>194</v>
      </c>
      <c r="E197" s="16" t="s">
        <v>275</v>
      </c>
      <c r="F197" s="17" t="s">
        <v>24</v>
      </c>
      <c r="G197" s="18">
        <v>1</v>
      </c>
      <c r="H197" s="19">
        <v>1</v>
      </c>
      <c r="I197" s="19"/>
      <c r="J197" s="19">
        <v>1200</v>
      </c>
      <c r="K197" s="19"/>
      <c r="L197" s="20">
        <f t="shared" si="32"/>
        <v>1201</v>
      </c>
      <c r="M197" s="21">
        <f t="shared" si="33"/>
        <v>1201</v>
      </c>
      <c r="N197" s="22">
        <f t="shared" si="34"/>
        <v>1201</v>
      </c>
      <c r="O197" s="22">
        <f t="shared" si="35"/>
        <v>0</v>
      </c>
      <c r="P197" s="20">
        <f t="shared" si="36"/>
        <v>0</v>
      </c>
      <c r="Q197" s="23" t="str">
        <f>IFERROR(#REF!*G197,"")</f>
        <v/>
      </c>
      <c r="R197" s="20" t="str">
        <f>IFERROR(IF(#REF!&gt;0,#REF!,IF(#REF!&lt;0,P197,IF(#REF!=0,P197))),"")</f>
        <v/>
      </c>
      <c r="S197" s="20" t="str">
        <f t="shared" si="38"/>
        <v/>
      </c>
      <c r="T197" s="18">
        <v>1200</v>
      </c>
      <c r="U197" s="24"/>
      <c r="V197" s="25">
        <f t="shared" si="37"/>
        <v>0</v>
      </c>
    </row>
    <row r="198" spans="1:22" ht="24" customHeight="1">
      <c r="A198" s="14"/>
      <c r="B198" s="15"/>
      <c r="C198" s="16"/>
      <c r="D198" s="16">
        <v>195</v>
      </c>
      <c r="E198" s="16" t="s">
        <v>63</v>
      </c>
      <c r="F198" s="17" t="s">
        <v>24</v>
      </c>
      <c r="G198" s="18">
        <v>1</v>
      </c>
      <c r="H198" s="19">
        <v>4</v>
      </c>
      <c r="I198" s="19"/>
      <c r="J198" s="19">
        <v>95</v>
      </c>
      <c r="K198" s="19"/>
      <c r="L198" s="20">
        <f t="shared" si="32"/>
        <v>99</v>
      </c>
      <c r="M198" s="21">
        <f t="shared" si="33"/>
        <v>99</v>
      </c>
      <c r="N198" s="22">
        <f t="shared" si="34"/>
        <v>99</v>
      </c>
      <c r="O198" s="22">
        <f t="shared" si="35"/>
        <v>0</v>
      </c>
      <c r="P198" s="20">
        <f t="shared" si="36"/>
        <v>0</v>
      </c>
      <c r="Q198" s="23" t="str">
        <f>IFERROR(#REF!*G198,"")</f>
        <v/>
      </c>
      <c r="R198" s="20" t="str">
        <f>IFERROR(IF(#REF!&gt;0,#REF!,IF(#REF!&lt;0,P198,IF(#REF!=0,P198))),"")</f>
        <v/>
      </c>
      <c r="S198" s="20" t="str">
        <f t="shared" si="38"/>
        <v/>
      </c>
      <c r="T198" s="18">
        <f>95*4</f>
        <v>380</v>
      </c>
      <c r="U198" s="24"/>
      <c r="V198" s="25">
        <f t="shared" si="37"/>
        <v>0</v>
      </c>
    </row>
    <row r="199" spans="1:22" ht="24" customHeight="1">
      <c r="A199" s="26"/>
      <c r="B199" s="15"/>
      <c r="C199" s="16"/>
      <c r="D199" s="16">
        <v>196</v>
      </c>
      <c r="E199" s="16" t="s">
        <v>276</v>
      </c>
      <c r="F199" s="17" t="s">
        <v>24</v>
      </c>
      <c r="G199" s="18">
        <v>1</v>
      </c>
      <c r="H199" s="19">
        <v>9</v>
      </c>
      <c r="I199" s="19"/>
      <c r="J199" s="19">
        <v>130</v>
      </c>
      <c r="K199" s="19"/>
      <c r="L199" s="20">
        <f t="shared" si="32"/>
        <v>139</v>
      </c>
      <c r="M199" s="21">
        <f t="shared" si="33"/>
        <v>139</v>
      </c>
      <c r="N199" s="22">
        <f t="shared" si="34"/>
        <v>139</v>
      </c>
      <c r="O199" s="22">
        <f t="shared" si="35"/>
        <v>0</v>
      </c>
      <c r="P199" s="20">
        <f t="shared" si="36"/>
        <v>0</v>
      </c>
      <c r="Q199" s="23" t="str">
        <f>IFERROR(#REF!*G199,"")</f>
        <v/>
      </c>
      <c r="R199" s="20" t="str">
        <f>IFERROR(IF(#REF!&gt;0,#REF!,IF(#REF!&lt;0,P199,IF(#REF!=0,P199))),"")</f>
        <v/>
      </c>
      <c r="S199" s="20" t="str">
        <f t="shared" si="38"/>
        <v/>
      </c>
      <c r="T199" s="18">
        <f>130*9</f>
        <v>1170</v>
      </c>
      <c r="U199" s="24"/>
      <c r="V199" s="25">
        <f t="shared" si="37"/>
        <v>0</v>
      </c>
    </row>
    <row r="200" spans="1:22" ht="24" customHeight="1">
      <c r="A200" s="26"/>
      <c r="B200" s="15"/>
      <c r="C200" s="16"/>
      <c r="D200" s="16">
        <v>197</v>
      </c>
      <c r="E200" s="16" t="s">
        <v>277</v>
      </c>
      <c r="F200" s="17" t="s">
        <v>24</v>
      </c>
      <c r="G200" s="18">
        <v>1</v>
      </c>
      <c r="H200" s="19">
        <v>3</v>
      </c>
      <c r="I200" s="19"/>
      <c r="J200" s="19">
        <v>1120</v>
      </c>
      <c r="K200" s="19"/>
      <c r="L200" s="20">
        <f t="shared" si="32"/>
        <v>1123</v>
      </c>
      <c r="M200" s="21">
        <f t="shared" si="33"/>
        <v>1123</v>
      </c>
      <c r="N200" s="22">
        <f t="shared" si="34"/>
        <v>1123</v>
      </c>
      <c r="O200" s="22">
        <f t="shared" si="35"/>
        <v>0</v>
      </c>
      <c r="P200" s="20">
        <f t="shared" si="36"/>
        <v>0</v>
      </c>
      <c r="Q200" s="23" t="str">
        <f>IFERROR(#REF!*G200,"")</f>
        <v/>
      </c>
      <c r="R200" s="20" t="str">
        <f>IFERROR(IF(#REF!&gt;0,#REF!,IF(#REF!&lt;0,P200,IF(#REF!=0,P200))),"")</f>
        <v/>
      </c>
      <c r="S200" s="20" t="str">
        <f t="shared" si="38"/>
        <v/>
      </c>
      <c r="T200" s="18">
        <f>1120*3</f>
        <v>3360</v>
      </c>
      <c r="U200" s="24"/>
      <c r="V200" s="25">
        <f t="shared" si="37"/>
        <v>0</v>
      </c>
    </row>
    <row r="201" spans="1:22" ht="24" customHeight="1">
      <c r="A201" s="14"/>
      <c r="B201" s="15"/>
      <c r="C201" s="16"/>
      <c r="D201" s="16">
        <v>198</v>
      </c>
      <c r="E201" s="16" t="s">
        <v>278</v>
      </c>
      <c r="F201" s="17" t="s">
        <v>24</v>
      </c>
      <c r="G201" s="18">
        <v>1</v>
      </c>
      <c r="H201" s="19">
        <v>2</v>
      </c>
      <c r="I201" s="19"/>
      <c r="J201" s="19">
        <v>1200</v>
      </c>
      <c r="K201" s="19"/>
      <c r="L201" s="20">
        <f t="shared" si="32"/>
        <v>1202</v>
      </c>
      <c r="M201" s="21">
        <f t="shared" si="33"/>
        <v>1202</v>
      </c>
      <c r="N201" s="22">
        <f t="shared" si="34"/>
        <v>1202</v>
      </c>
      <c r="O201" s="22">
        <f t="shared" si="35"/>
        <v>0</v>
      </c>
      <c r="P201" s="20">
        <f t="shared" si="36"/>
        <v>0</v>
      </c>
      <c r="Q201" s="23" t="str">
        <f>IFERROR(#REF!*G201,"")</f>
        <v/>
      </c>
      <c r="R201" s="20" t="str">
        <f>IFERROR(IF(#REF!&gt;0,#REF!,IF(#REF!&lt;0,P201,IF(#REF!=0,P201))),"")</f>
        <v/>
      </c>
      <c r="S201" s="20" t="str">
        <f t="shared" si="38"/>
        <v/>
      </c>
      <c r="T201" s="18">
        <v>2400</v>
      </c>
      <c r="U201" s="24"/>
      <c r="V201" s="25">
        <f t="shared" si="37"/>
        <v>0</v>
      </c>
    </row>
    <row r="202" spans="1:22" ht="24" customHeight="1">
      <c r="A202" s="26"/>
      <c r="B202" s="15"/>
      <c r="C202" s="16"/>
      <c r="D202" s="16">
        <v>199</v>
      </c>
      <c r="E202" s="16" t="s">
        <v>279</v>
      </c>
      <c r="F202" s="17" t="s">
        <v>24</v>
      </c>
      <c r="G202" s="18">
        <v>1</v>
      </c>
      <c r="H202" s="19">
        <v>1</v>
      </c>
      <c r="I202" s="19"/>
      <c r="J202" s="19">
        <v>900</v>
      </c>
      <c r="K202" s="19"/>
      <c r="L202" s="20">
        <f t="shared" si="32"/>
        <v>901</v>
      </c>
      <c r="M202" s="21">
        <f t="shared" si="33"/>
        <v>901</v>
      </c>
      <c r="N202" s="22">
        <f t="shared" si="34"/>
        <v>901</v>
      </c>
      <c r="O202" s="22">
        <f t="shared" si="35"/>
        <v>0</v>
      </c>
      <c r="P202" s="20">
        <f t="shared" si="36"/>
        <v>0</v>
      </c>
      <c r="Q202" s="23" t="str">
        <f>IFERROR(#REF!*G202,"")</f>
        <v/>
      </c>
      <c r="R202" s="20" t="str">
        <f>IFERROR(IF(#REF!&gt;0,#REF!,IF(#REF!&lt;0,P202,IF(#REF!=0,P202))),"")</f>
        <v/>
      </c>
      <c r="S202" s="20" t="str">
        <f t="shared" si="38"/>
        <v/>
      </c>
      <c r="T202" s="18">
        <f>J202*H202</f>
        <v>900</v>
      </c>
      <c r="U202" s="24"/>
      <c r="V202" s="25">
        <f t="shared" si="37"/>
        <v>0</v>
      </c>
    </row>
    <row r="203" spans="1:22" ht="24" customHeight="1">
      <c r="A203" s="26"/>
      <c r="B203" s="15"/>
      <c r="C203" s="16"/>
      <c r="D203" s="16">
        <v>200</v>
      </c>
      <c r="E203" s="16" t="s">
        <v>280</v>
      </c>
      <c r="F203" s="17" t="s">
        <v>24</v>
      </c>
      <c r="G203" s="18">
        <v>1</v>
      </c>
      <c r="H203" s="19">
        <v>3</v>
      </c>
      <c r="I203" s="19"/>
      <c r="J203" s="19">
        <v>750</v>
      </c>
      <c r="K203" s="19"/>
      <c r="L203" s="20">
        <f t="shared" si="32"/>
        <v>753</v>
      </c>
      <c r="M203" s="21">
        <f t="shared" si="33"/>
        <v>753</v>
      </c>
      <c r="N203" s="22">
        <f t="shared" si="34"/>
        <v>753</v>
      </c>
      <c r="O203" s="22">
        <f t="shared" si="35"/>
        <v>0</v>
      </c>
      <c r="P203" s="20">
        <f t="shared" si="36"/>
        <v>0</v>
      </c>
      <c r="Q203" s="23" t="str">
        <f>IFERROR(#REF!*G203,"")</f>
        <v/>
      </c>
      <c r="R203" s="20" t="str">
        <f>IFERROR(IF(#REF!&gt;0,#REF!,IF(#REF!&lt;0,P203,IF(#REF!=0,P203))),"")</f>
        <v/>
      </c>
      <c r="S203" s="20" t="str">
        <f t="shared" si="38"/>
        <v/>
      </c>
      <c r="T203" s="18">
        <f t="shared" ref="T203:T220" si="39">J203*H203</f>
        <v>2250</v>
      </c>
      <c r="U203" s="24"/>
      <c r="V203" s="25">
        <f t="shared" si="37"/>
        <v>0</v>
      </c>
    </row>
    <row r="204" spans="1:22" ht="24" customHeight="1">
      <c r="A204" s="14"/>
      <c r="B204" s="15"/>
      <c r="C204" s="16"/>
      <c r="D204" s="16">
        <v>201</v>
      </c>
      <c r="E204" s="16" t="s">
        <v>281</v>
      </c>
      <c r="F204" s="17" t="s">
        <v>24</v>
      </c>
      <c r="G204" s="18">
        <v>1</v>
      </c>
      <c r="H204" s="19">
        <v>44</v>
      </c>
      <c r="I204" s="19"/>
      <c r="J204" s="19">
        <v>20</v>
      </c>
      <c r="K204" s="19"/>
      <c r="L204" s="20">
        <f t="shared" si="32"/>
        <v>64</v>
      </c>
      <c r="M204" s="21">
        <f t="shared" si="33"/>
        <v>64</v>
      </c>
      <c r="N204" s="22">
        <f t="shared" si="34"/>
        <v>64</v>
      </c>
      <c r="O204" s="22">
        <f t="shared" si="35"/>
        <v>0</v>
      </c>
      <c r="P204" s="20">
        <f t="shared" si="36"/>
        <v>0</v>
      </c>
      <c r="Q204" s="23" t="str">
        <f>IFERROR(#REF!*G204,"")</f>
        <v/>
      </c>
      <c r="R204" s="20" t="str">
        <f>IFERROR(IF(#REF!&gt;0,#REF!,IF(#REF!&lt;0,P204,IF(#REF!=0,P204))),"")</f>
        <v/>
      </c>
      <c r="S204" s="20" t="str">
        <f t="shared" si="38"/>
        <v/>
      </c>
      <c r="T204" s="18">
        <f t="shared" si="39"/>
        <v>880</v>
      </c>
      <c r="U204" s="24"/>
      <c r="V204" s="25">
        <f t="shared" si="37"/>
        <v>0</v>
      </c>
    </row>
    <row r="205" spans="1:22" ht="24" customHeight="1">
      <c r="A205" s="26"/>
      <c r="B205" s="15"/>
      <c r="C205" s="16"/>
      <c r="D205" s="16">
        <v>202</v>
      </c>
      <c r="E205" s="16" t="s">
        <v>282</v>
      </c>
      <c r="F205" s="17" t="s">
        <v>24</v>
      </c>
      <c r="G205" s="18">
        <v>1</v>
      </c>
      <c r="H205" s="19">
        <v>2</v>
      </c>
      <c r="I205" s="19"/>
      <c r="J205" s="19">
        <v>180</v>
      </c>
      <c r="K205" s="19"/>
      <c r="L205" s="20">
        <f t="shared" si="32"/>
        <v>182</v>
      </c>
      <c r="M205" s="21">
        <f t="shared" si="33"/>
        <v>182</v>
      </c>
      <c r="N205" s="22">
        <f t="shared" si="34"/>
        <v>182</v>
      </c>
      <c r="O205" s="22">
        <f t="shared" si="35"/>
        <v>0</v>
      </c>
      <c r="P205" s="20">
        <f t="shared" si="36"/>
        <v>0</v>
      </c>
      <c r="Q205" s="23" t="str">
        <f>IFERROR(#REF!*G205,"")</f>
        <v/>
      </c>
      <c r="R205" s="20" t="str">
        <f>IFERROR(IF(#REF!&gt;0,#REF!,IF(#REF!&lt;0,P205,IF(#REF!=0,P205))),"")</f>
        <v/>
      </c>
      <c r="S205" s="20" t="str">
        <f t="shared" si="38"/>
        <v/>
      </c>
      <c r="T205" s="18">
        <f t="shared" si="39"/>
        <v>360</v>
      </c>
      <c r="U205" s="24"/>
      <c r="V205" s="25">
        <f t="shared" si="37"/>
        <v>0</v>
      </c>
    </row>
    <row r="206" spans="1:22" ht="24" customHeight="1">
      <c r="A206" s="26"/>
      <c r="B206" s="15"/>
      <c r="C206" s="16"/>
      <c r="D206" s="16">
        <v>203</v>
      </c>
      <c r="E206" s="43" t="s">
        <v>283</v>
      </c>
      <c r="F206" s="17" t="s">
        <v>24</v>
      </c>
      <c r="G206" s="18">
        <v>1</v>
      </c>
      <c r="H206" s="19">
        <v>1</v>
      </c>
      <c r="I206" s="19"/>
      <c r="J206" s="19">
        <v>2400</v>
      </c>
      <c r="K206" s="19"/>
      <c r="L206" s="20">
        <f t="shared" si="32"/>
        <v>2401</v>
      </c>
      <c r="M206" s="21">
        <f t="shared" si="33"/>
        <v>2401</v>
      </c>
      <c r="N206" s="22">
        <f t="shared" si="34"/>
        <v>2401</v>
      </c>
      <c r="O206" s="22">
        <f t="shared" si="35"/>
        <v>0</v>
      </c>
      <c r="P206" s="20">
        <f t="shared" si="36"/>
        <v>0</v>
      </c>
      <c r="Q206" s="23" t="str">
        <f>IFERROR(#REF!*G206,"")</f>
        <v/>
      </c>
      <c r="R206" s="20" t="str">
        <f>IFERROR(IF(#REF!&gt;0,#REF!,IF(#REF!&lt;0,P206,IF(#REF!=0,P206))),"")</f>
        <v/>
      </c>
      <c r="S206" s="20" t="str">
        <f t="shared" si="38"/>
        <v/>
      </c>
      <c r="T206" s="18">
        <f t="shared" si="39"/>
        <v>2400</v>
      </c>
      <c r="U206" s="24" t="s">
        <v>152</v>
      </c>
      <c r="V206" s="25">
        <f t="shared" si="37"/>
        <v>0</v>
      </c>
    </row>
    <row r="207" spans="1:22" ht="24" customHeight="1">
      <c r="A207" s="14"/>
      <c r="B207" s="15"/>
      <c r="C207" s="16"/>
      <c r="D207" s="16">
        <v>204</v>
      </c>
      <c r="E207" s="43" t="s">
        <v>284</v>
      </c>
      <c r="F207" s="17" t="s">
        <v>24</v>
      </c>
      <c r="G207" s="18">
        <v>1</v>
      </c>
      <c r="H207" s="19">
        <v>1</v>
      </c>
      <c r="I207" s="19"/>
      <c r="J207" s="19">
        <v>450</v>
      </c>
      <c r="K207" s="19"/>
      <c r="L207" s="20">
        <f t="shared" si="32"/>
        <v>451</v>
      </c>
      <c r="M207" s="21">
        <f t="shared" si="33"/>
        <v>451</v>
      </c>
      <c r="N207" s="22">
        <f t="shared" si="34"/>
        <v>451</v>
      </c>
      <c r="O207" s="22">
        <f t="shared" si="35"/>
        <v>0</v>
      </c>
      <c r="P207" s="20">
        <f t="shared" si="36"/>
        <v>0</v>
      </c>
      <c r="Q207" s="23" t="str">
        <f>IFERROR(#REF!*G207,"")</f>
        <v/>
      </c>
      <c r="R207" s="20" t="str">
        <f>IFERROR(IF(#REF!&gt;0,#REF!,IF(#REF!&lt;0,P207,IF(#REF!=0,P207))),"")</f>
        <v/>
      </c>
      <c r="S207" s="20" t="str">
        <f t="shared" si="38"/>
        <v/>
      </c>
      <c r="T207" s="18">
        <f t="shared" si="39"/>
        <v>450</v>
      </c>
      <c r="U207" s="24" t="s">
        <v>152</v>
      </c>
      <c r="V207" s="25">
        <f t="shared" si="37"/>
        <v>0</v>
      </c>
    </row>
    <row r="208" spans="1:22" ht="24" customHeight="1">
      <c r="A208" s="26"/>
      <c r="B208" s="15"/>
      <c r="C208" s="16"/>
      <c r="D208" s="16">
        <v>205</v>
      </c>
      <c r="E208" s="16" t="s">
        <v>285</v>
      </c>
      <c r="F208" s="17" t="s">
        <v>24</v>
      </c>
      <c r="G208" s="18">
        <v>1</v>
      </c>
      <c r="H208" s="19">
        <v>2</v>
      </c>
      <c r="I208" s="19"/>
      <c r="J208" s="19">
        <v>130</v>
      </c>
      <c r="K208" s="19"/>
      <c r="L208" s="20">
        <f t="shared" si="32"/>
        <v>132</v>
      </c>
      <c r="M208" s="21">
        <f t="shared" si="33"/>
        <v>132</v>
      </c>
      <c r="N208" s="22">
        <f t="shared" si="34"/>
        <v>132</v>
      </c>
      <c r="O208" s="22">
        <f t="shared" si="35"/>
        <v>0</v>
      </c>
      <c r="P208" s="20">
        <f t="shared" si="36"/>
        <v>0</v>
      </c>
      <c r="Q208" s="23" t="str">
        <f>IFERROR(#REF!*G208,"")</f>
        <v/>
      </c>
      <c r="R208" s="20" t="str">
        <f>IFERROR(IF(#REF!&gt;0,#REF!,IF(#REF!&lt;0,P208,IF(#REF!=0,P208))),"")</f>
        <v/>
      </c>
      <c r="S208" s="20" t="str">
        <f t="shared" si="38"/>
        <v/>
      </c>
      <c r="T208" s="18">
        <f t="shared" si="39"/>
        <v>260</v>
      </c>
      <c r="U208" s="24"/>
      <c r="V208" s="25">
        <f t="shared" si="37"/>
        <v>0</v>
      </c>
    </row>
    <row r="209" spans="1:22" ht="24" customHeight="1">
      <c r="A209" s="26"/>
      <c r="B209" s="15"/>
      <c r="C209" s="16"/>
      <c r="D209" s="16">
        <v>206</v>
      </c>
      <c r="E209" s="16" t="s">
        <v>286</v>
      </c>
      <c r="F209" s="17" t="s">
        <v>24</v>
      </c>
      <c r="G209" s="18">
        <v>1</v>
      </c>
      <c r="H209" s="19">
        <v>1</v>
      </c>
      <c r="I209" s="19"/>
      <c r="J209" s="19">
        <v>500</v>
      </c>
      <c r="K209" s="19"/>
      <c r="L209" s="20">
        <f t="shared" si="32"/>
        <v>501</v>
      </c>
      <c r="M209" s="21">
        <f t="shared" si="33"/>
        <v>501</v>
      </c>
      <c r="N209" s="22">
        <f t="shared" si="34"/>
        <v>501</v>
      </c>
      <c r="O209" s="22">
        <f t="shared" si="35"/>
        <v>0</v>
      </c>
      <c r="P209" s="20">
        <f t="shared" si="36"/>
        <v>0</v>
      </c>
      <c r="Q209" s="23" t="str">
        <f>IFERROR(#REF!*G209,"")</f>
        <v/>
      </c>
      <c r="R209" s="20" t="str">
        <f>IFERROR(IF(#REF!&gt;0,#REF!,IF(#REF!&lt;0,P209,IF(#REF!=0,P209))),"")</f>
        <v/>
      </c>
      <c r="S209" s="20" t="str">
        <f t="shared" si="38"/>
        <v/>
      </c>
      <c r="T209" s="18">
        <f t="shared" si="39"/>
        <v>500</v>
      </c>
      <c r="U209" s="24"/>
      <c r="V209" s="25">
        <f t="shared" si="37"/>
        <v>0</v>
      </c>
    </row>
    <row r="210" spans="1:22" ht="24" customHeight="1">
      <c r="A210" s="14"/>
      <c r="B210" s="15"/>
      <c r="C210" s="16"/>
      <c r="D210" s="16">
        <v>207</v>
      </c>
      <c r="E210" s="16" t="s">
        <v>287</v>
      </c>
      <c r="F210" s="17" t="s">
        <v>24</v>
      </c>
      <c r="G210" s="18">
        <v>1</v>
      </c>
      <c r="H210" s="19">
        <v>1</v>
      </c>
      <c r="I210" s="19"/>
      <c r="J210" s="19">
        <v>500</v>
      </c>
      <c r="K210" s="19"/>
      <c r="L210" s="20">
        <f t="shared" si="32"/>
        <v>501</v>
      </c>
      <c r="M210" s="21">
        <f t="shared" si="33"/>
        <v>501</v>
      </c>
      <c r="N210" s="22">
        <f t="shared" si="34"/>
        <v>501</v>
      </c>
      <c r="O210" s="22">
        <f t="shared" si="35"/>
        <v>0</v>
      </c>
      <c r="P210" s="20">
        <f t="shared" si="36"/>
        <v>0</v>
      </c>
      <c r="Q210" s="23" t="str">
        <f>IFERROR(#REF!*G210,"")</f>
        <v/>
      </c>
      <c r="R210" s="20" t="str">
        <f>IFERROR(IF(#REF!&gt;0,#REF!,IF(#REF!&lt;0,P210,IF(#REF!=0,P210))),"")</f>
        <v/>
      </c>
      <c r="S210" s="20" t="str">
        <f t="shared" si="38"/>
        <v/>
      </c>
      <c r="T210" s="18">
        <f t="shared" si="39"/>
        <v>500</v>
      </c>
      <c r="U210" s="24"/>
      <c r="V210" s="25">
        <f t="shared" si="37"/>
        <v>0</v>
      </c>
    </row>
    <row r="211" spans="1:22" ht="24" customHeight="1">
      <c r="A211" s="26"/>
      <c r="B211" s="15"/>
      <c r="C211" s="16"/>
      <c r="D211" s="16">
        <v>208</v>
      </c>
      <c r="E211" s="16" t="s">
        <v>288</v>
      </c>
      <c r="F211" s="17" t="s">
        <v>24</v>
      </c>
      <c r="G211" s="18">
        <v>1</v>
      </c>
      <c r="H211" s="19">
        <v>6</v>
      </c>
      <c r="I211" s="19"/>
      <c r="J211" s="19">
        <v>400</v>
      </c>
      <c r="K211" s="19"/>
      <c r="L211" s="20">
        <f t="shared" si="32"/>
        <v>406</v>
      </c>
      <c r="M211" s="21">
        <f t="shared" si="33"/>
        <v>406</v>
      </c>
      <c r="N211" s="22">
        <f t="shared" si="34"/>
        <v>406</v>
      </c>
      <c r="O211" s="22">
        <f t="shared" si="35"/>
        <v>0</v>
      </c>
      <c r="P211" s="20">
        <f t="shared" si="36"/>
        <v>0</v>
      </c>
      <c r="Q211" s="23" t="str">
        <f>IFERROR(#REF!*G211,"")</f>
        <v/>
      </c>
      <c r="R211" s="20" t="str">
        <f>IFERROR(IF(#REF!&gt;0,#REF!,IF(#REF!&lt;0,P211,IF(#REF!=0,P211))),"")</f>
        <v/>
      </c>
      <c r="S211" s="20" t="str">
        <f t="shared" si="38"/>
        <v/>
      </c>
      <c r="T211" s="18">
        <f t="shared" si="39"/>
        <v>2400</v>
      </c>
      <c r="U211" s="24"/>
      <c r="V211" s="25">
        <f t="shared" si="37"/>
        <v>0</v>
      </c>
    </row>
    <row r="212" spans="1:22" ht="24" customHeight="1">
      <c r="A212" s="26"/>
      <c r="B212" s="15"/>
      <c r="C212" s="16"/>
      <c r="D212" s="16">
        <v>209</v>
      </c>
      <c r="E212" s="16" t="s">
        <v>289</v>
      </c>
      <c r="F212" s="17" t="s">
        <v>24</v>
      </c>
      <c r="G212" s="18">
        <v>1</v>
      </c>
      <c r="H212" s="19">
        <v>1</v>
      </c>
      <c r="I212" s="19"/>
      <c r="J212" s="19">
        <v>430</v>
      </c>
      <c r="K212" s="19"/>
      <c r="L212" s="20">
        <f t="shared" si="32"/>
        <v>431</v>
      </c>
      <c r="M212" s="21">
        <f t="shared" si="33"/>
        <v>431</v>
      </c>
      <c r="N212" s="22">
        <f t="shared" si="34"/>
        <v>431</v>
      </c>
      <c r="O212" s="22">
        <f t="shared" si="35"/>
        <v>0</v>
      </c>
      <c r="P212" s="20">
        <f t="shared" si="36"/>
        <v>0</v>
      </c>
      <c r="Q212" s="23" t="str">
        <f>IFERROR(#REF!*G212,"")</f>
        <v/>
      </c>
      <c r="R212" s="20" t="str">
        <f>IFERROR(IF(#REF!&gt;0,#REF!,IF(#REF!&lt;0,P212,IF(#REF!=0,P212))),"")</f>
        <v/>
      </c>
      <c r="S212" s="20" t="str">
        <f t="shared" si="38"/>
        <v/>
      </c>
      <c r="T212" s="18">
        <f t="shared" si="39"/>
        <v>430</v>
      </c>
      <c r="U212" s="24"/>
      <c r="V212" s="25">
        <f t="shared" si="37"/>
        <v>0</v>
      </c>
    </row>
    <row r="213" spans="1:22" ht="24" customHeight="1">
      <c r="A213" s="14"/>
      <c r="B213" s="15"/>
      <c r="C213" s="16"/>
      <c r="D213" s="16">
        <v>210</v>
      </c>
      <c r="E213" s="16" t="s">
        <v>290</v>
      </c>
      <c r="F213" s="17" t="s">
        <v>24</v>
      </c>
      <c r="G213" s="18">
        <v>1</v>
      </c>
      <c r="H213" s="19">
        <v>1</v>
      </c>
      <c r="I213" s="19"/>
      <c r="J213" s="19">
        <v>900</v>
      </c>
      <c r="K213" s="19"/>
      <c r="L213" s="20">
        <f t="shared" si="32"/>
        <v>901</v>
      </c>
      <c r="M213" s="21">
        <f t="shared" si="33"/>
        <v>901</v>
      </c>
      <c r="N213" s="22">
        <f t="shared" si="34"/>
        <v>901</v>
      </c>
      <c r="O213" s="22">
        <f t="shared" si="35"/>
        <v>0</v>
      </c>
      <c r="P213" s="20">
        <f t="shared" si="36"/>
        <v>0</v>
      </c>
      <c r="Q213" s="23" t="str">
        <f>IFERROR(#REF!*G213,"")</f>
        <v/>
      </c>
      <c r="R213" s="20" t="str">
        <f>IFERROR(IF(#REF!&gt;0,#REF!,IF(#REF!&lt;0,P213,IF(#REF!=0,P213))),"")</f>
        <v/>
      </c>
      <c r="S213" s="20" t="str">
        <f t="shared" si="38"/>
        <v/>
      </c>
      <c r="T213" s="18">
        <f t="shared" si="39"/>
        <v>900</v>
      </c>
      <c r="U213" s="24"/>
      <c r="V213" s="25">
        <f t="shared" si="37"/>
        <v>0</v>
      </c>
    </row>
    <row r="214" spans="1:22" ht="24" customHeight="1">
      <c r="A214" s="26"/>
      <c r="B214" s="15"/>
      <c r="C214" s="16"/>
      <c r="D214" s="16">
        <v>211</v>
      </c>
      <c r="E214" s="16" t="s">
        <v>291</v>
      </c>
      <c r="F214" s="17" t="s">
        <v>24</v>
      </c>
      <c r="G214" s="18">
        <v>1</v>
      </c>
      <c r="H214" s="19">
        <v>1</v>
      </c>
      <c r="I214" s="19"/>
      <c r="J214" s="19">
        <v>54</v>
      </c>
      <c r="K214" s="19"/>
      <c r="L214" s="20">
        <f t="shared" si="32"/>
        <v>55</v>
      </c>
      <c r="M214" s="21">
        <f t="shared" si="33"/>
        <v>55</v>
      </c>
      <c r="N214" s="22">
        <f t="shared" si="34"/>
        <v>55</v>
      </c>
      <c r="O214" s="22">
        <f t="shared" si="35"/>
        <v>0</v>
      </c>
      <c r="P214" s="20">
        <f t="shared" si="36"/>
        <v>0</v>
      </c>
      <c r="Q214" s="23" t="str">
        <f>IFERROR(#REF!*G214,"")</f>
        <v/>
      </c>
      <c r="R214" s="20" t="str">
        <f>IFERROR(IF(#REF!&gt;0,#REF!,IF(#REF!&lt;0,P214,IF(#REF!=0,P214))),"")</f>
        <v/>
      </c>
      <c r="S214" s="20" t="str">
        <f t="shared" si="38"/>
        <v/>
      </c>
      <c r="T214" s="18">
        <f t="shared" si="39"/>
        <v>54</v>
      </c>
      <c r="U214" s="24"/>
      <c r="V214" s="25">
        <f t="shared" si="37"/>
        <v>0</v>
      </c>
    </row>
    <row r="215" spans="1:22" ht="24" customHeight="1">
      <c r="A215" s="26"/>
      <c r="B215" s="15"/>
      <c r="C215" s="16"/>
      <c r="D215" s="16">
        <v>212</v>
      </c>
      <c r="E215" s="16" t="s">
        <v>292</v>
      </c>
      <c r="F215" s="17" t="s">
        <v>24</v>
      </c>
      <c r="G215" s="18">
        <v>1</v>
      </c>
      <c r="H215" s="19">
        <v>2</v>
      </c>
      <c r="I215" s="19"/>
      <c r="J215" s="19">
        <v>220</v>
      </c>
      <c r="K215" s="19"/>
      <c r="L215" s="20">
        <f t="shared" si="32"/>
        <v>222</v>
      </c>
      <c r="M215" s="21">
        <f t="shared" si="33"/>
        <v>222</v>
      </c>
      <c r="N215" s="22">
        <f t="shared" si="34"/>
        <v>222</v>
      </c>
      <c r="O215" s="22">
        <f t="shared" si="35"/>
        <v>0</v>
      </c>
      <c r="P215" s="20">
        <f t="shared" si="36"/>
        <v>0</v>
      </c>
      <c r="Q215" s="23" t="str">
        <f>IFERROR(#REF!*G215,"")</f>
        <v/>
      </c>
      <c r="R215" s="20" t="str">
        <f>IFERROR(IF(#REF!&gt;0,#REF!,IF(#REF!&lt;0,P215,IF(#REF!=0,P215))),"")</f>
        <v/>
      </c>
      <c r="S215" s="20" t="str">
        <f t="shared" si="38"/>
        <v/>
      </c>
      <c r="T215" s="18">
        <f t="shared" si="39"/>
        <v>440</v>
      </c>
      <c r="U215" s="24"/>
      <c r="V215" s="25">
        <f t="shared" si="37"/>
        <v>0</v>
      </c>
    </row>
    <row r="216" spans="1:22" ht="24" customHeight="1">
      <c r="A216" s="14"/>
      <c r="B216" s="15"/>
      <c r="C216" s="16"/>
      <c r="D216" s="16">
        <v>213</v>
      </c>
      <c r="E216" s="16" t="s">
        <v>293</v>
      </c>
      <c r="F216" s="17" t="s">
        <v>24</v>
      </c>
      <c r="G216" s="18">
        <v>1</v>
      </c>
      <c r="H216" s="19">
        <v>1</v>
      </c>
      <c r="I216" s="19"/>
      <c r="J216" s="19">
        <v>360</v>
      </c>
      <c r="K216" s="19"/>
      <c r="L216" s="20">
        <f t="shared" si="32"/>
        <v>361</v>
      </c>
      <c r="M216" s="21">
        <f t="shared" si="33"/>
        <v>361</v>
      </c>
      <c r="N216" s="22">
        <f t="shared" si="34"/>
        <v>361</v>
      </c>
      <c r="O216" s="22">
        <f t="shared" si="35"/>
        <v>0</v>
      </c>
      <c r="P216" s="20">
        <f t="shared" si="36"/>
        <v>0</v>
      </c>
      <c r="Q216" s="23" t="str">
        <f>IFERROR(#REF!*G216,"")</f>
        <v/>
      </c>
      <c r="R216" s="20" t="str">
        <f>IFERROR(IF(#REF!&gt;0,#REF!,IF(#REF!&lt;0,P216,IF(#REF!=0,P216))),"")</f>
        <v/>
      </c>
      <c r="S216" s="20" t="str">
        <f t="shared" si="38"/>
        <v/>
      </c>
      <c r="T216" s="18">
        <f t="shared" si="39"/>
        <v>360</v>
      </c>
      <c r="U216" s="24"/>
      <c r="V216" s="25">
        <f t="shared" si="37"/>
        <v>0</v>
      </c>
    </row>
    <row r="217" spans="1:22" ht="24" customHeight="1">
      <c r="A217" s="26"/>
      <c r="B217" s="15"/>
      <c r="C217" s="16"/>
      <c r="D217" s="16">
        <v>214</v>
      </c>
      <c r="E217" s="16" t="s">
        <v>294</v>
      </c>
      <c r="F217" s="17" t="s">
        <v>24</v>
      </c>
      <c r="G217" s="18">
        <v>1</v>
      </c>
      <c r="H217" s="19">
        <v>2</v>
      </c>
      <c r="I217" s="19"/>
      <c r="J217" s="19">
        <v>470</v>
      </c>
      <c r="K217" s="19"/>
      <c r="L217" s="20">
        <f t="shared" si="32"/>
        <v>472</v>
      </c>
      <c r="M217" s="21">
        <f t="shared" si="33"/>
        <v>472</v>
      </c>
      <c r="N217" s="22">
        <f t="shared" si="34"/>
        <v>472</v>
      </c>
      <c r="O217" s="22">
        <f t="shared" si="35"/>
        <v>0</v>
      </c>
      <c r="P217" s="20">
        <f t="shared" si="36"/>
        <v>0</v>
      </c>
      <c r="Q217" s="23" t="str">
        <f>IFERROR(#REF!*G217,"")</f>
        <v/>
      </c>
      <c r="R217" s="20" t="str">
        <f>IFERROR(IF(#REF!&gt;0,#REF!,IF(#REF!&lt;0,P217,IF(#REF!=0,P217))),"")</f>
        <v/>
      </c>
      <c r="S217" s="20" t="str">
        <f t="shared" si="38"/>
        <v/>
      </c>
      <c r="T217" s="18">
        <f t="shared" si="39"/>
        <v>940</v>
      </c>
      <c r="U217" s="24"/>
      <c r="V217" s="25">
        <f t="shared" si="37"/>
        <v>0</v>
      </c>
    </row>
    <row r="218" spans="1:22" ht="24" customHeight="1">
      <c r="A218" s="26"/>
      <c r="B218" s="15"/>
      <c r="C218" s="16"/>
      <c r="D218" s="16">
        <v>215</v>
      </c>
      <c r="E218" s="16" t="s">
        <v>57</v>
      </c>
      <c r="F218" s="17" t="s">
        <v>24</v>
      </c>
      <c r="G218" s="18">
        <v>1</v>
      </c>
      <c r="H218" s="19">
        <v>1</v>
      </c>
      <c r="I218" s="19"/>
      <c r="J218" s="19">
        <v>680</v>
      </c>
      <c r="K218" s="19"/>
      <c r="L218" s="20">
        <f t="shared" si="32"/>
        <v>681</v>
      </c>
      <c r="M218" s="21">
        <f t="shared" si="33"/>
        <v>681</v>
      </c>
      <c r="N218" s="22">
        <f t="shared" si="34"/>
        <v>681</v>
      </c>
      <c r="O218" s="22">
        <f t="shared" si="35"/>
        <v>0</v>
      </c>
      <c r="P218" s="20">
        <f t="shared" si="36"/>
        <v>0</v>
      </c>
      <c r="Q218" s="23" t="str">
        <f>IFERROR(#REF!*G218,"")</f>
        <v/>
      </c>
      <c r="R218" s="20" t="str">
        <f>IFERROR(IF(#REF!&gt;0,#REF!,IF(#REF!&lt;0,P218,IF(#REF!=0,P218))),"")</f>
        <v/>
      </c>
      <c r="S218" s="20" t="str">
        <f t="shared" si="38"/>
        <v/>
      </c>
      <c r="T218" s="18">
        <f t="shared" si="39"/>
        <v>680</v>
      </c>
      <c r="U218" s="24"/>
      <c r="V218" s="25">
        <f t="shared" si="37"/>
        <v>0</v>
      </c>
    </row>
    <row r="219" spans="1:22" ht="24" customHeight="1">
      <c r="A219" s="26"/>
      <c r="B219" s="15"/>
      <c r="C219" s="16"/>
      <c r="D219" s="16">
        <v>216</v>
      </c>
      <c r="E219" s="16" t="s">
        <v>58</v>
      </c>
      <c r="F219" s="17" t="s">
        <v>24</v>
      </c>
      <c r="G219" s="18">
        <v>1</v>
      </c>
      <c r="H219" s="19">
        <v>4</v>
      </c>
      <c r="I219" s="19"/>
      <c r="J219" s="19">
        <v>820</v>
      </c>
      <c r="K219" s="19"/>
      <c r="L219" s="20">
        <f t="shared" si="32"/>
        <v>824</v>
      </c>
      <c r="M219" s="21">
        <f t="shared" si="33"/>
        <v>824</v>
      </c>
      <c r="N219" s="22">
        <f t="shared" si="34"/>
        <v>824</v>
      </c>
      <c r="O219" s="22">
        <f t="shared" si="35"/>
        <v>0</v>
      </c>
      <c r="P219" s="20">
        <f t="shared" si="36"/>
        <v>0</v>
      </c>
      <c r="Q219" s="23" t="str">
        <f>IFERROR(#REF!*G219,"")</f>
        <v/>
      </c>
      <c r="R219" s="20" t="str">
        <f>IFERROR(IF(#REF!&gt;0,#REF!,IF(#REF!&lt;0,P219,IF(#REF!=0,P219))),"")</f>
        <v/>
      </c>
      <c r="S219" s="20" t="str">
        <f t="shared" si="38"/>
        <v/>
      </c>
      <c r="T219" s="18">
        <f t="shared" si="39"/>
        <v>3280</v>
      </c>
      <c r="U219" s="24"/>
      <c r="V219" s="25">
        <f t="shared" si="37"/>
        <v>0</v>
      </c>
    </row>
    <row r="220" spans="1:22" ht="24" customHeight="1">
      <c r="A220" s="26"/>
      <c r="B220" s="15"/>
      <c r="C220" s="16"/>
      <c r="D220" s="16">
        <v>217</v>
      </c>
      <c r="E220" s="16" t="s">
        <v>295</v>
      </c>
      <c r="F220" s="17" t="s">
        <v>24</v>
      </c>
      <c r="G220" s="18">
        <v>1</v>
      </c>
      <c r="H220" s="19">
        <v>1</v>
      </c>
      <c r="I220" s="19"/>
      <c r="J220" s="19">
        <v>940</v>
      </c>
      <c r="K220" s="19"/>
      <c r="L220" s="20">
        <f t="shared" si="32"/>
        <v>941</v>
      </c>
      <c r="M220" s="21">
        <f t="shared" si="33"/>
        <v>941</v>
      </c>
      <c r="N220" s="22">
        <f t="shared" si="34"/>
        <v>941</v>
      </c>
      <c r="O220" s="22">
        <f t="shared" si="35"/>
        <v>0</v>
      </c>
      <c r="P220" s="20">
        <f t="shared" si="36"/>
        <v>0</v>
      </c>
      <c r="Q220" s="23" t="str">
        <f>IFERROR(#REF!*G220,"")</f>
        <v/>
      </c>
      <c r="R220" s="20" t="str">
        <f>IFERROR(IF(#REF!&gt;0,#REF!,IF(#REF!&lt;0,P220,IF(#REF!=0,P220))),"")</f>
        <v/>
      </c>
      <c r="S220" s="20" t="str">
        <f t="shared" si="38"/>
        <v/>
      </c>
      <c r="T220" s="18">
        <f t="shared" si="39"/>
        <v>940</v>
      </c>
      <c r="U220" s="24"/>
      <c r="V220" s="25">
        <f t="shared" si="37"/>
        <v>0</v>
      </c>
    </row>
    <row r="221" spans="1:22" ht="24" customHeight="1">
      <c r="A221" s="14"/>
      <c r="B221" s="15"/>
      <c r="C221" s="16"/>
      <c r="D221" s="16">
        <v>218</v>
      </c>
      <c r="E221" s="16" t="s">
        <v>296</v>
      </c>
      <c r="F221" s="17" t="s">
        <v>24</v>
      </c>
      <c r="G221" s="18">
        <v>1</v>
      </c>
      <c r="H221" s="19">
        <v>1</v>
      </c>
      <c r="I221" s="19"/>
      <c r="J221" s="19">
        <v>710</v>
      </c>
      <c r="K221" s="19"/>
      <c r="L221" s="20">
        <f t="shared" ref="L221:L284" si="40">I221*G221+H221</f>
        <v>1</v>
      </c>
      <c r="M221" s="21">
        <f t="shared" si="33"/>
        <v>1</v>
      </c>
      <c r="N221" s="22">
        <f t="shared" si="34"/>
        <v>1</v>
      </c>
      <c r="O221" s="22">
        <f t="shared" si="35"/>
        <v>0</v>
      </c>
      <c r="P221" s="20">
        <f t="shared" si="36"/>
        <v>0</v>
      </c>
      <c r="Q221" s="23">
        <f t="shared" ref="Q221:Q284" si="41">IFERROR(J221*G221,"")</f>
        <v>710</v>
      </c>
      <c r="R221" s="20">
        <f t="shared" ref="R221:S423" si="42">IFERROR(IF(J221&gt;0,J221,IF(J221&lt;0,P221,IF(J221=0,P221))),"")</f>
        <v>710</v>
      </c>
      <c r="S221" s="20">
        <f t="shared" si="38"/>
        <v>710</v>
      </c>
      <c r="T221" s="18">
        <f t="shared" ref="T221:T260" si="43">IFERROR(S221*I221+R221*H221,"")</f>
        <v>710</v>
      </c>
      <c r="U221" s="24"/>
      <c r="V221" s="25">
        <f t="shared" si="37"/>
        <v>0</v>
      </c>
    </row>
    <row r="222" spans="1:22" ht="24" customHeight="1">
      <c r="A222" s="26"/>
      <c r="B222" s="15"/>
      <c r="C222" s="16"/>
      <c r="D222" s="16">
        <v>219</v>
      </c>
      <c r="E222" s="16" t="s">
        <v>297</v>
      </c>
      <c r="F222" s="17" t="s">
        <v>24</v>
      </c>
      <c r="G222" s="18">
        <v>1</v>
      </c>
      <c r="H222" s="19">
        <v>2</v>
      </c>
      <c r="I222" s="19"/>
      <c r="J222" s="19">
        <v>600</v>
      </c>
      <c r="K222" s="19"/>
      <c r="L222" s="20">
        <f t="shared" si="40"/>
        <v>2</v>
      </c>
      <c r="M222" s="21">
        <f t="shared" si="33"/>
        <v>2</v>
      </c>
      <c r="N222" s="22">
        <f t="shared" si="34"/>
        <v>2</v>
      </c>
      <c r="O222" s="22">
        <f t="shared" si="35"/>
        <v>0</v>
      </c>
      <c r="P222" s="20">
        <f t="shared" si="36"/>
        <v>0</v>
      </c>
      <c r="Q222" s="23">
        <f t="shared" si="41"/>
        <v>600</v>
      </c>
      <c r="R222" s="20">
        <f t="shared" si="42"/>
        <v>600</v>
      </c>
      <c r="S222" s="20">
        <f t="shared" si="38"/>
        <v>600</v>
      </c>
      <c r="T222" s="18">
        <f t="shared" si="43"/>
        <v>1200</v>
      </c>
      <c r="U222" s="24"/>
      <c r="V222" s="25">
        <f t="shared" si="37"/>
        <v>0</v>
      </c>
    </row>
    <row r="223" spans="1:22" ht="24" customHeight="1">
      <c r="A223" s="26"/>
      <c r="B223" s="15"/>
      <c r="C223" s="16"/>
      <c r="D223" s="16">
        <v>220</v>
      </c>
      <c r="E223" s="16" t="s">
        <v>298</v>
      </c>
      <c r="F223" s="17" t="s">
        <v>24</v>
      </c>
      <c r="G223" s="18">
        <v>1</v>
      </c>
      <c r="H223" s="19">
        <v>2</v>
      </c>
      <c r="I223" s="19"/>
      <c r="J223" s="19">
        <v>200</v>
      </c>
      <c r="K223" s="19"/>
      <c r="L223" s="20">
        <f t="shared" si="40"/>
        <v>2</v>
      </c>
      <c r="M223" s="21">
        <f t="shared" si="33"/>
        <v>2</v>
      </c>
      <c r="N223" s="22">
        <f t="shared" si="34"/>
        <v>2</v>
      </c>
      <c r="O223" s="22">
        <f t="shared" si="35"/>
        <v>0</v>
      </c>
      <c r="P223" s="20">
        <f t="shared" si="36"/>
        <v>0</v>
      </c>
      <c r="Q223" s="23">
        <f t="shared" si="41"/>
        <v>200</v>
      </c>
      <c r="R223" s="20">
        <f t="shared" si="42"/>
        <v>200</v>
      </c>
      <c r="S223" s="20">
        <f t="shared" si="38"/>
        <v>200</v>
      </c>
      <c r="T223" s="18">
        <f t="shared" si="43"/>
        <v>400</v>
      </c>
      <c r="U223" s="24"/>
      <c r="V223" s="25">
        <f t="shared" si="37"/>
        <v>0</v>
      </c>
    </row>
    <row r="224" spans="1:22" ht="24" customHeight="1">
      <c r="A224" s="14"/>
      <c r="B224" s="15"/>
      <c r="C224" s="16"/>
      <c r="D224" s="16">
        <v>221</v>
      </c>
      <c r="E224" s="16" t="s">
        <v>299</v>
      </c>
      <c r="F224" s="17" t="s">
        <v>24</v>
      </c>
      <c r="G224" s="18">
        <v>1</v>
      </c>
      <c r="H224" s="19">
        <v>20</v>
      </c>
      <c r="I224" s="19"/>
      <c r="J224" s="19">
        <v>240</v>
      </c>
      <c r="K224" s="19"/>
      <c r="L224" s="20">
        <f t="shared" si="40"/>
        <v>20</v>
      </c>
      <c r="M224" s="21">
        <f t="shared" si="33"/>
        <v>20</v>
      </c>
      <c r="N224" s="22">
        <f t="shared" si="34"/>
        <v>20</v>
      </c>
      <c r="O224" s="22">
        <f t="shared" si="35"/>
        <v>0</v>
      </c>
      <c r="P224" s="20">
        <f t="shared" si="36"/>
        <v>0</v>
      </c>
      <c r="Q224" s="23">
        <f t="shared" si="41"/>
        <v>240</v>
      </c>
      <c r="R224" s="20">
        <f t="shared" si="42"/>
        <v>240</v>
      </c>
      <c r="S224" s="20">
        <f t="shared" si="38"/>
        <v>240</v>
      </c>
      <c r="T224" s="18">
        <f t="shared" si="43"/>
        <v>4800</v>
      </c>
      <c r="U224" s="24"/>
      <c r="V224" s="25">
        <f t="shared" si="37"/>
        <v>0</v>
      </c>
    </row>
    <row r="225" spans="1:22" ht="24" customHeight="1">
      <c r="A225" s="26"/>
      <c r="B225" s="15"/>
      <c r="C225" s="16"/>
      <c r="D225" s="16">
        <v>222</v>
      </c>
      <c r="E225" s="16" t="s">
        <v>300</v>
      </c>
      <c r="F225" s="17" t="s">
        <v>24</v>
      </c>
      <c r="G225" s="18">
        <v>1</v>
      </c>
      <c r="H225" s="19">
        <v>20</v>
      </c>
      <c r="I225" s="19"/>
      <c r="J225" s="19">
        <v>200</v>
      </c>
      <c r="K225" s="19"/>
      <c r="L225" s="20">
        <f t="shared" si="40"/>
        <v>20</v>
      </c>
      <c r="M225" s="21">
        <f t="shared" si="33"/>
        <v>20</v>
      </c>
      <c r="N225" s="22">
        <f t="shared" si="34"/>
        <v>20</v>
      </c>
      <c r="O225" s="22">
        <f t="shared" si="35"/>
        <v>0</v>
      </c>
      <c r="P225" s="20">
        <f t="shared" si="36"/>
        <v>0</v>
      </c>
      <c r="Q225" s="23">
        <f t="shared" si="41"/>
        <v>200</v>
      </c>
      <c r="R225" s="20">
        <f t="shared" si="42"/>
        <v>200</v>
      </c>
      <c r="S225" s="20">
        <f t="shared" si="38"/>
        <v>200</v>
      </c>
      <c r="T225" s="18">
        <f t="shared" si="43"/>
        <v>4000</v>
      </c>
      <c r="U225" s="24"/>
      <c r="V225" s="25">
        <f t="shared" si="37"/>
        <v>0</v>
      </c>
    </row>
    <row r="226" spans="1:22" ht="24" customHeight="1">
      <c r="A226" s="26"/>
      <c r="B226" s="15"/>
      <c r="C226" s="16"/>
      <c r="D226" s="16">
        <v>223</v>
      </c>
      <c r="E226" s="16" t="s">
        <v>301</v>
      </c>
      <c r="F226" s="17" t="s">
        <v>24</v>
      </c>
      <c r="G226" s="18">
        <v>1</v>
      </c>
      <c r="H226" s="19">
        <v>12</v>
      </c>
      <c r="I226" s="19"/>
      <c r="J226" s="19">
        <v>300</v>
      </c>
      <c r="K226" s="19"/>
      <c r="L226" s="20">
        <f t="shared" si="40"/>
        <v>12</v>
      </c>
      <c r="M226" s="21">
        <f t="shared" si="33"/>
        <v>12</v>
      </c>
      <c r="N226" s="22">
        <f t="shared" si="34"/>
        <v>12</v>
      </c>
      <c r="O226" s="22">
        <f t="shared" si="35"/>
        <v>0</v>
      </c>
      <c r="P226" s="20">
        <f t="shared" si="36"/>
        <v>0</v>
      </c>
      <c r="Q226" s="23">
        <f t="shared" si="41"/>
        <v>300</v>
      </c>
      <c r="R226" s="20">
        <f t="shared" si="42"/>
        <v>300</v>
      </c>
      <c r="S226" s="20">
        <f t="shared" si="38"/>
        <v>300</v>
      </c>
      <c r="T226" s="18">
        <f t="shared" si="43"/>
        <v>3600</v>
      </c>
      <c r="U226" s="24"/>
      <c r="V226" s="25">
        <f t="shared" si="37"/>
        <v>0</v>
      </c>
    </row>
    <row r="227" spans="1:22" ht="24" customHeight="1">
      <c r="A227" s="14"/>
      <c r="B227" s="15"/>
      <c r="C227" s="16"/>
      <c r="D227" s="16">
        <v>224</v>
      </c>
      <c r="E227" s="16" t="s">
        <v>302</v>
      </c>
      <c r="F227" s="17" t="s">
        <v>24</v>
      </c>
      <c r="G227" s="18">
        <v>1</v>
      </c>
      <c r="H227" s="19">
        <v>22</v>
      </c>
      <c r="I227" s="19"/>
      <c r="J227" s="19">
        <v>240</v>
      </c>
      <c r="K227" s="19"/>
      <c r="L227" s="20">
        <f t="shared" si="40"/>
        <v>22</v>
      </c>
      <c r="M227" s="21">
        <f t="shared" si="33"/>
        <v>22</v>
      </c>
      <c r="N227" s="22">
        <f t="shared" si="34"/>
        <v>22</v>
      </c>
      <c r="O227" s="22">
        <f t="shared" si="35"/>
        <v>0</v>
      </c>
      <c r="P227" s="20">
        <f t="shared" si="36"/>
        <v>0</v>
      </c>
      <c r="Q227" s="23">
        <f t="shared" si="41"/>
        <v>240</v>
      </c>
      <c r="R227" s="20">
        <f t="shared" si="42"/>
        <v>240</v>
      </c>
      <c r="S227" s="20">
        <f t="shared" si="38"/>
        <v>240</v>
      </c>
      <c r="T227" s="18">
        <f t="shared" si="43"/>
        <v>5280</v>
      </c>
      <c r="U227" s="24"/>
      <c r="V227" s="25">
        <f t="shared" si="37"/>
        <v>0</v>
      </c>
    </row>
    <row r="228" spans="1:22" ht="24" customHeight="1">
      <c r="A228" s="26"/>
      <c r="B228" s="15"/>
      <c r="C228" s="16"/>
      <c r="D228" s="16">
        <v>225</v>
      </c>
      <c r="E228" s="16" t="s">
        <v>303</v>
      </c>
      <c r="F228" s="17" t="s">
        <v>24</v>
      </c>
      <c r="G228" s="18">
        <v>1</v>
      </c>
      <c r="H228" s="19">
        <v>8</v>
      </c>
      <c r="I228" s="19"/>
      <c r="J228" s="19">
        <v>430</v>
      </c>
      <c r="K228" s="19"/>
      <c r="L228" s="20">
        <f t="shared" si="40"/>
        <v>8</v>
      </c>
      <c r="M228" s="21">
        <f t="shared" si="33"/>
        <v>8</v>
      </c>
      <c r="N228" s="22">
        <f t="shared" si="34"/>
        <v>8</v>
      </c>
      <c r="O228" s="22">
        <f t="shared" si="35"/>
        <v>0</v>
      </c>
      <c r="P228" s="20">
        <f t="shared" si="36"/>
        <v>0</v>
      </c>
      <c r="Q228" s="23">
        <f t="shared" si="41"/>
        <v>430</v>
      </c>
      <c r="R228" s="20">
        <f t="shared" si="42"/>
        <v>430</v>
      </c>
      <c r="S228" s="20">
        <f t="shared" si="38"/>
        <v>430</v>
      </c>
      <c r="T228" s="18">
        <f t="shared" si="43"/>
        <v>3440</v>
      </c>
      <c r="U228" s="24"/>
      <c r="V228" s="25">
        <f t="shared" si="37"/>
        <v>0</v>
      </c>
    </row>
    <row r="229" spans="1:22" ht="24" customHeight="1">
      <c r="A229" s="26"/>
      <c r="B229" s="15"/>
      <c r="C229" s="16"/>
      <c r="D229" s="16">
        <v>226</v>
      </c>
      <c r="E229" s="16" t="s">
        <v>304</v>
      </c>
      <c r="F229" s="17" t="s">
        <v>24</v>
      </c>
      <c r="G229" s="18">
        <v>1</v>
      </c>
      <c r="H229" s="19">
        <v>59</v>
      </c>
      <c r="I229" s="19"/>
      <c r="J229" s="19">
        <v>510</v>
      </c>
      <c r="K229" s="19"/>
      <c r="L229" s="20">
        <f t="shared" si="40"/>
        <v>59</v>
      </c>
      <c r="M229" s="21">
        <f t="shared" si="33"/>
        <v>59</v>
      </c>
      <c r="N229" s="22">
        <f t="shared" si="34"/>
        <v>59</v>
      </c>
      <c r="O229" s="22">
        <f t="shared" si="35"/>
        <v>0</v>
      </c>
      <c r="P229" s="20">
        <f t="shared" si="36"/>
        <v>0</v>
      </c>
      <c r="Q229" s="23">
        <f t="shared" si="41"/>
        <v>510</v>
      </c>
      <c r="R229" s="20">
        <f t="shared" si="42"/>
        <v>510</v>
      </c>
      <c r="S229" s="20">
        <f t="shared" si="38"/>
        <v>510</v>
      </c>
      <c r="T229" s="18">
        <f t="shared" si="43"/>
        <v>30090</v>
      </c>
      <c r="U229" s="24"/>
      <c r="V229" s="25">
        <f t="shared" si="37"/>
        <v>0</v>
      </c>
    </row>
    <row r="230" spans="1:22" ht="24" customHeight="1">
      <c r="A230" s="14"/>
      <c r="B230" s="15"/>
      <c r="C230" s="16"/>
      <c r="D230" s="16">
        <v>227</v>
      </c>
      <c r="E230" s="16" t="s">
        <v>305</v>
      </c>
      <c r="F230" s="17" t="s">
        <v>24</v>
      </c>
      <c r="G230" s="18">
        <v>1</v>
      </c>
      <c r="H230" s="19">
        <v>2</v>
      </c>
      <c r="I230" s="19"/>
      <c r="J230" s="19">
        <v>540</v>
      </c>
      <c r="K230" s="19"/>
      <c r="L230" s="20">
        <f t="shared" si="40"/>
        <v>2</v>
      </c>
      <c r="M230" s="21">
        <f t="shared" si="33"/>
        <v>2</v>
      </c>
      <c r="N230" s="22">
        <f t="shared" si="34"/>
        <v>2</v>
      </c>
      <c r="O230" s="22">
        <f t="shared" si="35"/>
        <v>0</v>
      </c>
      <c r="P230" s="20">
        <f t="shared" si="36"/>
        <v>0</v>
      </c>
      <c r="Q230" s="23">
        <f t="shared" si="41"/>
        <v>540</v>
      </c>
      <c r="R230" s="20">
        <f t="shared" si="42"/>
        <v>540</v>
      </c>
      <c r="S230" s="20">
        <f t="shared" si="38"/>
        <v>540</v>
      </c>
      <c r="T230" s="18">
        <f t="shared" si="43"/>
        <v>1080</v>
      </c>
      <c r="U230" s="24"/>
      <c r="V230" s="25">
        <f t="shared" si="37"/>
        <v>0</v>
      </c>
    </row>
    <row r="231" spans="1:22" ht="24" customHeight="1">
      <c r="A231" s="26"/>
      <c r="B231" s="15"/>
      <c r="C231" s="16"/>
      <c r="D231" s="16">
        <v>228</v>
      </c>
      <c r="E231" s="16" t="s">
        <v>151</v>
      </c>
      <c r="F231" s="17" t="s">
        <v>24</v>
      </c>
      <c r="G231" s="18">
        <v>1</v>
      </c>
      <c r="H231" s="19">
        <v>5</v>
      </c>
      <c r="I231" s="19"/>
      <c r="J231" s="19">
        <v>1250</v>
      </c>
      <c r="K231" s="19"/>
      <c r="L231" s="20">
        <f t="shared" si="40"/>
        <v>5</v>
      </c>
      <c r="M231" s="21">
        <f t="shared" si="33"/>
        <v>5</v>
      </c>
      <c r="N231" s="22">
        <f t="shared" si="34"/>
        <v>5</v>
      </c>
      <c r="O231" s="22">
        <f t="shared" si="35"/>
        <v>0</v>
      </c>
      <c r="P231" s="20">
        <f t="shared" si="36"/>
        <v>0</v>
      </c>
      <c r="Q231" s="23">
        <f t="shared" si="41"/>
        <v>1250</v>
      </c>
      <c r="R231" s="20">
        <f t="shared" si="42"/>
        <v>1250</v>
      </c>
      <c r="S231" s="20">
        <f t="shared" si="38"/>
        <v>1250</v>
      </c>
      <c r="T231" s="18">
        <f t="shared" si="43"/>
        <v>6250</v>
      </c>
      <c r="U231" s="24"/>
      <c r="V231" s="25">
        <f t="shared" si="37"/>
        <v>0</v>
      </c>
    </row>
    <row r="232" spans="1:22" ht="24" customHeight="1">
      <c r="A232" s="26"/>
      <c r="B232" s="15"/>
      <c r="C232" s="16"/>
      <c r="D232" s="16">
        <v>229</v>
      </c>
      <c r="E232" s="43" t="s">
        <v>306</v>
      </c>
      <c r="F232" s="17" t="s">
        <v>24</v>
      </c>
      <c r="G232" s="18">
        <v>1</v>
      </c>
      <c r="H232" s="19">
        <v>4</v>
      </c>
      <c r="I232" s="19"/>
      <c r="J232" s="19">
        <v>2250</v>
      </c>
      <c r="K232" s="19"/>
      <c r="L232" s="20">
        <f t="shared" si="40"/>
        <v>4</v>
      </c>
      <c r="M232" s="21">
        <f t="shared" si="33"/>
        <v>4</v>
      </c>
      <c r="N232" s="22">
        <f t="shared" si="34"/>
        <v>4</v>
      </c>
      <c r="O232" s="22">
        <f t="shared" si="35"/>
        <v>0</v>
      </c>
      <c r="P232" s="20">
        <f t="shared" si="36"/>
        <v>0</v>
      </c>
      <c r="Q232" s="23">
        <f t="shared" si="41"/>
        <v>2250</v>
      </c>
      <c r="R232" s="20">
        <f t="shared" si="42"/>
        <v>2250</v>
      </c>
      <c r="S232" s="20">
        <f t="shared" si="38"/>
        <v>2250</v>
      </c>
      <c r="T232" s="18">
        <f t="shared" si="43"/>
        <v>9000</v>
      </c>
      <c r="U232" s="24" t="s">
        <v>152</v>
      </c>
      <c r="V232" s="25">
        <f t="shared" si="37"/>
        <v>0</v>
      </c>
    </row>
    <row r="233" spans="1:22" ht="24" customHeight="1">
      <c r="A233" s="14"/>
      <c r="B233" s="15"/>
      <c r="C233" s="16"/>
      <c r="D233" s="16">
        <v>230</v>
      </c>
      <c r="E233" s="16" t="s">
        <v>307</v>
      </c>
      <c r="F233" s="17" t="s">
        <v>24</v>
      </c>
      <c r="G233" s="18">
        <v>1</v>
      </c>
      <c r="H233" s="19">
        <v>3</v>
      </c>
      <c r="I233" s="19"/>
      <c r="J233" s="19">
        <v>2250</v>
      </c>
      <c r="K233" s="19"/>
      <c r="L233" s="20">
        <f t="shared" si="40"/>
        <v>3</v>
      </c>
      <c r="M233" s="21">
        <f t="shared" si="33"/>
        <v>3</v>
      </c>
      <c r="N233" s="22">
        <f t="shared" si="34"/>
        <v>3</v>
      </c>
      <c r="O233" s="22">
        <f t="shared" si="35"/>
        <v>0</v>
      </c>
      <c r="P233" s="20">
        <f t="shared" si="36"/>
        <v>0</v>
      </c>
      <c r="Q233" s="23">
        <f t="shared" si="41"/>
        <v>2250</v>
      </c>
      <c r="R233" s="20">
        <f t="shared" si="42"/>
        <v>2250</v>
      </c>
      <c r="S233" s="20">
        <f t="shared" si="38"/>
        <v>2250</v>
      </c>
      <c r="T233" s="18">
        <f t="shared" si="43"/>
        <v>6750</v>
      </c>
      <c r="U233" s="24"/>
      <c r="V233" s="25">
        <f t="shared" si="37"/>
        <v>0</v>
      </c>
    </row>
    <row r="234" spans="1:22" ht="24" customHeight="1">
      <c r="A234" s="26"/>
      <c r="B234" s="15"/>
      <c r="C234" s="16"/>
      <c r="D234" s="16">
        <v>231</v>
      </c>
      <c r="E234" s="16" t="s">
        <v>308</v>
      </c>
      <c r="F234" s="17" t="s">
        <v>24</v>
      </c>
      <c r="G234" s="18">
        <v>1</v>
      </c>
      <c r="H234" s="19">
        <v>2</v>
      </c>
      <c r="I234" s="19"/>
      <c r="J234" s="19">
        <v>520</v>
      </c>
      <c r="K234" s="19"/>
      <c r="L234" s="20">
        <f t="shared" si="40"/>
        <v>2</v>
      </c>
      <c r="M234" s="21">
        <f t="shared" si="33"/>
        <v>2</v>
      </c>
      <c r="N234" s="22">
        <f t="shared" si="34"/>
        <v>2</v>
      </c>
      <c r="O234" s="22">
        <f t="shared" si="35"/>
        <v>0</v>
      </c>
      <c r="P234" s="20">
        <f t="shared" si="36"/>
        <v>0</v>
      </c>
      <c r="Q234" s="23">
        <f t="shared" si="41"/>
        <v>520</v>
      </c>
      <c r="R234" s="20">
        <f t="shared" si="42"/>
        <v>520</v>
      </c>
      <c r="S234" s="20">
        <f t="shared" si="38"/>
        <v>520</v>
      </c>
      <c r="T234" s="18">
        <f t="shared" si="43"/>
        <v>1040</v>
      </c>
      <c r="U234" s="24"/>
      <c r="V234" s="25">
        <f t="shared" si="37"/>
        <v>0</v>
      </c>
    </row>
    <row r="235" spans="1:22" ht="24" customHeight="1">
      <c r="A235" s="26"/>
      <c r="B235" s="15"/>
      <c r="C235" s="16"/>
      <c r="D235" s="16">
        <v>232</v>
      </c>
      <c r="E235" s="16" t="s">
        <v>309</v>
      </c>
      <c r="F235" s="17" t="s">
        <v>24</v>
      </c>
      <c r="G235" s="18">
        <v>1</v>
      </c>
      <c r="H235" s="19">
        <v>4</v>
      </c>
      <c r="I235" s="19"/>
      <c r="J235" s="19">
        <v>1100</v>
      </c>
      <c r="K235" s="19"/>
      <c r="L235" s="20">
        <f t="shared" si="40"/>
        <v>4</v>
      </c>
      <c r="M235" s="21">
        <f t="shared" si="33"/>
        <v>4</v>
      </c>
      <c r="N235" s="22">
        <f t="shared" si="34"/>
        <v>4</v>
      </c>
      <c r="O235" s="22">
        <f t="shared" si="35"/>
        <v>0</v>
      </c>
      <c r="P235" s="20">
        <f t="shared" si="36"/>
        <v>0</v>
      </c>
      <c r="Q235" s="23">
        <f t="shared" si="41"/>
        <v>1100</v>
      </c>
      <c r="R235" s="20">
        <f t="shared" si="42"/>
        <v>1100</v>
      </c>
      <c r="S235" s="20">
        <f t="shared" si="38"/>
        <v>1100</v>
      </c>
      <c r="T235" s="18">
        <f t="shared" si="43"/>
        <v>4400</v>
      </c>
      <c r="U235" s="24"/>
      <c r="V235" s="25">
        <f t="shared" si="37"/>
        <v>0</v>
      </c>
    </row>
    <row r="236" spans="1:22" ht="24" customHeight="1">
      <c r="A236" s="14"/>
      <c r="B236" s="15"/>
      <c r="C236" s="16"/>
      <c r="D236" s="16">
        <v>233</v>
      </c>
      <c r="E236" s="16" t="s">
        <v>310</v>
      </c>
      <c r="F236" s="17" t="s">
        <v>24</v>
      </c>
      <c r="G236" s="18">
        <v>1</v>
      </c>
      <c r="H236" s="19">
        <v>2</v>
      </c>
      <c r="I236" s="19"/>
      <c r="J236" s="19">
        <v>1550</v>
      </c>
      <c r="K236" s="19"/>
      <c r="L236" s="20">
        <f t="shared" si="40"/>
        <v>2</v>
      </c>
      <c r="M236" s="21">
        <f t="shared" si="33"/>
        <v>2</v>
      </c>
      <c r="N236" s="22">
        <f t="shared" si="34"/>
        <v>2</v>
      </c>
      <c r="O236" s="22">
        <f t="shared" si="35"/>
        <v>0</v>
      </c>
      <c r="P236" s="20">
        <f t="shared" si="36"/>
        <v>0</v>
      </c>
      <c r="Q236" s="23">
        <f t="shared" si="41"/>
        <v>1550</v>
      </c>
      <c r="R236" s="20">
        <f t="shared" si="42"/>
        <v>1550</v>
      </c>
      <c r="S236" s="20">
        <f t="shared" si="38"/>
        <v>1550</v>
      </c>
      <c r="T236" s="18">
        <f t="shared" si="43"/>
        <v>3100</v>
      </c>
      <c r="U236" s="24"/>
      <c r="V236" s="25">
        <f t="shared" si="37"/>
        <v>0</v>
      </c>
    </row>
    <row r="237" spans="1:22" ht="24" customHeight="1">
      <c r="A237" s="26"/>
      <c r="B237" s="15"/>
      <c r="C237" s="16"/>
      <c r="D237" s="16">
        <v>234</v>
      </c>
      <c r="E237" s="16" t="s">
        <v>311</v>
      </c>
      <c r="F237" s="17" t="s">
        <v>24</v>
      </c>
      <c r="G237" s="18">
        <v>1</v>
      </c>
      <c r="H237" s="19">
        <v>3</v>
      </c>
      <c r="I237" s="19"/>
      <c r="J237" s="19">
        <v>96</v>
      </c>
      <c r="K237" s="19"/>
      <c r="L237" s="20">
        <f t="shared" si="40"/>
        <v>3</v>
      </c>
      <c r="M237" s="21">
        <f t="shared" si="33"/>
        <v>3</v>
      </c>
      <c r="N237" s="22">
        <f t="shared" si="34"/>
        <v>3</v>
      </c>
      <c r="O237" s="22">
        <f t="shared" si="35"/>
        <v>0</v>
      </c>
      <c r="P237" s="20">
        <f t="shared" si="36"/>
        <v>0</v>
      </c>
      <c r="Q237" s="23">
        <f t="shared" si="41"/>
        <v>96</v>
      </c>
      <c r="R237" s="20">
        <f t="shared" si="42"/>
        <v>96</v>
      </c>
      <c r="S237" s="20">
        <f t="shared" si="38"/>
        <v>96</v>
      </c>
      <c r="T237" s="18">
        <f t="shared" si="43"/>
        <v>288</v>
      </c>
      <c r="U237" s="24"/>
      <c r="V237" s="25">
        <f t="shared" si="37"/>
        <v>0</v>
      </c>
    </row>
    <row r="238" spans="1:22" ht="24" customHeight="1">
      <c r="A238" s="26"/>
      <c r="B238" s="15"/>
      <c r="C238" s="16"/>
      <c r="D238" s="16">
        <v>235</v>
      </c>
      <c r="E238" s="16" t="s">
        <v>312</v>
      </c>
      <c r="F238" s="17" t="s">
        <v>24</v>
      </c>
      <c r="G238" s="18">
        <v>1</v>
      </c>
      <c r="H238" s="19">
        <v>34</v>
      </c>
      <c r="I238" s="19"/>
      <c r="J238" s="19">
        <v>36</v>
      </c>
      <c r="K238" s="19"/>
      <c r="L238" s="20">
        <f t="shared" si="40"/>
        <v>34</v>
      </c>
      <c r="M238" s="21">
        <f t="shared" si="33"/>
        <v>34</v>
      </c>
      <c r="N238" s="22">
        <f t="shared" si="34"/>
        <v>34</v>
      </c>
      <c r="O238" s="22">
        <f t="shared" si="35"/>
        <v>0</v>
      </c>
      <c r="P238" s="20">
        <f t="shared" si="36"/>
        <v>0</v>
      </c>
      <c r="Q238" s="23">
        <f t="shared" si="41"/>
        <v>36</v>
      </c>
      <c r="R238" s="20">
        <f t="shared" si="42"/>
        <v>36</v>
      </c>
      <c r="S238" s="20">
        <f t="shared" si="38"/>
        <v>36</v>
      </c>
      <c r="T238" s="18">
        <f t="shared" si="43"/>
        <v>1224</v>
      </c>
      <c r="U238" s="24"/>
      <c r="V238" s="25">
        <f t="shared" si="37"/>
        <v>0</v>
      </c>
    </row>
    <row r="239" spans="1:22" ht="24" customHeight="1">
      <c r="A239" s="14"/>
      <c r="B239" s="15"/>
      <c r="C239" s="16"/>
      <c r="D239" s="16">
        <v>236</v>
      </c>
      <c r="E239" s="16" t="s">
        <v>313</v>
      </c>
      <c r="F239" s="17" t="s">
        <v>24</v>
      </c>
      <c r="G239" s="18">
        <v>1</v>
      </c>
      <c r="H239" s="19">
        <v>1</v>
      </c>
      <c r="I239" s="19"/>
      <c r="J239" s="19">
        <v>480</v>
      </c>
      <c r="K239" s="19"/>
      <c r="L239" s="20">
        <f t="shared" si="40"/>
        <v>1</v>
      </c>
      <c r="M239" s="21">
        <f t="shared" si="33"/>
        <v>1</v>
      </c>
      <c r="N239" s="22">
        <f t="shared" si="34"/>
        <v>1</v>
      </c>
      <c r="O239" s="22">
        <f t="shared" si="35"/>
        <v>0</v>
      </c>
      <c r="P239" s="20">
        <f t="shared" si="36"/>
        <v>0</v>
      </c>
      <c r="Q239" s="23">
        <f t="shared" si="41"/>
        <v>480</v>
      </c>
      <c r="R239" s="20">
        <f t="shared" si="42"/>
        <v>480</v>
      </c>
      <c r="S239" s="20">
        <f t="shared" si="38"/>
        <v>480</v>
      </c>
      <c r="T239" s="18">
        <f t="shared" si="43"/>
        <v>480</v>
      </c>
      <c r="U239" s="24"/>
      <c r="V239" s="25">
        <f t="shared" si="37"/>
        <v>0</v>
      </c>
    </row>
    <row r="240" spans="1:22" ht="24" customHeight="1">
      <c r="A240" s="26"/>
      <c r="B240" s="15"/>
      <c r="C240" s="16"/>
      <c r="D240" s="16">
        <v>237</v>
      </c>
      <c r="E240" s="16" t="s">
        <v>314</v>
      </c>
      <c r="F240" s="17" t="s">
        <v>24</v>
      </c>
      <c r="G240" s="18">
        <v>1</v>
      </c>
      <c r="H240" s="19">
        <v>1</v>
      </c>
      <c r="I240" s="19"/>
      <c r="J240" s="19">
        <v>230</v>
      </c>
      <c r="K240" s="19"/>
      <c r="L240" s="20">
        <f t="shared" si="40"/>
        <v>1</v>
      </c>
      <c r="M240" s="21">
        <f t="shared" si="33"/>
        <v>1</v>
      </c>
      <c r="N240" s="22">
        <f t="shared" si="34"/>
        <v>1</v>
      </c>
      <c r="O240" s="22">
        <f t="shared" si="35"/>
        <v>0</v>
      </c>
      <c r="P240" s="20">
        <f t="shared" si="36"/>
        <v>0</v>
      </c>
      <c r="Q240" s="23">
        <f t="shared" si="41"/>
        <v>230</v>
      </c>
      <c r="R240" s="20">
        <f t="shared" si="42"/>
        <v>230</v>
      </c>
      <c r="S240" s="20">
        <f t="shared" si="38"/>
        <v>230</v>
      </c>
      <c r="T240" s="18">
        <f t="shared" si="43"/>
        <v>230</v>
      </c>
      <c r="U240" s="24"/>
      <c r="V240" s="25">
        <f t="shared" si="37"/>
        <v>0</v>
      </c>
    </row>
    <row r="241" spans="1:22" ht="24" customHeight="1">
      <c r="A241" s="26"/>
      <c r="B241" s="15"/>
      <c r="C241" s="16"/>
      <c r="D241" s="16">
        <v>238</v>
      </c>
      <c r="E241" s="16" t="s">
        <v>315</v>
      </c>
      <c r="F241" s="17" t="s">
        <v>24</v>
      </c>
      <c r="G241" s="18">
        <v>1</v>
      </c>
      <c r="H241" s="19">
        <v>4</v>
      </c>
      <c r="I241" s="19"/>
      <c r="J241" s="19">
        <v>120</v>
      </c>
      <c r="K241" s="19"/>
      <c r="L241" s="20">
        <f t="shared" si="40"/>
        <v>4</v>
      </c>
      <c r="M241" s="21">
        <f t="shared" si="33"/>
        <v>4</v>
      </c>
      <c r="N241" s="22">
        <f t="shared" si="34"/>
        <v>4</v>
      </c>
      <c r="O241" s="22">
        <f t="shared" si="35"/>
        <v>0</v>
      </c>
      <c r="P241" s="20">
        <f t="shared" si="36"/>
        <v>0</v>
      </c>
      <c r="Q241" s="23">
        <f t="shared" si="41"/>
        <v>120</v>
      </c>
      <c r="R241" s="20">
        <f t="shared" si="42"/>
        <v>120</v>
      </c>
      <c r="S241" s="20">
        <f t="shared" si="38"/>
        <v>120</v>
      </c>
      <c r="T241" s="18">
        <f t="shared" si="43"/>
        <v>480</v>
      </c>
      <c r="U241" s="24"/>
      <c r="V241" s="25">
        <f t="shared" si="37"/>
        <v>0</v>
      </c>
    </row>
    <row r="242" spans="1:22" ht="24" customHeight="1">
      <c r="A242" s="14"/>
      <c r="B242" s="15"/>
      <c r="C242" s="16"/>
      <c r="D242" s="16">
        <v>239</v>
      </c>
      <c r="E242" s="16" t="s">
        <v>316</v>
      </c>
      <c r="F242" s="17" t="s">
        <v>24</v>
      </c>
      <c r="G242" s="18">
        <v>1</v>
      </c>
      <c r="H242" s="19">
        <v>1</v>
      </c>
      <c r="I242" s="19"/>
      <c r="J242" s="19">
        <v>300</v>
      </c>
      <c r="K242" s="19"/>
      <c r="L242" s="20">
        <f t="shared" si="40"/>
        <v>1</v>
      </c>
      <c r="M242" s="21">
        <f t="shared" si="33"/>
        <v>1</v>
      </c>
      <c r="N242" s="22">
        <f t="shared" si="34"/>
        <v>1</v>
      </c>
      <c r="O242" s="22">
        <f t="shared" si="35"/>
        <v>0</v>
      </c>
      <c r="P242" s="20">
        <f t="shared" si="36"/>
        <v>0</v>
      </c>
      <c r="Q242" s="23">
        <f t="shared" si="41"/>
        <v>300</v>
      </c>
      <c r="R242" s="20">
        <f t="shared" si="42"/>
        <v>300</v>
      </c>
      <c r="S242" s="20">
        <f t="shared" si="38"/>
        <v>300</v>
      </c>
      <c r="T242" s="18">
        <f t="shared" si="43"/>
        <v>300</v>
      </c>
      <c r="U242" s="24"/>
      <c r="V242" s="25">
        <f t="shared" si="37"/>
        <v>0</v>
      </c>
    </row>
    <row r="243" spans="1:22" ht="24" customHeight="1">
      <c r="A243" s="26"/>
      <c r="B243" s="15"/>
      <c r="C243" s="16"/>
      <c r="D243" s="16">
        <v>240</v>
      </c>
      <c r="E243" s="16" t="s">
        <v>317</v>
      </c>
      <c r="F243" s="17" t="s">
        <v>24</v>
      </c>
      <c r="G243" s="18">
        <v>1</v>
      </c>
      <c r="H243" s="19">
        <v>1</v>
      </c>
      <c r="I243" s="19"/>
      <c r="J243" s="19">
        <v>450</v>
      </c>
      <c r="K243" s="19"/>
      <c r="L243" s="20">
        <f t="shared" si="40"/>
        <v>1</v>
      </c>
      <c r="M243" s="21">
        <f t="shared" si="33"/>
        <v>1</v>
      </c>
      <c r="N243" s="22">
        <f t="shared" si="34"/>
        <v>1</v>
      </c>
      <c r="O243" s="22">
        <f t="shared" si="35"/>
        <v>0</v>
      </c>
      <c r="P243" s="20">
        <f t="shared" si="36"/>
        <v>0</v>
      </c>
      <c r="Q243" s="23">
        <f t="shared" si="41"/>
        <v>450</v>
      </c>
      <c r="R243" s="20">
        <f t="shared" si="42"/>
        <v>450</v>
      </c>
      <c r="S243" s="20">
        <f t="shared" si="38"/>
        <v>450</v>
      </c>
      <c r="T243" s="18">
        <f t="shared" si="43"/>
        <v>450</v>
      </c>
      <c r="U243" s="24"/>
      <c r="V243" s="25">
        <f t="shared" si="37"/>
        <v>0</v>
      </c>
    </row>
    <row r="244" spans="1:22" ht="24" customHeight="1">
      <c r="A244" s="26"/>
      <c r="B244" s="15"/>
      <c r="C244" s="16"/>
      <c r="D244" s="16">
        <v>241</v>
      </c>
      <c r="E244" s="16" t="s">
        <v>318</v>
      </c>
      <c r="F244" s="17" t="s">
        <v>24</v>
      </c>
      <c r="G244" s="18">
        <v>1</v>
      </c>
      <c r="H244" s="19">
        <v>2</v>
      </c>
      <c r="I244" s="19"/>
      <c r="J244" s="19">
        <v>1700</v>
      </c>
      <c r="K244" s="19"/>
      <c r="L244" s="20">
        <f t="shared" si="40"/>
        <v>2</v>
      </c>
      <c r="M244" s="21">
        <f t="shared" si="33"/>
        <v>2</v>
      </c>
      <c r="N244" s="22">
        <f t="shared" si="34"/>
        <v>2</v>
      </c>
      <c r="O244" s="22">
        <f t="shared" si="35"/>
        <v>0</v>
      </c>
      <c r="P244" s="20">
        <f t="shared" si="36"/>
        <v>0</v>
      </c>
      <c r="Q244" s="23">
        <f t="shared" si="41"/>
        <v>1700</v>
      </c>
      <c r="R244" s="20">
        <f t="shared" si="42"/>
        <v>1700</v>
      </c>
      <c r="S244" s="20">
        <f t="shared" si="38"/>
        <v>1700</v>
      </c>
      <c r="T244" s="18">
        <f t="shared" si="43"/>
        <v>3400</v>
      </c>
      <c r="U244" s="24"/>
      <c r="V244" s="25">
        <f t="shared" si="37"/>
        <v>0</v>
      </c>
    </row>
    <row r="245" spans="1:22" ht="24" customHeight="1">
      <c r="A245" s="14"/>
      <c r="B245" s="15"/>
      <c r="C245" s="16"/>
      <c r="D245" s="16">
        <v>242</v>
      </c>
      <c r="E245" s="16" t="s">
        <v>319</v>
      </c>
      <c r="F245" s="17" t="s">
        <v>24</v>
      </c>
      <c r="G245" s="18">
        <v>1</v>
      </c>
      <c r="H245" s="19">
        <v>2</v>
      </c>
      <c r="I245" s="19"/>
      <c r="J245" s="19">
        <v>750</v>
      </c>
      <c r="K245" s="19"/>
      <c r="L245" s="20">
        <f t="shared" si="40"/>
        <v>2</v>
      </c>
      <c r="M245" s="21">
        <f t="shared" si="33"/>
        <v>2</v>
      </c>
      <c r="N245" s="22">
        <f t="shared" si="34"/>
        <v>2</v>
      </c>
      <c r="O245" s="22">
        <f t="shared" si="35"/>
        <v>0</v>
      </c>
      <c r="P245" s="20">
        <f t="shared" si="36"/>
        <v>0</v>
      </c>
      <c r="Q245" s="23">
        <f t="shared" si="41"/>
        <v>750</v>
      </c>
      <c r="R245" s="20">
        <f t="shared" si="42"/>
        <v>750</v>
      </c>
      <c r="S245" s="20">
        <f t="shared" si="38"/>
        <v>750</v>
      </c>
      <c r="T245" s="18">
        <f t="shared" si="43"/>
        <v>1500</v>
      </c>
      <c r="U245" s="24"/>
      <c r="V245" s="25">
        <f t="shared" si="37"/>
        <v>0</v>
      </c>
    </row>
    <row r="246" spans="1:22" ht="24" customHeight="1">
      <c r="A246" s="26"/>
      <c r="B246" s="15"/>
      <c r="C246" s="16"/>
      <c r="D246" s="16">
        <v>243</v>
      </c>
      <c r="E246" s="16" t="s">
        <v>320</v>
      </c>
      <c r="F246" s="17" t="s">
        <v>24</v>
      </c>
      <c r="G246" s="18">
        <v>1</v>
      </c>
      <c r="H246" s="19">
        <v>4</v>
      </c>
      <c r="I246" s="19"/>
      <c r="J246" s="19">
        <v>800</v>
      </c>
      <c r="K246" s="19"/>
      <c r="L246" s="20">
        <f t="shared" si="40"/>
        <v>4</v>
      </c>
      <c r="M246" s="21">
        <f t="shared" si="33"/>
        <v>4</v>
      </c>
      <c r="N246" s="22">
        <f t="shared" si="34"/>
        <v>4</v>
      </c>
      <c r="O246" s="22">
        <f t="shared" si="35"/>
        <v>0</v>
      </c>
      <c r="P246" s="20">
        <f t="shared" si="36"/>
        <v>0</v>
      </c>
      <c r="Q246" s="23">
        <f t="shared" si="41"/>
        <v>800</v>
      </c>
      <c r="R246" s="20">
        <f t="shared" si="42"/>
        <v>800</v>
      </c>
      <c r="S246" s="20">
        <f t="shared" si="38"/>
        <v>800</v>
      </c>
      <c r="T246" s="18">
        <f t="shared" si="43"/>
        <v>3200</v>
      </c>
      <c r="U246" s="24"/>
      <c r="V246" s="25">
        <f t="shared" si="37"/>
        <v>0</v>
      </c>
    </row>
    <row r="247" spans="1:22" ht="24" customHeight="1">
      <c r="A247" s="26"/>
      <c r="B247" s="15"/>
      <c r="C247" s="16"/>
      <c r="D247" s="16">
        <v>244</v>
      </c>
      <c r="E247" s="16" t="s">
        <v>329</v>
      </c>
      <c r="F247" s="17" t="s">
        <v>24</v>
      </c>
      <c r="G247" s="18">
        <v>1</v>
      </c>
      <c r="H247" s="19">
        <v>1</v>
      </c>
      <c r="I247" s="19"/>
      <c r="J247" s="19">
        <v>2000</v>
      </c>
      <c r="K247" s="19"/>
      <c r="L247" s="20">
        <f t="shared" si="40"/>
        <v>1</v>
      </c>
      <c r="M247" s="21">
        <f t="shared" si="33"/>
        <v>1</v>
      </c>
      <c r="N247" s="22">
        <f t="shared" si="34"/>
        <v>1</v>
      </c>
      <c r="O247" s="22">
        <f t="shared" si="35"/>
        <v>0</v>
      </c>
      <c r="P247" s="20">
        <f t="shared" si="36"/>
        <v>0</v>
      </c>
      <c r="Q247" s="23">
        <f t="shared" si="41"/>
        <v>2000</v>
      </c>
      <c r="R247" s="20">
        <f t="shared" si="42"/>
        <v>2000</v>
      </c>
      <c r="S247" s="20">
        <f t="shared" si="38"/>
        <v>2000</v>
      </c>
      <c r="T247" s="18">
        <f t="shared" si="43"/>
        <v>2000</v>
      </c>
      <c r="U247" s="24"/>
      <c r="V247" s="25">
        <f t="shared" si="37"/>
        <v>0</v>
      </c>
    </row>
    <row r="248" spans="1:22" ht="24" customHeight="1">
      <c r="A248" s="14"/>
      <c r="B248" s="15"/>
      <c r="C248" s="16"/>
      <c r="D248" s="16">
        <v>245</v>
      </c>
      <c r="E248" s="16" t="s">
        <v>321</v>
      </c>
      <c r="F248" s="17" t="s">
        <v>24</v>
      </c>
      <c r="G248" s="18">
        <v>1</v>
      </c>
      <c r="H248" s="19">
        <v>1</v>
      </c>
      <c r="I248" s="19"/>
      <c r="J248" s="19">
        <v>450</v>
      </c>
      <c r="K248" s="19"/>
      <c r="L248" s="20">
        <f t="shared" si="40"/>
        <v>1</v>
      </c>
      <c r="M248" s="21">
        <f t="shared" si="33"/>
        <v>1</v>
      </c>
      <c r="N248" s="22">
        <f t="shared" si="34"/>
        <v>1</v>
      </c>
      <c r="O248" s="22">
        <f t="shared" si="35"/>
        <v>0</v>
      </c>
      <c r="P248" s="20">
        <f t="shared" si="36"/>
        <v>0</v>
      </c>
      <c r="Q248" s="23">
        <f t="shared" si="41"/>
        <v>450</v>
      </c>
      <c r="R248" s="20">
        <f t="shared" si="42"/>
        <v>450</v>
      </c>
      <c r="S248" s="20">
        <f t="shared" si="38"/>
        <v>450</v>
      </c>
      <c r="T248" s="18">
        <f t="shared" si="43"/>
        <v>450</v>
      </c>
      <c r="U248" s="24"/>
      <c r="V248" s="25">
        <f t="shared" si="37"/>
        <v>0</v>
      </c>
    </row>
    <row r="249" spans="1:22" ht="24" customHeight="1">
      <c r="A249" s="26"/>
      <c r="B249" s="15"/>
      <c r="C249" s="16"/>
      <c r="D249" s="16">
        <v>246</v>
      </c>
      <c r="E249" s="16" t="s">
        <v>323</v>
      </c>
      <c r="F249" s="17" t="s">
        <v>24</v>
      </c>
      <c r="G249" s="18">
        <v>1</v>
      </c>
      <c r="H249" s="19">
        <v>2</v>
      </c>
      <c r="I249" s="19"/>
      <c r="J249" s="19">
        <v>750</v>
      </c>
      <c r="K249" s="19"/>
      <c r="L249" s="20">
        <f t="shared" si="40"/>
        <v>2</v>
      </c>
      <c r="M249" s="21">
        <f t="shared" si="33"/>
        <v>2</v>
      </c>
      <c r="N249" s="22">
        <f t="shared" si="34"/>
        <v>2</v>
      </c>
      <c r="O249" s="22">
        <f t="shared" si="35"/>
        <v>0</v>
      </c>
      <c r="P249" s="20">
        <f t="shared" si="36"/>
        <v>0</v>
      </c>
      <c r="Q249" s="23">
        <f t="shared" si="41"/>
        <v>750</v>
      </c>
      <c r="R249" s="20">
        <f t="shared" si="42"/>
        <v>750</v>
      </c>
      <c r="S249" s="20">
        <f t="shared" si="38"/>
        <v>750</v>
      </c>
      <c r="T249" s="18">
        <f t="shared" si="43"/>
        <v>1500</v>
      </c>
      <c r="U249" s="24"/>
      <c r="V249" s="25">
        <f t="shared" si="37"/>
        <v>0</v>
      </c>
    </row>
    <row r="250" spans="1:22" ht="24" customHeight="1">
      <c r="A250" s="26"/>
      <c r="B250" s="15"/>
      <c r="C250" s="16"/>
      <c r="D250" s="16">
        <v>247</v>
      </c>
      <c r="E250" s="16" t="s">
        <v>322</v>
      </c>
      <c r="F250" s="17" t="s">
        <v>24</v>
      </c>
      <c r="G250" s="18">
        <v>1</v>
      </c>
      <c r="H250" s="19">
        <v>1</v>
      </c>
      <c r="I250" s="19"/>
      <c r="J250" s="19">
        <v>780</v>
      </c>
      <c r="K250" s="19"/>
      <c r="L250" s="20">
        <f t="shared" si="40"/>
        <v>1</v>
      </c>
      <c r="M250" s="21">
        <f t="shared" si="33"/>
        <v>1</v>
      </c>
      <c r="N250" s="22">
        <f t="shared" si="34"/>
        <v>1</v>
      </c>
      <c r="O250" s="22">
        <f t="shared" si="35"/>
        <v>0</v>
      </c>
      <c r="P250" s="20">
        <f t="shared" si="36"/>
        <v>0</v>
      </c>
      <c r="Q250" s="23">
        <f t="shared" si="41"/>
        <v>780</v>
      </c>
      <c r="R250" s="20">
        <f t="shared" si="42"/>
        <v>780</v>
      </c>
      <c r="S250" s="20">
        <f t="shared" si="38"/>
        <v>780</v>
      </c>
      <c r="T250" s="18">
        <f t="shared" si="43"/>
        <v>780</v>
      </c>
      <c r="U250" s="24"/>
      <c r="V250" s="25">
        <f t="shared" si="37"/>
        <v>0</v>
      </c>
    </row>
    <row r="251" spans="1:22" ht="24" customHeight="1">
      <c r="A251" s="14"/>
      <c r="B251" s="15"/>
      <c r="C251" s="16"/>
      <c r="D251" s="16">
        <v>248</v>
      </c>
      <c r="E251" s="16" t="s">
        <v>324</v>
      </c>
      <c r="F251" s="17" t="s">
        <v>24</v>
      </c>
      <c r="G251" s="18">
        <v>1</v>
      </c>
      <c r="H251" s="19">
        <v>1</v>
      </c>
      <c r="I251" s="19"/>
      <c r="J251" s="19">
        <v>750</v>
      </c>
      <c r="K251" s="19"/>
      <c r="L251" s="20">
        <f t="shared" si="40"/>
        <v>1</v>
      </c>
      <c r="M251" s="21">
        <f t="shared" si="33"/>
        <v>1</v>
      </c>
      <c r="N251" s="22">
        <f t="shared" si="34"/>
        <v>1</v>
      </c>
      <c r="O251" s="22">
        <f t="shared" si="35"/>
        <v>0</v>
      </c>
      <c r="P251" s="20">
        <f t="shared" si="36"/>
        <v>0</v>
      </c>
      <c r="Q251" s="23">
        <f t="shared" si="41"/>
        <v>750</v>
      </c>
      <c r="R251" s="20">
        <f t="shared" si="42"/>
        <v>750</v>
      </c>
      <c r="S251" s="20">
        <f t="shared" si="38"/>
        <v>750</v>
      </c>
      <c r="T251" s="18">
        <f t="shared" si="43"/>
        <v>750</v>
      </c>
      <c r="U251" s="24"/>
      <c r="V251" s="25">
        <f t="shared" si="37"/>
        <v>0</v>
      </c>
    </row>
    <row r="252" spans="1:22" ht="24" customHeight="1">
      <c r="A252" s="26"/>
      <c r="B252" s="15"/>
      <c r="C252" s="16"/>
      <c r="D252" s="16">
        <v>249</v>
      </c>
      <c r="E252" s="16" t="s">
        <v>62</v>
      </c>
      <c r="F252" s="17" t="s">
        <v>24</v>
      </c>
      <c r="G252" s="18">
        <v>1</v>
      </c>
      <c r="H252" s="19">
        <v>3</v>
      </c>
      <c r="I252" s="19"/>
      <c r="J252" s="19">
        <v>300</v>
      </c>
      <c r="K252" s="19"/>
      <c r="L252" s="20">
        <f t="shared" si="40"/>
        <v>3</v>
      </c>
      <c r="M252" s="21">
        <f t="shared" si="33"/>
        <v>3</v>
      </c>
      <c r="N252" s="22">
        <f t="shared" si="34"/>
        <v>3</v>
      </c>
      <c r="O252" s="22">
        <f t="shared" si="35"/>
        <v>0</v>
      </c>
      <c r="P252" s="20">
        <f t="shared" si="36"/>
        <v>0</v>
      </c>
      <c r="Q252" s="23">
        <f t="shared" si="41"/>
        <v>300</v>
      </c>
      <c r="R252" s="20">
        <f t="shared" si="42"/>
        <v>300</v>
      </c>
      <c r="S252" s="20">
        <f t="shared" si="38"/>
        <v>300</v>
      </c>
      <c r="T252" s="18">
        <f t="shared" si="43"/>
        <v>900</v>
      </c>
      <c r="U252" s="24"/>
      <c r="V252" s="25">
        <f t="shared" si="37"/>
        <v>0</v>
      </c>
    </row>
    <row r="253" spans="1:22" ht="24" customHeight="1">
      <c r="A253" s="26"/>
      <c r="B253" s="15"/>
      <c r="C253" s="16"/>
      <c r="D253" s="16">
        <v>250</v>
      </c>
      <c r="E253" s="16" t="s">
        <v>325</v>
      </c>
      <c r="F253" s="17" t="s">
        <v>24</v>
      </c>
      <c r="G253" s="18">
        <v>1</v>
      </c>
      <c r="H253" s="19">
        <v>4</v>
      </c>
      <c r="I253" s="19"/>
      <c r="J253" s="19">
        <v>1250</v>
      </c>
      <c r="K253" s="19"/>
      <c r="L253" s="20">
        <f t="shared" si="40"/>
        <v>4</v>
      </c>
      <c r="M253" s="21">
        <f t="shared" si="33"/>
        <v>4</v>
      </c>
      <c r="N253" s="22">
        <f t="shared" si="34"/>
        <v>4</v>
      </c>
      <c r="O253" s="22">
        <f t="shared" si="35"/>
        <v>0</v>
      </c>
      <c r="P253" s="20">
        <f t="shared" si="36"/>
        <v>0</v>
      </c>
      <c r="Q253" s="23">
        <f t="shared" si="41"/>
        <v>1250</v>
      </c>
      <c r="R253" s="20">
        <f t="shared" si="42"/>
        <v>1250</v>
      </c>
      <c r="S253" s="20">
        <f t="shared" si="38"/>
        <v>1250</v>
      </c>
      <c r="T253" s="18">
        <f t="shared" si="43"/>
        <v>5000</v>
      </c>
      <c r="U253" s="24"/>
      <c r="V253" s="25">
        <f t="shared" si="37"/>
        <v>0</v>
      </c>
    </row>
    <row r="254" spans="1:22" ht="24" customHeight="1">
      <c r="A254" s="14"/>
      <c r="B254" s="15"/>
      <c r="C254" s="16"/>
      <c r="D254" s="16">
        <v>251</v>
      </c>
      <c r="E254" s="16" t="s">
        <v>326</v>
      </c>
      <c r="F254" s="17" t="s">
        <v>24</v>
      </c>
      <c r="G254" s="18">
        <v>1</v>
      </c>
      <c r="H254" s="19">
        <v>1</v>
      </c>
      <c r="I254" s="19"/>
      <c r="J254" s="19">
        <v>9000</v>
      </c>
      <c r="K254" s="19"/>
      <c r="L254" s="20">
        <f t="shared" si="40"/>
        <v>1</v>
      </c>
      <c r="M254" s="21">
        <f t="shared" si="33"/>
        <v>1</v>
      </c>
      <c r="N254" s="22">
        <f t="shared" si="34"/>
        <v>1</v>
      </c>
      <c r="O254" s="22">
        <f t="shared" si="35"/>
        <v>0</v>
      </c>
      <c r="P254" s="20">
        <f t="shared" si="36"/>
        <v>0</v>
      </c>
      <c r="Q254" s="23">
        <f t="shared" si="41"/>
        <v>9000</v>
      </c>
      <c r="R254" s="20">
        <f t="shared" si="42"/>
        <v>9000</v>
      </c>
      <c r="S254" s="20">
        <f t="shared" si="38"/>
        <v>9000</v>
      </c>
      <c r="T254" s="18">
        <f t="shared" si="43"/>
        <v>9000</v>
      </c>
      <c r="U254" s="24"/>
      <c r="V254" s="25">
        <f t="shared" si="37"/>
        <v>0</v>
      </c>
    </row>
    <row r="255" spans="1:22" ht="24" customHeight="1">
      <c r="A255" s="26"/>
      <c r="B255" s="15"/>
      <c r="C255" s="16"/>
      <c r="D255" s="16">
        <v>252</v>
      </c>
      <c r="E255" s="16" t="s">
        <v>328</v>
      </c>
      <c r="F255" s="17" t="s">
        <v>24</v>
      </c>
      <c r="G255" s="18">
        <v>5</v>
      </c>
      <c r="H255" s="19">
        <v>1</v>
      </c>
      <c r="I255" s="19"/>
      <c r="J255" s="19">
        <v>1800</v>
      </c>
      <c r="K255" s="19">
        <v>9000</v>
      </c>
      <c r="L255" s="20">
        <f t="shared" si="40"/>
        <v>1</v>
      </c>
      <c r="M255" s="21">
        <f t="shared" si="33"/>
        <v>0.2</v>
      </c>
      <c r="N255" s="22">
        <f t="shared" si="34"/>
        <v>1</v>
      </c>
      <c r="O255" s="22">
        <f t="shared" si="35"/>
        <v>0</v>
      </c>
      <c r="P255" s="20">
        <f t="shared" si="36"/>
        <v>1800</v>
      </c>
      <c r="Q255" s="23">
        <f t="shared" si="41"/>
        <v>9000</v>
      </c>
      <c r="R255" s="20">
        <f t="shared" si="42"/>
        <v>1800</v>
      </c>
      <c r="S255" s="20">
        <f t="shared" si="38"/>
        <v>9000</v>
      </c>
      <c r="T255" s="18">
        <v>9000</v>
      </c>
      <c r="U255" s="24"/>
      <c r="V255" s="25">
        <f t="shared" si="37"/>
        <v>0</v>
      </c>
    </row>
    <row r="256" spans="1:22" ht="24" customHeight="1">
      <c r="A256" s="26"/>
      <c r="B256" s="15"/>
      <c r="C256" s="16"/>
      <c r="D256" s="16">
        <v>253</v>
      </c>
      <c r="E256" s="16" t="s">
        <v>327</v>
      </c>
      <c r="F256" s="17" t="s">
        <v>24</v>
      </c>
      <c r="G256" s="18">
        <v>500</v>
      </c>
      <c r="H256" s="19">
        <v>4</v>
      </c>
      <c r="I256" s="19">
        <v>4</v>
      </c>
      <c r="J256" s="19"/>
      <c r="K256" s="19">
        <v>1600</v>
      </c>
      <c r="L256" s="20">
        <f t="shared" si="40"/>
        <v>2004</v>
      </c>
      <c r="M256" s="21">
        <f t="shared" si="33"/>
        <v>4.008</v>
      </c>
      <c r="N256" s="22">
        <f t="shared" si="34"/>
        <v>4.0000000000000036</v>
      </c>
      <c r="O256" s="22">
        <f t="shared" si="35"/>
        <v>4</v>
      </c>
      <c r="P256" s="20">
        <f t="shared" si="36"/>
        <v>3.2</v>
      </c>
      <c r="Q256" s="23">
        <f t="shared" si="41"/>
        <v>0</v>
      </c>
      <c r="R256" s="20">
        <f t="shared" si="42"/>
        <v>3.2</v>
      </c>
      <c r="S256" s="20">
        <f t="shared" si="38"/>
        <v>1600</v>
      </c>
      <c r="T256" s="18">
        <f t="shared" si="43"/>
        <v>6412.8</v>
      </c>
      <c r="U256" s="24"/>
      <c r="V256" s="25">
        <f t="shared" si="37"/>
        <v>0</v>
      </c>
    </row>
    <row r="257" spans="1:22" ht="24" customHeight="1">
      <c r="A257" s="14" t="s">
        <v>330</v>
      </c>
      <c r="B257" s="15"/>
      <c r="C257" s="16"/>
      <c r="D257" s="16">
        <v>254</v>
      </c>
      <c r="E257" s="16" t="s">
        <v>331</v>
      </c>
      <c r="F257" s="17" t="s">
        <v>24</v>
      </c>
      <c r="G257" s="18">
        <v>1</v>
      </c>
      <c r="H257" s="19">
        <v>13</v>
      </c>
      <c r="I257" s="19"/>
      <c r="J257" s="19">
        <v>400</v>
      </c>
      <c r="K257" s="19"/>
      <c r="L257" s="20">
        <f t="shared" si="40"/>
        <v>13</v>
      </c>
      <c r="M257" s="21">
        <f t="shared" si="33"/>
        <v>13</v>
      </c>
      <c r="N257" s="22">
        <f t="shared" si="34"/>
        <v>13</v>
      </c>
      <c r="O257" s="22">
        <f t="shared" si="35"/>
        <v>0</v>
      </c>
      <c r="P257" s="20">
        <f t="shared" si="36"/>
        <v>0</v>
      </c>
      <c r="Q257" s="23">
        <f t="shared" si="41"/>
        <v>400</v>
      </c>
      <c r="R257" s="20">
        <f t="shared" si="42"/>
        <v>400</v>
      </c>
      <c r="S257" s="20">
        <f t="shared" si="38"/>
        <v>400</v>
      </c>
      <c r="T257" s="18">
        <f t="shared" si="43"/>
        <v>5200</v>
      </c>
      <c r="U257" s="24"/>
      <c r="V257" s="25">
        <f t="shared" si="37"/>
        <v>0</v>
      </c>
    </row>
    <row r="258" spans="1:22" ht="24" customHeight="1">
      <c r="A258" s="14"/>
      <c r="B258" s="15"/>
      <c r="C258" s="16"/>
      <c r="D258" s="16">
        <v>255</v>
      </c>
      <c r="E258" s="16" t="s">
        <v>332</v>
      </c>
      <c r="F258" s="17" t="s">
        <v>24</v>
      </c>
      <c r="G258" s="18">
        <v>1</v>
      </c>
      <c r="H258" s="19">
        <v>23</v>
      </c>
      <c r="I258" s="19">
        <v>0</v>
      </c>
      <c r="J258" s="19">
        <v>187</v>
      </c>
      <c r="K258" s="19"/>
      <c r="L258" s="20">
        <f t="shared" si="40"/>
        <v>23</v>
      </c>
      <c r="M258" s="21">
        <f t="shared" si="33"/>
        <v>23</v>
      </c>
      <c r="N258" s="22">
        <f t="shared" si="34"/>
        <v>23</v>
      </c>
      <c r="O258" s="22">
        <f t="shared" si="35"/>
        <v>0</v>
      </c>
      <c r="P258" s="20">
        <f t="shared" si="36"/>
        <v>0</v>
      </c>
      <c r="Q258" s="23">
        <f t="shared" si="41"/>
        <v>187</v>
      </c>
      <c r="R258" s="20">
        <f t="shared" si="42"/>
        <v>187</v>
      </c>
      <c r="S258" s="20">
        <f t="shared" si="38"/>
        <v>187</v>
      </c>
      <c r="T258" s="18">
        <f t="shared" si="43"/>
        <v>4301</v>
      </c>
      <c r="U258" s="24"/>
      <c r="V258" s="25">
        <f t="shared" si="37"/>
        <v>0</v>
      </c>
    </row>
    <row r="259" spans="1:22" ht="24" customHeight="1">
      <c r="A259" s="14"/>
      <c r="B259" s="15"/>
      <c r="C259" s="16"/>
      <c r="D259" s="16">
        <v>256</v>
      </c>
      <c r="E259" s="16" t="s">
        <v>333</v>
      </c>
      <c r="F259" s="17" t="s">
        <v>24</v>
      </c>
      <c r="G259" s="18">
        <v>1</v>
      </c>
      <c r="H259" s="19">
        <v>34</v>
      </c>
      <c r="I259" s="19"/>
      <c r="J259" s="19">
        <v>250</v>
      </c>
      <c r="K259" s="19"/>
      <c r="L259" s="20">
        <f t="shared" si="40"/>
        <v>34</v>
      </c>
      <c r="M259" s="21">
        <f t="shared" ref="M259:M322" si="44">IFERROR(L259/G259,"")</f>
        <v>34</v>
      </c>
      <c r="N259" s="22">
        <f t="shared" ref="N259:N322" si="45">IF(G259=1,L259,IF(G259&gt;1,IFERROR((M259-O259)*G259,""),""))</f>
        <v>34</v>
      </c>
      <c r="O259" s="22">
        <f t="shared" ref="O259:O322" si="46">IFERROR(IF(G259=1,0,IF(G259&gt;1,ROUNDDOWN(M259,0))),"")</f>
        <v>0</v>
      </c>
      <c r="P259" s="20">
        <f t="shared" si="36"/>
        <v>0</v>
      </c>
      <c r="Q259" s="23">
        <f t="shared" si="41"/>
        <v>250</v>
      </c>
      <c r="R259" s="20">
        <f t="shared" si="42"/>
        <v>250</v>
      </c>
      <c r="S259" s="20">
        <f t="shared" si="38"/>
        <v>250</v>
      </c>
      <c r="T259" s="18">
        <f t="shared" si="43"/>
        <v>8500</v>
      </c>
      <c r="U259" s="24"/>
      <c r="V259" s="25">
        <f t="shared" ref="V259:V322" si="47">B259</f>
        <v>0</v>
      </c>
    </row>
    <row r="260" spans="1:22" ht="24" customHeight="1">
      <c r="A260" s="14"/>
      <c r="B260" s="15"/>
      <c r="C260" s="16"/>
      <c r="D260" s="16">
        <v>257</v>
      </c>
      <c r="E260" s="16" t="s">
        <v>334</v>
      </c>
      <c r="F260" s="17" t="s">
        <v>24</v>
      </c>
      <c r="G260" s="18">
        <v>1</v>
      </c>
      <c r="H260" s="19">
        <v>16</v>
      </c>
      <c r="I260" s="19"/>
      <c r="J260" s="19">
        <v>150</v>
      </c>
      <c r="K260" s="19"/>
      <c r="L260" s="20">
        <f t="shared" si="40"/>
        <v>16</v>
      </c>
      <c r="M260" s="21">
        <f t="shared" si="44"/>
        <v>16</v>
      </c>
      <c r="N260" s="22">
        <f t="shared" si="45"/>
        <v>16</v>
      </c>
      <c r="O260" s="22">
        <f t="shared" si="46"/>
        <v>0</v>
      </c>
      <c r="P260" s="20">
        <f t="shared" ref="P260:P323" si="48">IFERROR(K260/G260,"")</f>
        <v>0</v>
      </c>
      <c r="Q260" s="23">
        <f t="shared" si="41"/>
        <v>150</v>
      </c>
      <c r="R260" s="20">
        <f t="shared" si="42"/>
        <v>150</v>
      </c>
      <c r="S260" s="20">
        <f t="shared" si="38"/>
        <v>150</v>
      </c>
      <c r="T260" s="18">
        <f t="shared" si="43"/>
        <v>2400</v>
      </c>
      <c r="U260" s="24"/>
      <c r="V260" s="25">
        <f t="shared" si="47"/>
        <v>0</v>
      </c>
    </row>
    <row r="261" spans="1:22" ht="24" customHeight="1">
      <c r="A261" s="14"/>
      <c r="B261" s="15"/>
      <c r="C261" s="16"/>
      <c r="D261" s="16">
        <v>258</v>
      </c>
      <c r="E261" s="16" t="s">
        <v>159</v>
      </c>
      <c r="F261" s="17" t="s">
        <v>24</v>
      </c>
      <c r="G261" s="18">
        <v>1</v>
      </c>
      <c r="H261" s="19">
        <v>26</v>
      </c>
      <c r="I261" s="19"/>
      <c r="J261" s="19">
        <v>100</v>
      </c>
      <c r="K261" s="19"/>
      <c r="L261" s="20">
        <f t="shared" si="40"/>
        <v>26</v>
      </c>
      <c r="M261" s="21">
        <f t="shared" si="44"/>
        <v>26</v>
      </c>
      <c r="N261" s="22">
        <f t="shared" si="45"/>
        <v>26</v>
      </c>
      <c r="O261" s="22">
        <f t="shared" si="46"/>
        <v>0</v>
      </c>
      <c r="P261" s="20">
        <f t="shared" si="48"/>
        <v>0</v>
      </c>
      <c r="Q261" s="23">
        <f t="shared" si="41"/>
        <v>100</v>
      </c>
      <c r="R261" s="20">
        <f t="shared" si="42"/>
        <v>100</v>
      </c>
      <c r="S261" s="20">
        <f t="shared" si="38"/>
        <v>100</v>
      </c>
      <c r="T261" s="18">
        <f t="shared" ref="T261:T324" si="49">IFERROR(S261*I261+R261*H261,"")</f>
        <v>2600</v>
      </c>
      <c r="U261" s="24"/>
      <c r="V261" s="25">
        <f t="shared" si="47"/>
        <v>0</v>
      </c>
    </row>
    <row r="262" spans="1:22" ht="24" customHeight="1">
      <c r="A262" s="14"/>
      <c r="B262" s="15"/>
      <c r="C262" s="16"/>
      <c r="D262" s="16">
        <v>259</v>
      </c>
      <c r="E262" s="16" t="s">
        <v>160</v>
      </c>
      <c r="F262" s="17" t="s">
        <v>24</v>
      </c>
      <c r="G262" s="18">
        <v>1</v>
      </c>
      <c r="H262" s="19">
        <v>9</v>
      </c>
      <c r="I262" s="19"/>
      <c r="J262" s="19">
        <v>100</v>
      </c>
      <c r="K262" s="19"/>
      <c r="L262" s="20">
        <f t="shared" si="40"/>
        <v>9</v>
      </c>
      <c r="M262" s="21">
        <f t="shared" si="44"/>
        <v>9</v>
      </c>
      <c r="N262" s="22">
        <f t="shared" si="45"/>
        <v>9</v>
      </c>
      <c r="O262" s="22">
        <f t="shared" si="46"/>
        <v>0</v>
      </c>
      <c r="P262" s="20">
        <f t="shared" si="48"/>
        <v>0</v>
      </c>
      <c r="Q262" s="23">
        <f t="shared" si="41"/>
        <v>100</v>
      </c>
      <c r="R262" s="20">
        <f t="shared" si="42"/>
        <v>100</v>
      </c>
      <c r="S262" s="20">
        <f t="shared" si="38"/>
        <v>100</v>
      </c>
      <c r="T262" s="18">
        <f t="shared" si="49"/>
        <v>900</v>
      </c>
      <c r="U262" s="24"/>
      <c r="V262" s="25">
        <f t="shared" si="47"/>
        <v>0</v>
      </c>
    </row>
    <row r="263" spans="1:22" ht="24" customHeight="1">
      <c r="A263" s="14"/>
      <c r="B263" s="15"/>
      <c r="C263" s="16"/>
      <c r="D263" s="16">
        <v>260</v>
      </c>
      <c r="E263" s="16" t="s">
        <v>335</v>
      </c>
      <c r="F263" s="17" t="s">
        <v>24</v>
      </c>
      <c r="G263" s="18">
        <v>1</v>
      </c>
      <c r="H263" s="19">
        <v>5</v>
      </c>
      <c r="I263" s="19"/>
      <c r="J263" s="19">
        <v>200</v>
      </c>
      <c r="K263" s="19"/>
      <c r="L263" s="20">
        <f t="shared" si="40"/>
        <v>5</v>
      </c>
      <c r="M263" s="21">
        <f t="shared" si="44"/>
        <v>5</v>
      </c>
      <c r="N263" s="22">
        <f t="shared" si="45"/>
        <v>5</v>
      </c>
      <c r="O263" s="22">
        <f t="shared" si="46"/>
        <v>0</v>
      </c>
      <c r="P263" s="20">
        <f t="shared" si="48"/>
        <v>0</v>
      </c>
      <c r="Q263" s="23">
        <f t="shared" si="41"/>
        <v>200</v>
      </c>
      <c r="R263" s="20">
        <f t="shared" si="42"/>
        <v>200</v>
      </c>
      <c r="S263" s="20">
        <f t="shared" si="38"/>
        <v>200</v>
      </c>
      <c r="T263" s="18">
        <f t="shared" si="49"/>
        <v>1000</v>
      </c>
      <c r="U263" s="24"/>
      <c r="V263" s="25">
        <f t="shared" si="47"/>
        <v>0</v>
      </c>
    </row>
    <row r="264" spans="1:22" ht="24" customHeight="1">
      <c r="A264" s="14"/>
      <c r="B264" s="15"/>
      <c r="C264" s="16"/>
      <c r="D264" s="16">
        <v>261</v>
      </c>
      <c r="E264" s="16" t="s">
        <v>336</v>
      </c>
      <c r="F264" s="17" t="s">
        <v>24</v>
      </c>
      <c r="G264" s="18">
        <v>1</v>
      </c>
      <c r="H264" s="19">
        <v>12</v>
      </c>
      <c r="I264" s="19"/>
      <c r="J264" s="19">
        <v>200</v>
      </c>
      <c r="K264" s="19"/>
      <c r="L264" s="20">
        <f t="shared" si="40"/>
        <v>12</v>
      </c>
      <c r="M264" s="21">
        <f t="shared" si="44"/>
        <v>12</v>
      </c>
      <c r="N264" s="22">
        <f t="shared" si="45"/>
        <v>12</v>
      </c>
      <c r="O264" s="22">
        <f t="shared" si="46"/>
        <v>0</v>
      </c>
      <c r="P264" s="20">
        <f t="shared" si="48"/>
        <v>0</v>
      </c>
      <c r="Q264" s="23">
        <f t="shared" si="41"/>
        <v>200</v>
      </c>
      <c r="R264" s="20">
        <f t="shared" si="42"/>
        <v>200</v>
      </c>
      <c r="S264" s="20">
        <f t="shared" si="38"/>
        <v>200</v>
      </c>
      <c r="T264" s="18">
        <f t="shared" si="49"/>
        <v>2400</v>
      </c>
      <c r="U264" s="24"/>
      <c r="V264" s="25">
        <f t="shared" si="47"/>
        <v>0</v>
      </c>
    </row>
    <row r="265" spans="1:22" ht="24" customHeight="1">
      <c r="A265" s="14"/>
      <c r="B265" s="15"/>
      <c r="C265" s="16"/>
      <c r="D265" s="16">
        <v>262</v>
      </c>
      <c r="E265" s="16" t="s">
        <v>337</v>
      </c>
      <c r="F265" s="17" t="s">
        <v>24</v>
      </c>
      <c r="G265" s="18">
        <v>1</v>
      </c>
      <c r="H265" s="19">
        <v>4</v>
      </c>
      <c r="I265" s="19"/>
      <c r="J265" s="19">
        <v>150</v>
      </c>
      <c r="K265" s="19"/>
      <c r="L265" s="20">
        <f t="shared" si="40"/>
        <v>4</v>
      </c>
      <c r="M265" s="21">
        <f t="shared" si="44"/>
        <v>4</v>
      </c>
      <c r="N265" s="22">
        <f t="shared" si="45"/>
        <v>4</v>
      </c>
      <c r="O265" s="22">
        <f t="shared" si="46"/>
        <v>0</v>
      </c>
      <c r="P265" s="20">
        <f t="shared" si="48"/>
        <v>0</v>
      </c>
      <c r="Q265" s="23">
        <f t="shared" si="41"/>
        <v>150</v>
      </c>
      <c r="R265" s="20">
        <f t="shared" si="42"/>
        <v>150</v>
      </c>
      <c r="S265" s="20">
        <f t="shared" si="38"/>
        <v>150</v>
      </c>
      <c r="T265" s="18">
        <f t="shared" si="49"/>
        <v>600</v>
      </c>
      <c r="U265" s="24"/>
      <c r="V265" s="25">
        <f t="shared" si="47"/>
        <v>0</v>
      </c>
    </row>
    <row r="266" spans="1:22" ht="24" customHeight="1">
      <c r="A266" s="14"/>
      <c r="B266" s="15"/>
      <c r="C266" s="16"/>
      <c r="D266" s="16">
        <v>263</v>
      </c>
      <c r="E266" s="16" t="s">
        <v>338</v>
      </c>
      <c r="F266" s="17" t="s">
        <v>24</v>
      </c>
      <c r="G266" s="18">
        <v>1</v>
      </c>
      <c r="H266" s="19">
        <v>6</v>
      </c>
      <c r="I266" s="19"/>
      <c r="J266" s="19">
        <v>136</v>
      </c>
      <c r="K266" s="19"/>
      <c r="L266" s="20">
        <f t="shared" si="40"/>
        <v>6</v>
      </c>
      <c r="M266" s="21">
        <f t="shared" si="44"/>
        <v>6</v>
      </c>
      <c r="N266" s="22">
        <f t="shared" si="45"/>
        <v>6</v>
      </c>
      <c r="O266" s="22">
        <f t="shared" si="46"/>
        <v>0</v>
      </c>
      <c r="P266" s="20">
        <f t="shared" si="48"/>
        <v>0</v>
      </c>
      <c r="Q266" s="23">
        <f t="shared" si="41"/>
        <v>136</v>
      </c>
      <c r="R266" s="20">
        <f t="shared" si="42"/>
        <v>136</v>
      </c>
      <c r="S266" s="20">
        <f t="shared" si="38"/>
        <v>136</v>
      </c>
      <c r="T266" s="18">
        <f t="shared" si="49"/>
        <v>816</v>
      </c>
      <c r="U266" s="24"/>
      <c r="V266" s="25">
        <f t="shared" si="47"/>
        <v>0</v>
      </c>
    </row>
    <row r="267" spans="1:22" ht="24" customHeight="1">
      <c r="A267" s="14"/>
      <c r="B267" s="15"/>
      <c r="C267" s="16"/>
      <c r="D267" s="16">
        <v>264</v>
      </c>
      <c r="E267" s="16" t="s">
        <v>156</v>
      </c>
      <c r="F267" s="17" t="s">
        <v>24</v>
      </c>
      <c r="G267" s="18">
        <v>1</v>
      </c>
      <c r="H267" s="19">
        <v>15</v>
      </c>
      <c r="I267" s="19"/>
      <c r="J267" s="19">
        <v>150</v>
      </c>
      <c r="K267" s="19"/>
      <c r="L267" s="20">
        <f t="shared" si="40"/>
        <v>15</v>
      </c>
      <c r="M267" s="21">
        <f t="shared" si="44"/>
        <v>15</v>
      </c>
      <c r="N267" s="22">
        <f t="shared" si="45"/>
        <v>15</v>
      </c>
      <c r="O267" s="22">
        <f t="shared" si="46"/>
        <v>0</v>
      </c>
      <c r="P267" s="20">
        <f t="shared" si="48"/>
        <v>0</v>
      </c>
      <c r="Q267" s="23">
        <f t="shared" si="41"/>
        <v>150</v>
      </c>
      <c r="R267" s="20">
        <f t="shared" si="42"/>
        <v>150</v>
      </c>
      <c r="S267" s="20">
        <f t="shared" si="38"/>
        <v>150</v>
      </c>
      <c r="T267" s="18">
        <f t="shared" si="49"/>
        <v>2250</v>
      </c>
      <c r="U267" s="24"/>
      <c r="V267" s="25">
        <f t="shared" si="47"/>
        <v>0</v>
      </c>
    </row>
    <row r="268" spans="1:22" ht="24" customHeight="1">
      <c r="A268" s="14"/>
      <c r="B268" s="15"/>
      <c r="C268" s="16"/>
      <c r="D268" s="16">
        <v>265</v>
      </c>
      <c r="E268" s="16" t="s">
        <v>339</v>
      </c>
      <c r="F268" s="17" t="s">
        <v>24</v>
      </c>
      <c r="G268" s="18">
        <v>1</v>
      </c>
      <c r="H268" s="19">
        <v>8</v>
      </c>
      <c r="I268" s="19"/>
      <c r="J268" s="19">
        <v>200</v>
      </c>
      <c r="K268" s="19"/>
      <c r="L268" s="20">
        <f t="shared" si="40"/>
        <v>8</v>
      </c>
      <c r="M268" s="21">
        <f t="shared" si="44"/>
        <v>8</v>
      </c>
      <c r="N268" s="22">
        <f t="shared" si="45"/>
        <v>8</v>
      </c>
      <c r="O268" s="22">
        <f t="shared" si="46"/>
        <v>0</v>
      </c>
      <c r="P268" s="20">
        <f t="shared" si="48"/>
        <v>0</v>
      </c>
      <c r="Q268" s="23">
        <f t="shared" si="41"/>
        <v>200</v>
      </c>
      <c r="R268" s="20">
        <f t="shared" si="42"/>
        <v>200</v>
      </c>
      <c r="S268" s="20">
        <f t="shared" si="38"/>
        <v>200</v>
      </c>
      <c r="T268" s="18">
        <f t="shared" si="49"/>
        <v>1600</v>
      </c>
      <c r="U268" s="24"/>
      <c r="V268" s="25">
        <f t="shared" si="47"/>
        <v>0</v>
      </c>
    </row>
    <row r="269" spans="1:22" ht="24" customHeight="1">
      <c r="A269" s="14"/>
      <c r="B269" s="15"/>
      <c r="C269" s="16"/>
      <c r="D269" s="16">
        <v>266</v>
      </c>
      <c r="E269" s="16" t="s">
        <v>340</v>
      </c>
      <c r="F269" s="17" t="s">
        <v>24</v>
      </c>
      <c r="G269" s="18">
        <v>1</v>
      </c>
      <c r="H269" s="19">
        <v>64</v>
      </c>
      <c r="I269" s="19"/>
      <c r="J269" s="19">
        <v>110</v>
      </c>
      <c r="K269" s="19"/>
      <c r="L269" s="20">
        <f t="shared" si="40"/>
        <v>64</v>
      </c>
      <c r="M269" s="21">
        <f t="shared" si="44"/>
        <v>64</v>
      </c>
      <c r="N269" s="22">
        <f t="shared" si="45"/>
        <v>64</v>
      </c>
      <c r="O269" s="22">
        <f t="shared" si="46"/>
        <v>0</v>
      </c>
      <c r="P269" s="20">
        <f t="shared" si="48"/>
        <v>0</v>
      </c>
      <c r="Q269" s="23">
        <f t="shared" si="41"/>
        <v>110</v>
      </c>
      <c r="R269" s="20">
        <f t="shared" si="42"/>
        <v>110</v>
      </c>
      <c r="S269" s="20">
        <f t="shared" si="38"/>
        <v>110</v>
      </c>
      <c r="T269" s="18">
        <f t="shared" si="49"/>
        <v>7040</v>
      </c>
      <c r="U269" s="24"/>
      <c r="V269" s="25">
        <f t="shared" si="47"/>
        <v>0</v>
      </c>
    </row>
    <row r="270" spans="1:22" ht="24" customHeight="1">
      <c r="A270" s="14"/>
      <c r="B270" s="15"/>
      <c r="C270" s="16"/>
      <c r="D270" s="16">
        <v>267</v>
      </c>
      <c r="E270" s="16" t="s">
        <v>67</v>
      </c>
      <c r="F270" s="17" t="s">
        <v>24</v>
      </c>
      <c r="G270" s="18">
        <v>1</v>
      </c>
      <c r="H270" s="19">
        <v>2</v>
      </c>
      <c r="I270" s="19"/>
      <c r="J270" s="19">
        <v>170</v>
      </c>
      <c r="K270" s="19"/>
      <c r="L270" s="20">
        <f t="shared" si="40"/>
        <v>2</v>
      </c>
      <c r="M270" s="21">
        <f t="shared" si="44"/>
        <v>2</v>
      </c>
      <c r="N270" s="22">
        <f t="shared" si="45"/>
        <v>2</v>
      </c>
      <c r="O270" s="22">
        <f t="shared" si="46"/>
        <v>0</v>
      </c>
      <c r="P270" s="20">
        <f t="shared" si="48"/>
        <v>0</v>
      </c>
      <c r="Q270" s="23">
        <f t="shared" si="41"/>
        <v>170</v>
      </c>
      <c r="R270" s="20">
        <f t="shared" si="42"/>
        <v>170</v>
      </c>
      <c r="S270" s="20">
        <f t="shared" si="38"/>
        <v>170</v>
      </c>
      <c r="T270" s="18">
        <f t="shared" si="49"/>
        <v>340</v>
      </c>
      <c r="U270" s="24"/>
      <c r="V270" s="25">
        <f t="shared" si="47"/>
        <v>0</v>
      </c>
    </row>
    <row r="271" spans="1:22" ht="24" customHeight="1">
      <c r="A271" s="14"/>
      <c r="B271" s="15"/>
      <c r="C271" s="16"/>
      <c r="D271" s="16">
        <v>268</v>
      </c>
      <c r="E271" s="16" t="s">
        <v>341</v>
      </c>
      <c r="F271" s="17" t="s">
        <v>24</v>
      </c>
      <c r="G271" s="18">
        <v>1</v>
      </c>
      <c r="H271" s="19">
        <v>2</v>
      </c>
      <c r="I271" s="19"/>
      <c r="J271" s="19">
        <v>100</v>
      </c>
      <c r="K271" s="19"/>
      <c r="L271" s="20">
        <f t="shared" si="40"/>
        <v>2</v>
      </c>
      <c r="M271" s="21">
        <f t="shared" si="44"/>
        <v>2</v>
      </c>
      <c r="N271" s="22">
        <f t="shared" si="45"/>
        <v>2</v>
      </c>
      <c r="O271" s="22">
        <f t="shared" si="46"/>
        <v>0</v>
      </c>
      <c r="P271" s="20">
        <f t="shared" si="48"/>
        <v>0</v>
      </c>
      <c r="Q271" s="23">
        <f t="shared" si="41"/>
        <v>100</v>
      </c>
      <c r="R271" s="20">
        <f t="shared" si="42"/>
        <v>100</v>
      </c>
      <c r="S271" s="20">
        <f t="shared" si="38"/>
        <v>100</v>
      </c>
      <c r="T271" s="18">
        <f t="shared" si="49"/>
        <v>200</v>
      </c>
      <c r="U271" s="24"/>
      <c r="V271" s="25">
        <f t="shared" si="47"/>
        <v>0</v>
      </c>
    </row>
    <row r="272" spans="1:22" ht="24" customHeight="1">
      <c r="A272" s="14"/>
      <c r="B272" s="15"/>
      <c r="C272" s="16"/>
      <c r="D272" s="16">
        <v>269</v>
      </c>
      <c r="E272" s="16" t="s">
        <v>342</v>
      </c>
      <c r="F272" s="17" t="s">
        <v>24</v>
      </c>
      <c r="G272" s="18">
        <v>1</v>
      </c>
      <c r="H272" s="19">
        <v>6</v>
      </c>
      <c r="I272" s="19"/>
      <c r="J272" s="19">
        <v>200</v>
      </c>
      <c r="K272" s="19"/>
      <c r="L272" s="20">
        <f t="shared" si="40"/>
        <v>6</v>
      </c>
      <c r="M272" s="21">
        <f t="shared" si="44"/>
        <v>6</v>
      </c>
      <c r="N272" s="22">
        <f t="shared" si="45"/>
        <v>6</v>
      </c>
      <c r="O272" s="22">
        <f t="shared" si="46"/>
        <v>0</v>
      </c>
      <c r="P272" s="20">
        <f t="shared" si="48"/>
        <v>0</v>
      </c>
      <c r="Q272" s="23">
        <f t="shared" si="41"/>
        <v>200</v>
      </c>
      <c r="R272" s="20">
        <f t="shared" si="42"/>
        <v>200</v>
      </c>
      <c r="S272" s="20">
        <f t="shared" si="38"/>
        <v>200</v>
      </c>
      <c r="T272" s="18">
        <f t="shared" si="49"/>
        <v>1200</v>
      </c>
      <c r="U272" s="24"/>
      <c r="V272" s="25">
        <f t="shared" si="47"/>
        <v>0</v>
      </c>
    </row>
    <row r="273" spans="1:22" ht="24" customHeight="1">
      <c r="A273" s="14"/>
      <c r="B273" s="15"/>
      <c r="C273" s="16"/>
      <c r="D273" s="16">
        <v>270</v>
      </c>
      <c r="E273" s="16" t="s">
        <v>343</v>
      </c>
      <c r="F273" s="17" t="s">
        <v>24</v>
      </c>
      <c r="G273" s="18">
        <v>1</v>
      </c>
      <c r="H273" s="19">
        <v>6</v>
      </c>
      <c r="I273" s="19"/>
      <c r="J273" s="19">
        <v>100</v>
      </c>
      <c r="K273" s="19"/>
      <c r="L273" s="20">
        <f t="shared" si="40"/>
        <v>6</v>
      </c>
      <c r="M273" s="21">
        <f t="shared" si="44"/>
        <v>6</v>
      </c>
      <c r="N273" s="22">
        <f t="shared" si="45"/>
        <v>6</v>
      </c>
      <c r="O273" s="22">
        <f t="shared" si="46"/>
        <v>0</v>
      </c>
      <c r="P273" s="20">
        <f t="shared" si="48"/>
        <v>0</v>
      </c>
      <c r="Q273" s="23">
        <f t="shared" si="41"/>
        <v>100</v>
      </c>
      <c r="R273" s="20">
        <f t="shared" si="42"/>
        <v>100</v>
      </c>
      <c r="S273" s="20">
        <f t="shared" si="38"/>
        <v>100</v>
      </c>
      <c r="T273" s="18">
        <f t="shared" si="49"/>
        <v>600</v>
      </c>
      <c r="U273" s="24"/>
      <c r="V273" s="25">
        <f t="shared" si="47"/>
        <v>0</v>
      </c>
    </row>
    <row r="274" spans="1:22" ht="24" customHeight="1">
      <c r="A274" s="14"/>
      <c r="B274" s="15"/>
      <c r="C274" s="16"/>
      <c r="D274" s="16">
        <v>271</v>
      </c>
      <c r="E274" s="16" t="s">
        <v>344</v>
      </c>
      <c r="F274" s="17" t="s">
        <v>24</v>
      </c>
      <c r="G274" s="18">
        <v>1</v>
      </c>
      <c r="H274" s="19">
        <v>7</v>
      </c>
      <c r="I274" s="19"/>
      <c r="J274" s="19">
        <v>150</v>
      </c>
      <c r="K274" s="19"/>
      <c r="L274" s="20">
        <f t="shared" si="40"/>
        <v>7</v>
      </c>
      <c r="M274" s="21">
        <f t="shared" si="44"/>
        <v>7</v>
      </c>
      <c r="N274" s="22">
        <f t="shared" si="45"/>
        <v>7</v>
      </c>
      <c r="O274" s="22">
        <f t="shared" si="46"/>
        <v>0</v>
      </c>
      <c r="P274" s="20">
        <f t="shared" si="48"/>
        <v>0</v>
      </c>
      <c r="Q274" s="23">
        <f t="shared" si="41"/>
        <v>150</v>
      </c>
      <c r="R274" s="20">
        <f t="shared" si="42"/>
        <v>150</v>
      </c>
      <c r="S274" s="20">
        <f t="shared" si="38"/>
        <v>150</v>
      </c>
      <c r="T274" s="18">
        <f t="shared" si="49"/>
        <v>1050</v>
      </c>
      <c r="U274" s="24"/>
      <c r="V274" s="25">
        <f t="shared" si="47"/>
        <v>0</v>
      </c>
    </row>
    <row r="275" spans="1:22" ht="24" customHeight="1">
      <c r="A275" s="14"/>
      <c r="B275" s="15"/>
      <c r="C275" s="16"/>
      <c r="D275" s="16">
        <v>272</v>
      </c>
      <c r="E275" s="16" t="s">
        <v>155</v>
      </c>
      <c r="F275" s="17" t="s">
        <v>24</v>
      </c>
      <c r="G275" s="18">
        <v>1</v>
      </c>
      <c r="H275" s="19">
        <v>8</v>
      </c>
      <c r="I275" s="19"/>
      <c r="J275" s="19">
        <v>200</v>
      </c>
      <c r="K275" s="19"/>
      <c r="L275" s="20">
        <f t="shared" si="40"/>
        <v>8</v>
      </c>
      <c r="M275" s="21">
        <f t="shared" si="44"/>
        <v>8</v>
      </c>
      <c r="N275" s="22">
        <f t="shared" si="45"/>
        <v>8</v>
      </c>
      <c r="O275" s="22">
        <f t="shared" si="46"/>
        <v>0</v>
      </c>
      <c r="P275" s="20">
        <f t="shared" si="48"/>
        <v>0</v>
      </c>
      <c r="Q275" s="23">
        <f t="shared" si="41"/>
        <v>200</v>
      </c>
      <c r="R275" s="20">
        <f t="shared" si="42"/>
        <v>200</v>
      </c>
      <c r="S275" s="20">
        <f t="shared" si="38"/>
        <v>200</v>
      </c>
      <c r="T275" s="18">
        <f t="shared" si="49"/>
        <v>1600</v>
      </c>
      <c r="U275" s="24"/>
      <c r="V275" s="25">
        <f t="shared" si="47"/>
        <v>0</v>
      </c>
    </row>
    <row r="276" spans="1:22" ht="24" customHeight="1">
      <c r="A276" s="14"/>
      <c r="B276" s="15"/>
      <c r="C276" s="16"/>
      <c r="D276" s="16">
        <v>273</v>
      </c>
      <c r="E276" s="16" t="s">
        <v>345</v>
      </c>
      <c r="F276" s="17" t="s">
        <v>24</v>
      </c>
      <c r="G276" s="18">
        <v>1</v>
      </c>
      <c r="H276" s="19">
        <v>6</v>
      </c>
      <c r="I276" s="19"/>
      <c r="J276" s="19">
        <v>170</v>
      </c>
      <c r="K276" s="19"/>
      <c r="L276" s="20">
        <f t="shared" si="40"/>
        <v>6</v>
      </c>
      <c r="M276" s="21">
        <f t="shared" si="44"/>
        <v>6</v>
      </c>
      <c r="N276" s="22">
        <f t="shared" si="45"/>
        <v>6</v>
      </c>
      <c r="O276" s="22">
        <f t="shared" si="46"/>
        <v>0</v>
      </c>
      <c r="P276" s="20">
        <f t="shared" si="48"/>
        <v>0</v>
      </c>
      <c r="Q276" s="23">
        <f t="shared" si="41"/>
        <v>170</v>
      </c>
      <c r="R276" s="20">
        <f t="shared" si="42"/>
        <v>170</v>
      </c>
      <c r="S276" s="20">
        <f t="shared" si="38"/>
        <v>170</v>
      </c>
      <c r="T276" s="18">
        <f t="shared" si="49"/>
        <v>1020</v>
      </c>
      <c r="U276" s="24"/>
      <c r="V276" s="25">
        <f t="shared" si="47"/>
        <v>0</v>
      </c>
    </row>
    <row r="277" spans="1:22" ht="24" customHeight="1">
      <c r="A277" s="14"/>
      <c r="B277" s="15"/>
      <c r="C277" s="16"/>
      <c r="D277" s="16">
        <v>274</v>
      </c>
      <c r="E277" s="16" t="s">
        <v>346</v>
      </c>
      <c r="F277" s="17" t="s">
        <v>24</v>
      </c>
      <c r="G277" s="18">
        <v>1</v>
      </c>
      <c r="H277" s="19">
        <v>3</v>
      </c>
      <c r="I277" s="19"/>
      <c r="J277" s="19">
        <v>200</v>
      </c>
      <c r="K277" s="19"/>
      <c r="L277" s="20">
        <f t="shared" si="40"/>
        <v>3</v>
      </c>
      <c r="M277" s="21">
        <f t="shared" si="44"/>
        <v>3</v>
      </c>
      <c r="N277" s="22">
        <f t="shared" si="45"/>
        <v>3</v>
      </c>
      <c r="O277" s="22">
        <f t="shared" si="46"/>
        <v>0</v>
      </c>
      <c r="P277" s="20">
        <f t="shared" si="48"/>
        <v>0</v>
      </c>
      <c r="Q277" s="23">
        <f t="shared" si="41"/>
        <v>200</v>
      </c>
      <c r="R277" s="20">
        <f t="shared" si="42"/>
        <v>200</v>
      </c>
      <c r="S277" s="20">
        <f t="shared" si="38"/>
        <v>200</v>
      </c>
      <c r="T277" s="18">
        <f t="shared" si="49"/>
        <v>600</v>
      </c>
      <c r="U277" s="24"/>
      <c r="V277" s="25">
        <f t="shared" si="47"/>
        <v>0</v>
      </c>
    </row>
    <row r="278" spans="1:22" ht="24" customHeight="1">
      <c r="A278" s="14"/>
      <c r="B278" s="15"/>
      <c r="C278" s="16"/>
      <c r="D278" s="16">
        <v>275</v>
      </c>
      <c r="E278" s="16" t="s">
        <v>347</v>
      </c>
      <c r="F278" s="17" t="s">
        <v>24</v>
      </c>
      <c r="G278" s="18">
        <v>1</v>
      </c>
      <c r="H278" s="19">
        <v>2</v>
      </c>
      <c r="I278" s="19"/>
      <c r="J278" s="19">
        <v>250</v>
      </c>
      <c r="K278" s="19"/>
      <c r="L278" s="20">
        <f t="shared" si="40"/>
        <v>2</v>
      </c>
      <c r="M278" s="21">
        <f t="shared" si="44"/>
        <v>2</v>
      </c>
      <c r="N278" s="22">
        <f t="shared" si="45"/>
        <v>2</v>
      </c>
      <c r="O278" s="22">
        <f t="shared" si="46"/>
        <v>0</v>
      </c>
      <c r="P278" s="20">
        <f t="shared" si="48"/>
        <v>0</v>
      </c>
      <c r="Q278" s="23">
        <f t="shared" si="41"/>
        <v>250</v>
      </c>
      <c r="R278" s="20">
        <f t="shared" si="42"/>
        <v>250</v>
      </c>
      <c r="S278" s="20">
        <f t="shared" si="42"/>
        <v>250</v>
      </c>
      <c r="T278" s="18">
        <f t="shared" si="49"/>
        <v>500</v>
      </c>
      <c r="U278" s="24"/>
      <c r="V278" s="25">
        <f t="shared" si="47"/>
        <v>0</v>
      </c>
    </row>
    <row r="279" spans="1:22" ht="24" customHeight="1">
      <c r="A279" s="14"/>
      <c r="B279" s="15"/>
      <c r="C279" s="16"/>
      <c r="D279" s="16">
        <v>276</v>
      </c>
      <c r="E279" s="16" t="s">
        <v>348</v>
      </c>
      <c r="F279" s="17" t="s">
        <v>24</v>
      </c>
      <c r="G279" s="18">
        <v>1</v>
      </c>
      <c r="H279" s="19">
        <v>1</v>
      </c>
      <c r="I279" s="19"/>
      <c r="J279" s="19">
        <v>400</v>
      </c>
      <c r="K279" s="19"/>
      <c r="L279" s="20">
        <f t="shared" si="40"/>
        <v>1</v>
      </c>
      <c r="M279" s="21">
        <f t="shared" si="44"/>
        <v>1</v>
      </c>
      <c r="N279" s="22">
        <f t="shared" si="45"/>
        <v>1</v>
      </c>
      <c r="O279" s="22">
        <f t="shared" si="46"/>
        <v>0</v>
      </c>
      <c r="P279" s="20">
        <f t="shared" si="48"/>
        <v>0</v>
      </c>
      <c r="Q279" s="23">
        <f t="shared" si="41"/>
        <v>400</v>
      </c>
      <c r="R279" s="20">
        <f t="shared" si="42"/>
        <v>400</v>
      </c>
      <c r="S279" s="20">
        <f t="shared" si="42"/>
        <v>400</v>
      </c>
      <c r="T279" s="18">
        <f t="shared" si="49"/>
        <v>400</v>
      </c>
      <c r="U279" s="24"/>
      <c r="V279" s="25">
        <f t="shared" si="47"/>
        <v>0</v>
      </c>
    </row>
    <row r="280" spans="1:22" ht="24" customHeight="1">
      <c r="A280" s="14"/>
      <c r="B280" s="15"/>
      <c r="C280" s="16"/>
      <c r="D280" s="16">
        <v>277</v>
      </c>
      <c r="E280" s="16" t="s">
        <v>349</v>
      </c>
      <c r="F280" s="17" t="s">
        <v>24</v>
      </c>
      <c r="G280" s="18">
        <v>1</v>
      </c>
      <c r="H280" s="19">
        <v>3</v>
      </c>
      <c r="I280" s="19"/>
      <c r="J280" s="19">
        <v>100</v>
      </c>
      <c r="K280" s="19"/>
      <c r="L280" s="20">
        <f t="shared" si="40"/>
        <v>3</v>
      </c>
      <c r="M280" s="21">
        <f t="shared" si="44"/>
        <v>3</v>
      </c>
      <c r="N280" s="22">
        <f t="shared" si="45"/>
        <v>3</v>
      </c>
      <c r="O280" s="22">
        <f t="shared" si="46"/>
        <v>0</v>
      </c>
      <c r="P280" s="20">
        <f t="shared" si="48"/>
        <v>0</v>
      </c>
      <c r="Q280" s="23">
        <f t="shared" si="41"/>
        <v>100</v>
      </c>
      <c r="R280" s="20">
        <f t="shared" si="42"/>
        <v>100</v>
      </c>
      <c r="S280" s="20">
        <f t="shared" si="42"/>
        <v>100</v>
      </c>
      <c r="T280" s="18">
        <f t="shared" si="49"/>
        <v>300</v>
      </c>
      <c r="U280" s="24"/>
      <c r="V280" s="25">
        <f t="shared" si="47"/>
        <v>0</v>
      </c>
    </row>
    <row r="281" spans="1:22" ht="24" customHeight="1">
      <c r="A281" s="14"/>
      <c r="B281" s="15"/>
      <c r="C281" s="16"/>
      <c r="D281" s="16">
        <v>278</v>
      </c>
      <c r="E281" s="16" t="s">
        <v>385</v>
      </c>
      <c r="F281" s="17" t="s">
        <v>24</v>
      </c>
      <c r="G281" s="18">
        <v>1</v>
      </c>
      <c r="H281" s="19">
        <v>6</v>
      </c>
      <c r="I281" s="19"/>
      <c r="J281" s="19">
        <v>160</v>
      </c>
      <c r="K281" s="19"/>
      <c r="L281" s="20">
        <f t="shared" si="40"/>
        <v>6</v>
      </c>
      <c r="M281" s="21">
        <f t="shared" si="44"/>
        <v>6</v>
      </c>
      <c r="N281" s="22">
        <f t="shared" si="45"/>
        <v>6</v>
      </c>
      <c r="O281" s="22">
        <f t="shared" si="46"/>
        <v>0</v>
      </c>
      <c r="P281" s="20">
        <f t="shared" si="48"/>
        <v>0</v>
      </c>
      <c r="Q281" s="23">
        <f t="shared" si="41"/>
        <v>160</v>
      </c>
      <c r="R281" s="20">
        <f t="shared" si="42"/>
        <v>160</v>
      </c>
      <c r="S281" s="20">
        <f t="shared" si="42"/>
        <v>160</v>
      </c>
      <c r="T281" s="18">
        <f t="shared" si="49"/>
        <v>960</v>
      </c>
      <c r="U281" s="24"/>
      <c r="V281" s="25">
        <f t="shared" si="47"/>
        <v>0</v>
      </c>
    </row>
    <row r="282" spans="1:22" ht="24" customHeight="1">
      <c r="A282" s="14"/>
      <c r="B282" s="15"/>
      <c r="C282" s="16"/>
      <c r="D282" s="16">
        <v>279</v>
      </c>
      <c r="E282" s="16" t="s">
        <v>350</v>
      </c>
      <c r="F282" s="17" t="s">
        <v>24</v>
      </c>
      <c r="G282" s="18">
        <v>1</v>
      </c>
      <c r="H282" s="19">
        <v>4</v>
      </c>
      <c r="I282" s="19"/>
      <c r="J282" s="19">
        <v>150</v>
      </c>
      <c r="K282" s="19"/>
      <c r="L282" s="20">
        <f t="shared" si="40"/>
        <v>4</v>
      </c>
      <c r="M282" s="21">
        <f t="shared" si="44"/>
        <v>4</v>
      </c>
      <c r="N282" s="22">
        <f t="shared" si="45"/>
        <v>4</v>
      </c>
      <c r="O282" s="22">
        <f t="shared" si="46"/>
        <v>0</v>
      </c>
      <c r="P282" s="20">
        <f t="shared" si="48"/>
        <v>0</v>
      </c>
      <c r="Q282" s="23">
        <f t="shared" si="41"/>
        <v>150</v>
      </c>
      <c r="R282" s="20">
        <f t="shared" si="42"/>
        <v>150</v>
      </c>
      <c r="S282" s="20">
        <f t="shared" si="42"/>
        <v>150</v>
      </c>
      <c r="T282" s="18">
        <f t="shared" si="49"/>
        <v>600</v>
      </c>
      <c r="U282" s="24"/>
      <c r="V282" s="25">
        <f t="shared" si="47"/>
        <v>0</v>
      </c>
    </row>
    <row r="283" spans="1:22" ht="24" customHeight="1">
      <c r="A283" s="14"/>
      <c r="B283" s="15"/>
      <c r="C283" s="16"/>
      <c r="D283" s="16">
        <v>280</v>
      </c>
      <c r="E283" s="16" t="s">
        <v>351</v>
      </c>
      <c r="F283" s="17" t="s">
        <v>24</v>
      </c>
      <c r="G283" s="18">
        <v>1</v>
      </c>
      <c r="H283" s="19">
        <v>4</v>
      </c>
      <c r="I283" s="19"/>
      <c r="J283" s="19">
        <v>170</v>
      </c>
      <c r="K283" s="19"/>
      <c r="L283" s="20">
        <f t="shared" si="40"/>
        <v>4</v>
      </c>
      <c r="M283" s="21">
        <f t="shared" si="44"/>
        <v>4</v>
      </c>
      <c r="N283" s="22">
        <f t="shared" si="45"/>
        <v>4</v>
      </c>
      <c r="O283" s="22">
        <f t="shared" si="46"/>
        <v>0</v>
      </c>
      <c r="P283" s="20">
        <f t="shared" si="48"/>
        <v>0</v>
      </c>
      <c r="Q283" s="23">
        <f t="shared" si="41"/>
        <v>170</v>
      </c>
      <c r="R283" s="20">
        <f t="shared" si="42"/>
        <v>170</v>
      </c>
      <c r="S283" s="20">
        <f t="shared" si="42"/>
        <v>170</v>
      </c>
      <c r="T283" s="18">
        <f t="shared" si="49"/>
        <v>680</v>
      </c>
      <c r="U283" s="24"/>
      <c r="V283" s="25">
        <f t="shared" si="47"/>
        <v>0</v>
      </c>
    </row>
    <row r="284" spans="1:22" ht="24" customHeight="1">
      <c r="A284" s="14"/>
      <c r="B284" s="15"/>
      <c r="C284" s="16"/>
      <c r="D284" s="16">
        <v>281</v>
      </c>
      <c r="E284" s="16" t="s">
        <v>352</v>
      </c>
      <c r="F284" s="17" t="s">
        <v>24</v>
      </c>
      <c r="G284" s="18">
        <v>1</v>
      </c>
      <c r="H284" s="19">
        <v>1</v>
      </c>
      <c r="I284" s="19"/>
      <c r="J284" s="19">
        <v>500</v>
      </c>
      <c r="K284" s="19"/>
      <c r="L284" s="20">
        <f t="shared" si="40"/>
        <v>1</v>
      </c>
      <c r="M284" s="21">
        <f t="shared" si="44"/>
        <v>1</v>
      </c>
      <c r="N284" s="22">
        <f t="shared" si="45"/>
        <v>1</v>
      </c>
      <c r="O284" s="22">
        <f t="shared" si="46"/>
        <v>0</v>
      </c>
      <c r="P284" s="20">
        <f t="shared" si="48"/>
        <v>0</v>
      </c>
      <c r="Q284" s="23">
        <f t="shared" si="41"/>
        <v>500</v>
      </c>
      <c r="R284" s="20">
        <f t="shared" si="42"/>
        <v>500</v>
      </c>
      <c r="S284" s="20">
        <f t="shared" si="42"/>
        <v>500</v>
      </c>
      <c r="T284" s="18">
        <f t="shared" si="49"/>
        <v>500</v>
      </c>
      <c r="U284" s="24"/>
      <c r="V284" s="25">
        <f t="shared" si="47"/>
        <v>0</v>
      </c>
    </row>
    <row r="285" spans="1:22" ht="24" customHeight="1">
      <c r="A285" s="14"/>
      <c r="B285" s="15"/>
      <c r="C285" s="16"/>
      <c r="D285" s="16">
        <v>282</v>
      </c>
      <c r="E285" s="16" t="s">
        <v>353</v>
      </c>
      <c r="F285" s="17" t="s">
        <v>24</v>
      </c>
      <c r="G285" s="18">
        <v>1</v>
      </c>
      <c r="H285" s="19">
        <v>1</v>
      </c>
      <c r="I285" s="19"/>
      <c r="J285" s="19">
        <v>1100</v>
      </c>
      <c r="K285" s="19"/>
      <c r="L285" s="20">
        <f t="shared" ref="L285:L348" si="50">I285*G285+H285</f>
        <v>1</v>
      </c>
      <c r="M285" s="21">
        <f t="shared" si="44"/>
        <v>1</v>
      </c>
      <c r="N285" s="22">
        <f t="shared" si="45"/>
        <v>1</v>
      </c>
      <c r="O285" s="22">
        <f t="shared" si="46"/>
        <v>0</v>
      </c>
      <c r="P285" s="20">
        <f t="shared" si="48"/>
        <v>0</v>
      </c>
      <c r="Q285" s="23">
        <f t="shared" ref="Q285:Q348" si="51">IFERROR(J285*G285,"")</f>
        <v>1100</v>
      </c>
      <c r="R285" s="20">
        <f t="shared" si="42"/>
        <v>1100</v>
      </c>
      <c r="S285" s="20">
        <f t="shared" si="42"/>
        <v>1100</v>
      </c>
      <c r="T285" s="18">
        <f t="shared" si="49"/>
        <v>1100</v>
      </c>
      <c r="U285" s="24"/>
      <c r="V285" s="25">
        <f t="shared" si="47"/>
        <v>0</v>
      </c>
    </row>
    <row r="286" spans="1:22" ht="24" customHeight="1">
      <c r="A286" s="14"/>
      <c r="B286" s="15"/>
      <c r="C286" s="16"/>
      <c r="D286" s="16">
        <v>283</v>
      </c>
      <c r="E286" s="16" t="s">
        <v>354</v>
      </c>
      <c r="F286" s="17" t="s">
        <v>24</v>
      </c>
      <c r="G286" s="18">
        <v>1</v>
      </c>
      <c r="H286" s="19">
        <v>11</v>
      </c>
      <c r="I286" s="19"/>
      <c r="J286" s="19">
        <v>150</v>
      </c>
      <c r="K286" s="19"/>
      <c r="L286" s="20">
        <f t="shared" si="50"/>
        <v>11</v>
      </c>
      <c r="M286" s="21">
        <f t="shared" si="44"/>
        <v>11</v>
      </c>
      <c r="N286" s="22">
        <f t="shared" si="45"/>
        <v>11</v>
      </c>
      <c r="O286" s="22">
        <f t="shared" si="46"/>
        <v>0</v>
      </c>
      <c r="P286" s="20">
        <f t="shared" si="48"/>
        <v>0</v>
      </c>
      <c r="Q286" s="23">
        <f t="shared" si="51"/>
        <v>150</v>
      </c>
      <c r="R286" s="20">
        <f t="shared" si="42"/>
        <v>150</v>
      </c>
      <c r="S286" s="20">
        <f t="shared" si="42"/>
        <v>150</v>
      </c>
      <c r="T286" s="18">
        <f t="shared" si="49"/>
        <v>1650</v>
      </c>
      <c r="U286" s="24"/>
      <c r="V286" s="25">
        <f t="shared" si="47"/>
        <v>0</v>
      </c>
    </row>
    <row r="287" spans="1:22" ht="24" customHeight="1">
      <c r="A287" s="14"/>
      <c r="B287" s="15"/>
      <c r="C287" s="16"/>
      <c r="D287" s="16">
        <v>284</v>
      </c>
      <c r="E287" s="16" t="s">
        <v>355</v>
      </c>
      <c r="F287" s="17" t="s">
        <v>24</v>
      </c>
      <c r="G287" s="18">
        <v>1</v>
      </c>
      <c r="H287" s="19">
        <v>1</v>
      </c>
      <c r="I287" s="19"/>
      <c r="J287" s="19">
        <v>1200</v>
      </c>
      <c r="K287" s="19"/>
      <c r="L287" s="20">
        <f t="shared" si="50"/>
        <v>1</v>
      </c>
      <c r="M287" s="21">
        <f t="shared" si="44"/>
        <v>1</v>
      </c>
      <c r="N287" s="22">
        <f t="shared" si="45"/>
        <v>1</v>
      </c>
      <c r="O287" s="22">
        <f t="shared" si="46"/>
        <v>0</v>
      </c>
      <c r="P287" s="20">
        <f t="shared" si="48"/>
        <v>0</v>
      </c>
      <c r="Q287" s="23">
        <f t="shared" si="51"/>
        <v>1200</v>
      </c>
      <c r="R287" s="20">
        <f t="shared" si="42"/>
        <v>1200</v>
      </c>
      <c r="S287" s="20">
        <f t="shared" si="42"/>
        <v>1200</v>
      </c>
      <c r="T287" s="18">
        <f t="shared" si="49"/>
        <v>1200</v>
      </c>
      <c r="U287" s="24"/>
      <c r="V287" s="25">
        <f t="shared" si="47"/>
        <v>0</v>
      </c>
    </row>
    <row r="288" spans="1:22" ht="24" customHeight="1">
      <c r="A288" s="14"/>
      <c r="B288" s="15"/>
      <c r="C288" s="16"/>
      <c r="D288" s="16">
        <v>285</v>
      </c>
      <c r="E288" s="16" t="s">
        <v>356</v>
      </c>
      <c r="F288" s="17" t="s">
        <v>24</v>
      </c>
      <c r="G288" s="18">
        <v>1</v>
      </c>
      <c r="H288" s="19">
        <v>6</v>
      </c>
      <c r="I288" s="19"/>
      <c r="J288" s="19">
        <v>25</v>
      </c>
      <c r="K288" s="19"/>
      <c r="L288" s="20">
        <f t="shared" si="50"/>
        <v>6</v>
      </c>
      <c r="M288" s="21">
        <f t="shared" si="44"/>
        <v>6</v>
      </c>
      <c r="N288" s="22">
        <f t="shared" si="45"/>
        <v>6</v>
      </c>
      <c r="O288" s="22">
        <f t="shared" si="46"/>
        <v>0</v>
      </c>
      <c r="P288" s="20">
        <f t="shared" si="48"/>
        <v>0</v>
      </c>
      <c r="Q288" s="23">
        <f t="shared" si="51"/>
        <v>25</v>
      </c>
      <c r="R288" s="20">
        <f t="shared" si="42"/>
        <v>25</v>
      </c>
      <c r="S288" s="20">
        <f t="shared" si="42"/>
        <v>25</v>
      </c>
      <c r="T288" s="18">
        <f t="shared" si="49"/>
        <v>150</v>
      </c>
      <c r="U288" s="24"/>
      <c r="V288" s="25">
        <f t="shared" si="47"/>
        <v>0</v>
      </c>
    </row>
    <row r="289" spans="1:22" ht="24" customHeight="1">
      <c r="A289" s="14"/>
      <c r="B289" s="15"/>
      <c r="C289" s="16"/>
      <c r="D289" s="16">
        <v>286</v>
      </c>
      <c r="E289" s="16" t="s">
        <v>357</v>
      </c>
      <c r="F289" s="17" t="s">
        <v>24</v>
      </c>
      <c r="G289" s="18">
        <v>1</v>
      </c>
      <c r="H289" s="19">
        <v>1</v>
      </c>
      <c r="I289" s="19"/>
      <c r="J289" s="19">
        <v>150</v>
      </c>
      <c r="K289" s="19"/>
      <c r="L289" s="20">
        <f t="shared" si="50"/>
        <v>1</v>
      </c>
      <c r="M289" s="21">
        <f t="shared" si="44"/>
        <v>1</v>
      </c>
      <c r="N289" s="22">
        <f t="shared" si="45"/>
        <v>1</v>
      </c>
      <c r="O289" s="22">
        <f t="shared" si="46"/>
        <v>0</v>
      </c>
      <c r="P289" s="20">
        <f t="shared" si="48"/>
        <v>0</v>
      </c>
      <c r="Q289" s="23">
        <f t="shared" si="51"/>
        <v>150</v>
      </c>
      <c r="R289" s="20">
        <f t="shared" si="42"/>
        <v>150</v>
      </c>
      <c r="S289" s="20">
        <f t="shared" si="42"/>
        <v>150</v>
      </c>
      <c r="T289" s="18">
        <f t="shared" si="49"/>
        <v>150</v>
      </c>
      <c r="U289" s="24"/>
      <c r="V289" s="25">
        <f t="shared" si="47"/>
        <v>0</v>
      </c>
    </row>
    <row r="290" spans="1:22" ht="24" customHeight="1">
      <c r="A290" s="14"/>
      <c r="B290" s="15"/>
      <c r="C290" s="16"/>
      <c r="D290" s="16">
        <v>287</v>
      </c>
      <c r="E290" s="16" t="s">
        <v>358</v>
      </c>
      <c r="F290" s="17" t="s">
        <v>24</v>
      </c>
      <c r="G290" s="18">
        <v>10</v>
      </c>
      <c r="H290" s="19">
        <v>1</v>
      </c>
      <c r="I290" s="19"/>
      <c r="J290" s="19">
        <v>600</v>
      </c>
      <c r="K290" s="19"/>
      <c r="L290" s="20">
        <f t="shared" si="50"/>
        <v>1</v>
      </c>
      <c r="M290" s="21">
        <f t="shared" si="44"/>
        <v>0.1</v>
      </c>
      <c r="N290" s="22">
        <f t="shared" si="45"/>
        <v>1</v>
      </c>
      <c r="O290" s="22">
        <f t="shared" si="46"/>
        <v>0</v>
      </c>
      <c r="P290" s="20">
        <f t="shared" si="48"/>
        <v>0</v>
      </c>
      <c r="Q290" s="23">
        <f t="shared" si="51"/>
        <v>6000</v>
      </c>
      <c r="R290" s="20">
        <f t="shared" si="42"/>
        <v>600</v>
      </c>
      <c r="S290" s="20">
        <f t="shared" si="42"/>
        <v>6000</v>
      </c>
      <c r="T290" s="18">
        <f t="shared" si="49"/>
        <v>600</v>
      </c>
      <c r="U290" s="24"/>
      <c r="V290" s="25">
        <f t="shared" si="47"/>
        <v>0</v>
      </c>
    </row>
    <row r="291" spans="1:22" ht="24" customHeight="1">
      <c r="A291" s="14"/>
      <c r="B291" s="15"/>
      <c r="C291" s="16"/>
      <c r="D291" s="16">
        <v>288</v>
      </c>
      <c r="E291" s="16" t="s">
        <v>359</v>
      </c>
      <c r="F291" s="17" t="s">
        <v>24</v>
      </c>
      <c r="G291" s="18">
        <v>100</v>
      </c>
      <c r="H291" s="19">
        <v>60</v>
      </c>
      <c r="I291" s="19"/>
      <c r="J291" s="19">
        <v>50</v>
      </c>
      <c r="K291" s="19"/>
      <c r="L291" s="20">
        <f t="shared" si="50"/>
        <v>60</v>
      </c>
      <c r="M291" s="21">
        <f t="shared" si="44"/>
        <v>0.6</v>
      </c>
      <c r="N291" s="22">
        <f t="shared" si="45"/>
        <v>60</v>
      </c>
      <c r="O291" s="22">
        <f t="shared" si="46"/>
        <v>0</v>
      </c>
      <c r="P291" s="20">
        <f t="shared" si="48"/>
        <v>0</v>
      </c>
      <c r="Q291" s="23">
        <f t="shared" si="51"/>
        <v>5000</v>
      </c>
      <c r="R291" s="20">
        <f t="shared" si="42"/>
        <v>50</v>
      </c>
      <c r="S291" s="20">
        <f t="shared" si="42"/>
        <v>5000</v>
      </c>
      <c r="T291" s="18">
        <f t="shared" si="49"/>
        <v>3000</v>
      </c>
      <c r="U291" s="24"/>
      <c r="V291" s="25">
        <f t="shared" si="47"/>
        <v>0</v>
      </c>
    </row>
    <row r="292" spans="1:22" ht="24" customHeight="1">
      <c r="A292" s="14"/>
      <c r="B292" s="15"/>
      <c r="C292" s="16"/>
      <c r="D292" s="16">
        <v>289</v>
      </c>
      <c r="E292" s="16" t="s">
        <v>360</v>
      </c>
      <c r="F292" s="17" t="s">
        <v>24</v>
      </c>
      <c r="G292" s="18">
        <v>100</v>
      </c>
      <c r="H292" s="19">
        <v>90</v>
      </c>
      <c r="I292" s="19"/>
      <c r="J292" s="19">
        <v>40</v>
      </c>
      <c r="K292" s="19"/>
      <c r="L292" s="20">
        <f t="shared" si="50"/>
        <v>90</v>
      </c>
      <c r="M292" s="21">
        <f t="shared" si="44"/>
        <v>0.9</v>
      </c>
      <c r="N292" s="22">
        <f t="shared" si="45"/>
        <v>90</v>
      </c>
      <c r="O292" s="22">
        <f t="shared" si="46"/>
        <v>0</v>
      </c>
      <c r="P292" s="20">
        <f t="shared" si="48"/>
        <v>0</v>
      </c>
      <c r="Q292" s="23">
        <f t="shared" si="51"/>
        <v>4000</v>
      </c>
      <c r="R292" s="20">
        <f t="shared" si="42"/>
        <v>40</v>
      </c>
      <c r="S292" s="20">
        <f t="shared" si="42"/>
        <v>4000</v>
      </c>
      <c r="T292" s="18">
        <f t="shared" si="49"/>
        <v>3600</v>
      </c>
      <c r="U292" s="24"/>
      <c r="V292" s="25">
        <f t="shared" si="47"/>
        <v>0</v>
      </c>
    </row>
    <row r="293" spans="1:22" ht="24" customHeight="1">
      <c r="A293" s="14"/>
      <c r="B293" s="15"/>
      <c r="C293" s="16"/>
      <c r="D293" s="16">
        <v>290</v>
      </c>
      <c r="E293" s="16" t="s">
        <v>361</v>
      </c>
      <c r="F293" s="17" t="s">
        <v>24</v>
      </c>
      <c r="G293" s="18">
        <v>50</v>
      </c>
      <c r="H293" s="19">
        <v>6</v>
      </c>
      <c r="I293" s="19"/>
      <c r="J293" s="19">
        <v>70</v>
      </c>
      <c r="K293" s="19"/>
      <c r="L293" s="20">
        <f t="shared" si="50"/>
        <v>6</v>
      </c>
      <c r="M293" s="21">
        <f t="shared" si="44"/>
        <v>0.12</v>
      </c>
      <c r="N293" s="22">
        <f t="shared" si="45"/>
        <v>6</v>
      </c>
      <c r="O293" s="22">
        <f t="shared" si="46"/>
        <v>0</v>
      </c>
      <c r="P293" s="20">
        <f t="shared" si="48"/>
        <v>0</v>
      </c>
      <c r="Q293" s="23">
        <f t="shared" si="51"/>
        <v>3500</v>
      </c>
      <c r="R293" s="20">
        <f t="shared" si="42"/>
        <v>70</v>
      </c>
      <c r="S293" s="20">
        <f t="shared" si="42"/>
        <v>3500</v>
      </c>
      <c r="T293" s="18">
        <f t="shared" si="49"/>
        <v>420</v>
      </c>
      <c r="U293" s="24"/>
      <c r="V293" s="25">
        <f t="shared" si="47"/>
        <v>0</v>
      </c>
    </row>
    <row r="294" spans="1:22" ht="24" customHeight="1">
      <c r="A294" s="14"/>
      <c r="B294" s="15"/>
      <c r="C294" s="16"/>
      <c r="D294" s="16">
        <v>291</v>
      </c>
      <c r="E294" s="16" t="s">
        <v>362</v>
      </c>
      <c r="F294" s="17" t="s">
        <v>24</v>
      </c>
      <c r="G294" s="18">
        <v>100</v>
      </c>
      <c r="H294" s="19">
        <v>25</v>
      </c>
      <c r="I294" s="19">
        <v>1</v>
      </c>
      <c r="J294" s="19">
        <v>40</v>
      </c>
      <c r="K294" s="19"/>
      <c r="L294" s="20">
        <f t="shared" si="50"/>
        <v>125</v>
      </c>
      <c r="M294" s="21">
        <f t="shared" si="44"/>
        <v>1.25</v>
      </c>
      <c r="N294" s="22">
        <f t="shared" si="45"/>
        <v>25</v>
      </c>
      <c r="O294" s="22">
        <f t="shared" si="46"/>
        <v>1</v>
      </c>
      <c r="P294" s="20">
        <f t="shared" si="48"/>
        <v>0</v>
      </c>
      <c r="Q294" s="23">
        <f t="shared" si="51"/>
        <v>4000</v>
      </c>
      <c r="R294" s="20">
        <f t="shared" si="42"/>
        <v>40</v>
      </c>
      <c r="S294" s="20">
        <f t="shared" si="42"/>
        <v>4000</v>
      </c>
      <c r="T294" s="18">
        <f t="shared" si="49"/>
        <v>5000</v>
      </c>
      <c r="U294" s="24"/>
      <c r="V294" s="25">
        <f t="shared" si="47"/>
        <v>0</v>
      </c>
    </row>
    <row r="295" spans="1:22" ht="24" customHeight="1">
      <c r="A295" s="14"/>
      <c r="B295" s="15"/>
      <c r="C295" s="16"/>
      <c r="D295" s="16">
        <v>292</v>
      </c>
      <c r="E295" s="16" t="s">
        <v>363</v>
      </c>
      <c r="F295" s="17" t="s">
        <v>24</v>
      </c>
      <c r="G295" s="18">
        <v>100</v>
      </c>
      <c r="H295" s="19">
        <v>38</v>
      </c>
      <c r="I295" s="19"/>
      <c r="J295" s="19">
        <v>40</v>
      </c>
      <c r="K295" s="19"/>
      <c r="L295" s="20">
        <f t="shared" si="50"/>
        <v>38</v>
      </c>
      <c r="M295" s="21">
        <f t="shared" si="44"/>
        <v>0.38</v>
      </c>
      <c r="N295" s="22">
        <f t="shared" si="45"/>
        <v>38</v>
      </c>
      <c r="O295" s="22">
        <f t="shared" si="46"/>
        <v>0</v>
      </c>
      <c r="P295" s="20">
        <f t="shared" si="48"/>
        <v>0</v>
      </c>
      <c r="Q295" s="23">
        <f t="shared" si="51"/>
        <v>4000</v>
      </c>
      <c r="R295" s="20">
        <f t="shared" si="42"/>
        <v>40</v>
      </c>
      <c r="S295" s="20">
        <f t="shared" si="42"/>
        <v>4000</v>
      </c>
      <c r="T295" s="18">
        <f t="shared" si="49"/>
        <v>1520</v>
      </c>
      <c r="U295" s="24"/>
      <c r="V295" s="25">
        <f t="shared" si="47"/>
        <v>0</v>
      </c>
    </row>
    <row r="296" spans="1:22" ht="24" customHeight="1">
      <c r="A296" s="14"/>
      <c r="B296" s="15"/>
      <c r="C296" s="16"/>
      <c r="D296" s="16">
        <v>293</v>
      </c>
      <c r="E296" s="16" t="s">
        <v>364</v>
      </c>
      <c r="F296" s="17" t="s">
        <v>24</v>
      </c>
      <c r="G296" s="18">
        <v>50</v>
      </c>
      <c r="H296" s="19">
        <v>10</v>
      </c>
      <c r="I296" s="19"/>
      <c r="J296" s="19">
        <v>90</v>
      </c>
      <c r="K296" s="19"/>
      <c r="L296" s="20">
        <f t="shared" si="50"/>
        <v>10</v>
      </c>
      <c r="M296" s="21">
        <f t="shared" si="44"/>
        <v>0.2</v>
      </c>
      <c r="N296" s="22">
        <f t="shared" si="45"/>
        <v>10</v>
      </c>
      <c r="O296" s="22">
        <f t="shared" si="46"/>
        <v>0</v>
      </c>
      <c r="P296" s="20">
        <f t="shared" si="48"/>
        <v>0</v>
      </c>
      <c r="Q296" s="23">
        <f t="shared" si="51"/>
        <v>4500</v>
      </c>
      <c r="R296" s="20">
        <f t="shared" si="42"/>
        <v>90</v>
      </c>
      <c r="S296" s="20">
        <f t="shared" si="42"/>
        <v>4500</v>
      </c>
      <c r="T296" s="18">
        <f t="shared" si="49"/>
        <v>900</v>
      </c>
      <c r="U296" s="24"/>
      <c r="V296" s="25">
        <f t="shared" si="47"/>
        <v>0</v>
      </c>
    </row>
    <row r="297" spans="1:22" ht="24" customHeight="1">
      <c r="A297" s="14"/>
      <c r="B297" s="15"/>
      <c r="C297" s="16"/>
      <c r="D297" s="16">
        <v>294</v>
      </c>
      <c r="E297" s="16" t="s">
        <v>365</v>
      </c>
      <c r="F297" s="17" t="s">
        <v>24</v>
      </c>
      <c r="G297" s="18">
        <v>100</v>
      </c>
      <c r="H297" s="19">
        <v>36</v>
      </c>
      <c r="I297" s="19"/>
      <c r="J297" s="19">
        <v>22</v>
      </c>
      <c r="K297" s="19"/>
      <c r="L297" s="20">
        <f t="shared" si="50"/>
        <v>36</v>
      </c>
      <c r="M297" s="21">
        <f t="shared" si="44"/>
        <v>0.36</v>
      </c>
      <c r="N297" s="22">
        <f t="shared" si="45"/>
        <v>36</v>
      </c>
      <c r="O297" s="22">
        <f t="shared" si="46"/>
        <v>0</v>
      </c>
      <c r="P297" s="20">
        <f t="shared" si="48"/>
        <v>0</v>
      </c>
      <c r="Q297" s="23">
        <f t="shared" si="51"/>
        <v>2200</v>
      </c>
      <c r="R297" s="20">
        <f t="shared" si="42"/>
        <v>22</v>
      </c>
      <c r="S297" s="20">
        <f t="shared" si="42"/>
        <v>2200</v>
      </c>
      <c r="T297" s="18">
        <f t="shared" si="49"/>
        <v>792</v>
      </c>
      <c r="U297" s="24"/>
      <c r="V297" s="25">
        <f t="shared" si="47"/>
        <v>0</v>
      </c>
    </row>
    <row r="298" spans="1:22" ht="24" customHeight="1">
      <c r="A298" s="14"/>
      <c r="B298" s="15"/>
      <c r="C298" s="16"/>
      <c r="D298" s="16">
        <v>295</v>
      </c>
      <c r="E298" s="16" t="s">
        <v>366</v>
      </c>
      <c r="F298" s="17" t="s">
        <v>24</v>
      </c>
      <c r="G298" s="18">
        <v>100</v>
      </c>
      <c r="H298" s="19">
        <v>91</v>
      </c>
      <c r="I298" s="19"/>
      <c r="J298" s="19">
        <v>54</v>
      </c>
      <c r="K298" s="19"/>
      <c r="L298" s="20">
        <f t="shared" si="50"/>
        <v>91</v>
      </c>
      <c r="M298" s="21">
        <f t="shared" si="44"/>
        <v>0.91</v>
      </c>
      <c r="N298" s="22">
        <f t="shared" si="45"/>
        <v>91</v>
      </c>
      <c r="O298" s="22">
        <f t="shared" si="46"/>
        <v>0</v>
      </c>
      <c r="P298" s="20">
        <f t="shared" si="48"/>
        <v>0</v>
      </c>
      <c r="Q298" s="23">
        <f t="shared" si="51"/>
        <v>5400</v>
      </c>
      <c r="R298" s="20">
        <f t="shared" si="42"/>
        <v>54</v>
      </c>
      <c r="S298" s="20">
        <f t="shared" si="42"/>
        <v>5400</v>
      </c>
      <c r="T298" s="18">
        <f t="shared" si="49"/>
        <v>4914</v>
      </c>
      <c r="U298" s="24"/>
      <c r="V298" s="25">
        <f t="shared" si="47"/>
        <v>0</v>
      </c>
    </row>
    <row r="299" spans="1:22" ht="24" customHeight="1">
      <c r="A299" s="14"/>
      <c r="B299" s="15"/>
      <c r="C299" s="16"/>
      <c r="D299" s="16">
        <v>296</v>
      </c>
      <c r="E299" s="16" t="s">
        <v>367</v>
      </c>
      <c r="F299" s="17" t="s">
        <v>24</v>
      </c>
      <c r="G299" s="18">
        <v>10</v>
      </c>
      <c r="H299" s="19">
        <v>3</v>
      </c>
      <c r="I299" s="19"/>
      <c r="J299" s="19">
        <v>600</v>
      </c>
      <c r="K299" s="19"/>
      <c r="L299" s="20">
        <f t="shared" si="50"/>
        <v>3</v>
      </c>
      <c r="M299" s="21">
        <f t="shared" si="44"/>
        <v>0.3</v>
      </c>
      <c r="N299" s="22">
        <f t="shared" si="45"/>
        <v>3</v>
      </c>
      <c r="O299" s="22">
        <f t="shared" si="46"/>
        <v>0</v>
      </c>
      <c r="P299" s="20">
        <f t="shared" si="48"/>
        <v>0</v>
      </c>
      <c r="Q299" s="23">
        <f t="shared" si="51"/>
        <v>6000</v>
      </c>
      <c r="R299" s="20">
        <f t="shared" si="42"/>
        <v>600</v>
      </c>
      <c r="S299" s="20">
        <f t="shared" si="42"/>
        <v>6000</v>
      </c>
      <c r="T299" s="18">
        <f t="shared" si="49"/>
        <v>1800</v>
      </c>
      <c r="U299" s="24"/>
      <c r="V299" s="25">
        <f t="shared" si="47"/>
        <v>0</v>
      </c>
    </row>
    <row r="300" spans="1:22" ht="24" customHeight="1">
      <c r="A300" s="14"/>
      <c r="B300" s="15"/>
      <c r="C300" s="16"/>
      <c r="D300" s="16">
        <v>297</v>
      </c>
      <c r="E300" s="16" t="s">
        <v>368</v>
      </c>
      <c r="F300" s="17" t="s">
        <v>24</v>
      </c>
      <c r="G300" s="18">
        <v>10</v>
      </c>
      <c r="H300" s="19">
        <v>7</v>
      </c>
      <c r="I300" s="19">
        <v>3</v>
      </c>
      <c r="J300" s="19"/>
      <c r="K300" s="19">
        <v>810</v>
      </c>
      <c r="L300" s="20">
        <f t="shared" si="50"/>
        <v>37</v>
      </c>
      <c r="M300" s="21">
        <f t="shared" si="44"/>
        <v>3.7</v>
      </c>
      <c r="N300" s="22">
        <f t="shared" si="45"/>
        <v>7.0000000000000018</v>
      </c>
      <c r="O300" s="22">
        <f t="shared" si="46"/>
        <v>3</v>
      </c>
      <c r="P300" s="20">
        <f t="shared" si="48"/>
        <v>81</v>
      </c>
      <c r="Q300" s="23">
        <f t="shared" si="51"/>
        <v>0</v>
      </c>
      <c r="R300" s="20">
        <f t="shared" si="42"/>
        <v>81</v>
      </c>
      <c r="S300" s="20">
        <f t="shared" si="42"/>
        <v>810</v>
      </c>
      <c r="T300" s="18">
        <f t="shared" si="49"/>
        <v>2997</v>
      </c>
      <c r="U300" s="24"/>
      <c r="V300" s="25">
        <f t="shared" si="47"/>
        <v>0</v>
      </c>
    </row>
    <row r="301" spans="1:22" ht="24" customHeight="1">
      <c r="A301" s="14"/>
      <c r="B301" s="15"/>
      <c r="C301" s="16"/>
      <c r="D301" s="16">
        <v>298</v>
      </c>
      <c r="E301" s="16" t="s">
        <v>369</v>
      </c>
      <c r="F301" s="17" t="s">
        <v>24</v>
      </c>
      <c r="G301" s="18">
        <v>10</v>
      </c>
      <c r="H301" s="19"/>
      <c r="I301" s="19">
        <v>3</v>
      </c>
      <c r="J301" s="19"/>
      <c r="K301" s="19">
        <v>1400</v>
      </c>
      <c r="L301" s="20">
        <f t="shared" si="50"/>
        <v>30</v>
      </c>
      <c r="M301" s="21">
        <f t="shared" si="44"/>
        <v>3</v>
      </c>
      <c r="N301" s="22">
        <f t="shared" si="45"/>
        <v>0</v>
      </c>
      <c r="O301" s="22">
        <f t="shared" si="46"/>
        <v>3</v>
      </c>
      <c r="P301" s="20">
        <f t="shared" si="48"/>
        <v>140</v>
      </c>
      <c r="Q301" s="23">
        <f t="shared" si="51"/>
        <v>0</v>
      </c>
      <c r="R301" s="20">
        <f t="shared" si="42"/>
        <v>140</v>
      </c>
      <c r="S301" s="20">
        <f t="shared" si="42"/>
        <v>1400</v>
      </c>
      <c r="T301" s="18">
        <f t="shared" si="49"/>
        <v>4200</v>
      </c>
      <c r="U301" s="24"/>
      <c r="V301" s="25">
        <f t="shared" si="47"/>
        <v>0</v>
      </c>
    </row>
    <row r="302" spans="1:22" ht="24" customHeight="1">
      <c r="A302" s="14"/>
      <c r="B302" s="15"/>
      <c r="C302" s="16"/>
      <c r="D302" s="16">
        <v>299</v>
      </c>
      <c r="E302" s="16" t="s">
        <v>370</v>
      </c>
      <c r="F302" s="17" t="s">
        <v>24</v>
      </c>
      <c r="G302" s="18">
        <v>10</v>
      </c>
      <c r="H302" s="19">
        <v>6</v>
      </c>
      <c r="I302" s="19"/>
      <c r="J302" s="19">
        <v>80</v>
      </c>
      <c r="K302" s="19"/>
      <c r="L302" s="20">
        <f t="shared" si="50"/>
        <v>6</v>
      </c>
      <c r="M302" s="21">
        <f t="shared" si="44"/>
        <v>0.6</v>
      </c>
      <c r="N302" s="22">
        <f t="shared" si="45"/>
        <v>6</v>
      </c>
      <c r="O302" s="22">
        <f t="shared" si="46"/>
        <v>0</v>
      </c>
      <c r="P302" s="20">
        <f t="shared" si="48"/>
        <v>0</v>
      </c>
      <c r="Q302" s="23">
        <f t="shared" si="51"/>
        <v>800</v>
      </c>
      <c r="R302" s="20">
        <f t="shared" si="42"/>
        <v>80</v>
      </c>
      <c r="S302" s="20">
        <f t="shared" si="42"/>
        <v>800</v>
      </c>
      <c r="T302" s="18">
        <f t="shared" si="49"/>
        <v>480</v>
      </c>
      <c r="U302" s="24"/>
      <c r="V302" s="25">
        <f t="shared" si="47"/>
        <v>0</v>
      </c>
    </row>
    <row r="303" spans="1:22" ht="24" customHeight="1">
      <c r="A303" s="14"/>
      <c r="B303" s="15"/>
      <c r="C303" s="16"/>
      <c r="D303" s="16">
        <v>300</v>
      </c>
      <c r="E303" s="16" t="s">
        <v>371</v>
      </c>
      <c r="F303" s="17" t="s">
        <v>24</v>
      </c>
      <c r="G303" s="18">
        <v>10</v>
      </c>
      <c r="H303" s="19">
        <v>6</v>
      </c>
      <c r="I303" s="19">
        <v>1</v>
      </c>
      <c r="J303" s="19">
        <v>68</v>
      </c>
      <c r="K303" s="19"/>
      <c r="L303" s="20">
        <f t="shared" si="50"/>
        <v>16</v>
      </c>
      <c r="M303" s="21">
        <f t="shared" si="44"/>
        <v>1.6</v>
      </c>
      <c r="N303" s="22">
        <f t="shared" si="45"/>
        <v>6.0000000000000009</v>
      </c>
      <c r="O303" s="22">
        <f t="shared" si="46"/>
        <v>1</v>
      </c>
      <c r="P303" s="20">
        <f t="shared" si="48"/>
        <v>0</v>
      </c>
      <c r="Q303" s="23">
        <f t="shared" si="51"/>
        <v>680</v>
      </c>
      <c r="R303" s="20">
        <f t="shared" ref="R303:R366" si="52">IFERROR(IF(J303&gt;0,J303,IF(J303&lt;0,P303,IF(J303=0,P303))),"")</f>
        <v>68</v>
      </c>
      <c r="S303" s="20">
        <f t="shared" si="42"/>
        <v>680</v>
      </c>
      <c r="T303" s="18">
        <f t="shared" si="49"/>
        <v>1088</v>
      </c>
      <c r="U303" s="24"/>
      <c r="V303" s="25">
        <f t="shared" si="47"/>
        <v>0</v>
      </c>
    </row>
    <row r="304" spans="1:22" ht="24" customHeight="1">
      <c r="A304" s="14"/>
      <c r="B304" s="15"/>
      <c r="C304" s="16"/>
      <c r="D304" s="16">
        <v>301</v>
      </c>
      <c r="E304" s="16" t="s">
        <v>372</v>
      </c>
      <c r="F304" s="17" t="s">
        <v>24</v>
      </c>
      <c r="G304" s="18">
        <v>10</v>
      </c>
      <c r="H304" s="19">
        <v>8</v>
      </c>
      <c r="I304" s="19">
        <v>1</v>
      </c>
      <c r="J304" s="19">
        <v>140</v>
      </c>
      <c r="K304" s="19">
        <v>1400</v>
      </c>
      <c r="L304" s="20">
        <f t="shared" si="50"/>
        <v>18</v>
      </c>
      <c r="M304" s="21">
        <f t="shared" si="44"/>
        <v>1.8</v>
      </c>
      <c r="N304" s="22">
        <f t="shared" si="45"/>
        <v>8</v>
      </c>
      <c r="O304" s="22">
        <f t="shared" si="46"/>
        <v>1</v>
      </c>
      <c r="P304" s="20">
        <f t="shared" si="48"/>
        <v>140</v>
      </c>
      <c r="Q304" s="23">
        <f t="shared" si="51"/>
        <v>1400</v>
      </c>
      <c r="R304" s="20">
        <f t="shared" si="52"/>
        <v>140</v>
      </c>
      <c r="S304" s="20">
        <f t="shared" si="42"/>
        <v>1400</v>
      </c>
      <c r="T304" s="18">
        <f t="shared" si="49"/>
        <v>2520</v>
      </c>
      <c r="U304" s="24"/>
      <c r="V304" s="25">
        <f t="shared" si="47"/>
        <v>0</v>
      </c>
    </row>
    <row r="305" spans="1:22" ht="24" customHeight="1">
      <c r="A305" s="14"/>
      <c r="B305" s="15"/>
      <c r="C305" s="16"/>
      <c r="D305" s="16">
        <v>302</v>
      </c>
      <c r="E305" s="16" t="s">
        <v>60</v>
      </c>
      <c r="F305" s="17" t="s">
        <v>24</v>
      </c>
      <c r="G305" s="18">
        <v>8</v>
      </c>
      <c r="H305" s="19">
        <v>4</v>
      </c>
      <c r="I305" s="19">
        <v>2</v>
      </c>
      <c r="J305" s="19">
        <v>113</v>
      </c>
      <c r="K305" s="19">
        <v>900</v>
      </c>
      <c r="L305" s="20">
        <f t="shared" si="50"/>
        <v>20</v>
      </c>
      <c r="M305" s="21">
        <f t="shared" si="44"/>
        <v>2.5</v>
      </c>
      <c r="N305" s="22">
        <f t="shared" si="45"/>
        <v>4</v>
      </c>
      <c r="O305" s="22">
        <f t="shared" si="46"/>
        <v>2</v>
      </c>
      <c r="P305" s="20">
        <f t="shared" si="48"/>
        <v>112.5</v>
      </c>
      <c r="Q305" s="23">
        <f t="shared" si="51"/>
        <v>904</v>
      </c>
      <c r="R305" s="20">
        <f t="shared" si="52"/>
        <v>113</v>
      </c>
      <c r="S305" s="20">
        <f t="shared" si="42"/>
        <v>900</v>
      </c>
      <c r="T305" s="18">
        <f t="shared" si="49"/>
        <v>2252</v>
      </c>
      <c r="U305" s="24"/>
      <c r="V305" s="25">
        <f t="shared" si="47"/>
        <v>0</v>
      </c>
    </row>
    <row r="306" spans="1:22" ht="24" customHeight="1">
      <c r="A306" s="14"/>
      <c r="B306" s="15"/>
      <c r="C306" s="16"/>
      <c r="D306" s="16">
        <v>303</v>
      </c>
      <c r="E306" s="16" t="s">
        <v>373</v>
      </c>
      <c r="F306" s="17" t="s">
        <v>24</v>
      </c>
      <c r="G306" s="18">
        <v>10</v>
      </c>
      <c r="H306" s="19">
        <v>8</v>
      </c>
      <c r="I306" s="19"/>
      <c r="J306" s="19">
        <v>77.8</v>
      </c>
      <c r="K306" s="19"/>
      <c r="L306" s="20">
        <f t="shared" si="50"/>
        <v>8</v>
      </c>
      <c r="M306" s="21">
        <f t="shared" si="44"/>
        <v>0.8</v>
      </c>
      <c r="N306" s="22">
        <f t="shared" si="45"/>
        <v>8</v>
      </c>
      <c r="O306" s="22">
        <f t="shared" si="46"/>
        <v>0</v>
      </c>
      <c r="P306" s="20">
        <f t="shared" si="48"/>
        <v>0</v>
      </c>
      <c r="Q306" s="23">
        <f t="shared" si="51"/>
        <v>778</v>
      </c>
      <c r="R306" s="20">
        <f t="shared" si="52"/>
        <v>77.8</v>
      </c>
      <c r="S306" s="20">
        <f t="shared" si="42"/>
        <v>778</v>
      </c>
      <c r="T306" s="18">
        <f t="shared" si="49"/>
        <v>622.4</v>
      </c>
      <c r="U306" s="24"/>
      <c r="V306" s="25">
        <f t="shared" si="47"/>
        <v>0</v>
      </c>
    </row>
    <row r="307" spans="1:22" ht="24" customHeight="1">
      <c r="A307" s="14"/>
      <c r="B307" s="15"/>
      <c r="C307" s="16"/>
      <c r="D307" s="16">
        <v>304</v>
      </c>
      <c r="E307" s="16" t="s">
        <v>61</v>
      </c>
      <c r="F307" s="17" t="s">
        <v>24</v>
      </c>
      <c r="G307" s="18">
        <v>1</v>
      </c>
      <c r="H307" s="19">
        <v>1</v>
      </c>
      <c r="I307" s="19"/>
      <c r="J307" s="19">
        <v>152</v>
      </c>
      <c r="K307" s="19"/>
      <c r="L307" s="20">
        <f t="shared" si="50"/>
        <v>1</v>
      </c>
      <c r="M307" s="21">
        <f t="shared" si="44"/>
        <v>1</v>
      </c>
      <c r="N307" s="22">
        <f t="shared" si="45"/>
        <v>1</v>
      </c>
      <c r="O307" s="22">
        <f t="shared" si="46"/>
        <v>0</v>
      </c>
      <c r="P307" s="20">
        <f t="shared" si="48"/>
        <v>0</v>
      </c>
      <c r="Q307" s="23">
        <f t="shared" si="51"/>
        <v>152</v>
      </c>
      <c r="R307" s="20">
        <f t="shared" si="52"/>
        <v>152</v>
      </c>
      <c r="S307" s="20">
        <f t="shared" si="42"/>
        <v>152</v>
      </c>
      <c r="T307" s="18">
        <f t="shared" si="49"/>
        <v>152</v>
      </c>
      <c r="U307" s="24"/>
      <c r="V307" s="25">
        <f t="shared" si="47"/>
        <v>0</v>
      </c>
    </row>
    <row r="308" spans="1:22" ht="24" customHeight="1">
      <c r="A308" s="14"/>
      <c r="B308" s="15"/>
      <c r="C308" s="16"/>
      <c r="D308" s="16">
        <v>305</v>
      </c>
      <c r="E308" s="16" t="s">
        <v>383</v>
      </c>
      <c r="F308" s="17" t="s">
        <v>24</v>
      </c>
      <c r="G308" s="18">
        <v>1</v>
      </c>
      <c r="H308" s="19">
        <v>3</v>
      </c>
      <c r="I308" s="19"/>
      <c r="J308" s="19">
        <v>1550</v>
      </c>
      <c r="K308" s="19"/>
      <c r="L308" s="20">
        <f t="shared" si="50"/>
        <v>3</v>
      </c>
      <c r="M308" s="21">
        <f t="shared" si="44"/>
        <v>3</v>
      </c>
      <c r="N308" s="22">
        <f t="shared" si="45"/>
        <v>3</v>
      </c>
      <c r="O308" s="22">
        <f t="shared" si="46"/>
        <v>0</v>
      </c>
      <c r="P308" s="20">
        <f t="shared" si="48"/>
        <v>0</v>
      </c>
      <c r="Q308" s="23">
        <f t="shared" si="51"/>
        <v>1550</v>
      </c>
      <c r="R308" s="20">
        <f t="shared" si="52"/>
        <v>1550</v>
      </c>
      <c r="S308" s="20">
        <f t="shared" si="42"/>
        <v>1550</v>
      </c>
      <c r="T308" s="18">
        <f t="shared" si="49"/>
        <v>4650</v>
      </c>
      <c r="U308" s="24"/>
      <c r="V308" s="25">
        <f t="shared" si="47"/>
        <v>0</v>
      </c>
    </row>
    <row r="309" spans="1:22" ht="24" customHeight="1">
      <c r="A309" s="14"/>
      <c r="B309" s="15"/>
      <c r="C309" s="16"/>
      <c r="D309" s="16">
        <v>306</v>
      </c>
      <c r="E309" s="16" t="s">
        <v>374</v>
      </c>
      <c r="F309" s="17" t="s">
        <v>24</v>
      </c>
      <c r="G309" s="18">
        <v>1</v>
      </c>
      <c r="H309" s="19">
        <v>3</v>
      </c>
      <c r="I309" s="19"/>
      <c r="J309" s="19">
        <v>1100</v>
      </c>
      <c r="K309" s="19"/>
      <c r="L309" s="20">
        <f t="shared" si="50"/>
        <v>3</v>
      </c>
      <c r="M309" s="21">
        <f t="shared" si="44"/>
        <v>3</v>
      </c>
      <c r="N309" s="22">
        <f t="shared" si="45"/>
        <v>3</v>
      </c>
      <c r="O309" s="22">
        <f t="shared" si="46"/>
        <v>0</v>
      </c>
      <c r="P309" s="20">
        <f t="shared" si="48"/>
        <v>0</v>
      </c>
      <c r="Q309" s="23">
        <f t="shared" si="51"/>
        <v>1100</v>
      </c>
      <c r="R309" s="20">
        <f t="shared" si="52"/>
        <v>1100</v>
      </c>
      <c r="S309" s="20">
        <f t="shared" si="42"/>
        <v>1100</v>
      </c>
      <c r="T309" s="18">
        <f t="shared" si="49"/>
        <v>3300</v>
      </c>
      <c r="U309" s="24"/>
      <c r="V309" s="25">
        <f t="shared" si="47"/>
        <v>0</v>
      </c>
    </row>
    <row r="310" spans="1:22" ht="24" customHeight="1">
      <c r="A310" s="14"/>
      <c r="B310" s="15"/>
      <c r="C310" s="16"/>
      <c r="D310" s="16">
        <v>307</v>
      </c>
      <c r="E310" s="16" t="s">
        <v>375</v>
      </c>
      <c r="F310" s="17" t="s">
        <v>24</v>
      </c>
      <c r="G310" s="18">
        <v>1</v>
      </c>
      <c r="H310" s="19">
        <v>3</v>
      </c>
      <c r="I310" s="19"/>
      <c r="J310" s="19">
        <v>520</v>
      </c>
      <c r="K310" s="19"/>
      <c r="L310" s="20">
        <f t="shared" si="50"/>
        <v>3</v>
      </c>
      <c r="M310" s="21">
        <f t="shared" si="44"/>
        <v>3</v>
      </c>
      <c r="N310" s="22">
        <f t="shared" si="45"/>
        <v>3</v>
      </c>
      <c r="O310" s="22">
        <f t="shared" si="46"/>
        <v>0</v>
      </c>
      <c r="P310" s="20">
        <f t="shared" si="48"/>
        <v>0</v>
      </c>
      <c r="Q310" s="23">
        <f t="shared" si="51"/>
        <v>520</v>
      </c>
      <c r="R310" s="20">
        <f t="shared" si="52"/>
        <v>520</v>
      </c>
      <c r="S310" s="20">
        <f t="shared" si="42"/>
        <v>520</v>
      </c>
      <c r="T310" s="18">
        <f t="shared" si="49"/>
        <v>1560</v>
      </c>
      <c r="U310" s="24"/>
      <c r="V310" s="25">
        <f t="shared" si="47"/>
        <v>0</v>
      </c>
    </row>
    <row r="311" spans="1:22" ht="24" customHeight="1">
      <c r="A311" s="14"/>
      <c r="B311" s="15"/>
      <c r="C311" s="16"/>
      <c r="D311" s="16">
        <v>308</v>
      </c>
      <c r="E311" s="16" t="s">
        <v>377</v>
      </c>
      <c r="F311" s="17" t="s">
        <v>24</v>
      </c>
      <c r="G311" s="18">
        <v>1</v>
      </c>
      <c r="H311" s="19">
        <v>8</v>
      </c>
      <c r="I311" s="19"/>
      <c r="J311" s="19">
        <v>430</v>
      </c>
      <c r="K311" s="19"/>
      <c r="L311" s="20">
        <f t="shared" si="50"/>
        <v>8</v>
      </c>
      <c r="M311" s="21">
        <f t="shared" si="44"/>
        <v>8</v>
      </c>
      <c r="N311" s="22">
        <f t="shared" si="45"/>
        <v>8</v>
      </c>
      <c r="O311" s="22">
        <f t="shared" si="46"/>
        <v>0</v>
      </c>
      <c r="P311" s="20">
        <f t="shared" si="48"/>
        <v>0</v>
      </c>
      <c r="Q311" s="23">
        <f t="shared" si="51"/>
        <v>430</v>
      </c>
      <c r="R311" s="20">
        <f t="shared" si="52"/>
        <v>430</v>
      </c>
      <c r="S311" s="20">
        <f t="shared" si="42"/>
        <v>430</v>
      </c>
      <c r="T311" s="18">
        <f t="shared" si="49"/>
        <v>3440</v>
      </c>
      <c r="U311" s="24"/>
      <c r="V311" s="25">
        <f t="shared" si="47"/>
        <v>0</v>
      </c>
    </row>
    <row r="312" spans="1:22" ht="24" customHeight="1">
      <c r="A312" s="14"/>
      <c r="B312" s="15"/>
      <c r="C312" s="16"/>
      <c r="D312" s="16">
        <v>309</v>
      </c>
      <c r="E312" s="16" t="s">
        <v>376</v>
      </c>
      <c r="F312" s="17" t="s">
        <v>24</v>
      </c>
      <c r="G312" s="18">
        <v>1</v>
      </c>
      <c r="H312" s="19">
        <v>22</v>
      </c>
      <c r="I312" s="19"/>
      <c r="J312" s="19">
        <v>240</v>
      </c>
      <c r="K312" s="19"/>
      <c r="L312" s="20">
        <f t="shared" si="50"/>
        <v>22</v>
      </c>
      <c r="M312" s="21">
        <f t="shared" si="44"/>
        <v>22</v>
      </c>
      <c r="N312" s="22">
        <f t="shared" si="45"/>
        <v>22</v>
      </c>
      <c r="O312" s="22">
        <f t="shared" si="46"/>
        <v>0</v>
      </c>
      <c r="P312" s="20">
        <f t="shared" si="48"/>
        <v>0</v>
      </c>
      <c r="Q312" s="23">
        <f t="shared" si="51"/>
        <v>240</v>
      </c>
      <c r="R312" s="20">
        <f t="shared" si="52"/>
        <v>240</v>
      </c>
      <c r="S312" s="20">
        <f t="shared" si="42"/>
        <v>240</v>
      </c>
      <c r="T312" s="18">
        <f t="shared" si="49"/>
        <v>5280</v>
      </c>
      <c r="U312" s="24"/>
      <c r="V312" s="25">
        <f t="shared" si="47"/>
        <v>0</v>
      </c>
    </row>
    <row r="313" spans="1:22" ht="24" customHeight="1">
      <c r="A313" s="14"/>
      <c r="B313" s="15"/>
      <c r="C313" s="16"/>
      <c r="D313" s="16">
        <v>310</v>
      </c>
      <c r="E313" s="16" t="s">
        <v>59</v>
      </c>
      <c r="F313" s="17" t="s">
        <v>24</v>
      </c>
      <c r="G313" s="18">
        <v>1</v>
      </c>
      <c r="H313" s="19">
        <v>12</v>
      </c>
      <c r="I313" s="19"/>
      <c r="J313" s="19">
        <v>380</v>
      </c>
      <c r="K313" s="19"/>
      <c r="L313" s="20">
        <f t="shared" si="50"/>
        <v>12</v>
      </c>
      <c r="M313" s="21">
        <f t="shared" si="44"/>
        <v>12</v>
      </c>
      <c r="N313" s="22">
        <f t="shared" si="45"/>
        <v>12</v>
      </c>
      <c r="O313" s="22">
        <f t="shared" si="46"/>
        <v>0</v>
      </c>
      <c r="P313" s="20">
        <f t="shared" si="48"/>
        <v>0</v>
      </c>
      <c r="Q313" s="23">
        <f t="shared" si="51"/>
        <v>380</v>
      </c>
      <c r="R313" s="20">
        <f t="shared" si="52"/>
        <v>380</v>
      </c>
      <c r="S313" s="20">
        <f t="shared" si="42"/>
        <v>380</v>
      </c>
      <c r="T313" s="18">
        <f t="shared" si="49"/>
        <v>4560</v>
      </c>
      <c r="U313" s="24"/>
      <c r="V313" s="25">
        <f t="shared" si="47"/>
        <v>0</v>
      </c>
    </row>
    <row r="314" spans="1:22" ht="24" customHeight="1">
      <c r="A314" s="14"/>
      <c r="B314" s="15"/>
      <c r="C314" s="16"/>
      <c r="D314" s="16">
        <v>311</v>
      </c>
      <c r="E314" s="16" t="s">
        <v>378</v>
      </c>
      <c r="F314" s="17" t="s">
        <v>24</v>
      </c>
      <c r="G314" s="18">
        <v>1</v>
      </c>
      <c r="H314" s="19">
        <v>20</v>
      </c>
      <c r="I314" s="19"/>
      <c r="J314" s="19">
        <v>200</v>
      </c>
      <c r="K314" s="19"/>
      <c r="L314" s="20">
        <f t="shared" si="50"/>
        <v>20</v>
      </c>
      <c r="M314" s="21">
        <f t="shared" si="44"/>
        <v>20</v>
      </c>
      <c r="N314" s="22">
        <f t="shared" si="45"/>
        <v>20</v>
      </c>
      <c r="O314" s="22">
        <f t="shared" si="46"/>
        <v>0</v>
      </c>
      <c r="P314" s="20">
        <f t="shared" si="48"/>
        <v>0</v>
      </c>
      <c r="Q314" s="23">
        <f t="shared" si="51"/>
        <v>200</v>
      </c>
      <c r="R314" s="20">
        <f t="shared" si="52"/>
        <v>200</v>
      </c>
      <c r="S314" s="20">
        <f t="shared" si="42"/>
        <v>200</v>
      </c>
      <c r="T314" s="18">
        <f t="shared" si="49"/>
        <v>4000</v>
      </c>
      <c r="U314" s="24"/>
      <c r="V314" s="25">
        <f t="shared" si="47"/>
        <v>0</v>
      </c>
    </row>
    <row r="315" spans="1:22" ht="24" customHeight="1">
      <c r="A315" s="14"/>
      <c r="B315" s="15"/>
      <c r="C315" s="16"/>
      <c r="D315" s="16">
        <v>312</v>
      </c>
      <c r="E315" s="16" t="s">
        <v>384</v>
      </c>
      <c r="F315" s="17" t="s">
        <v>24</v>
      </c>
      <c r="G315" s="18">
        <v>1</v>
      </c>
      <c r="H315" s="19">
        <v>20</v>
      </c>
      <c r="I315" s="19"/>
      <c r="J315" s="19">
        <v>200</v>
      </c>
      <c r="K315" s="19"/>
      <c r="L315" s="20">
        <f t="shared" si="50"/>
        <v>20</v>
      </c>
      <c r="M315" s="21">
        <f t="shared" si="44"/>
        <v>20</v>
      </c>
      <c r="N315" s="22">
        <f t="shared" si="45"/>
        <v>20</v>
      </c>
      <c r="O315" s="22">
        <f t="shared" si="46"/>
        <v>0</v>
      </c>
      <c r="P315" s="20">
        <f t="shared" si="48"/>
        <v>0</v>
      </c>
      <c r="Q315" s="23">
        <f t="shared" si="51"/>
        <v>200</v>
      </c>
      <c r="R315" s="20">
        <f t="shared" si="52"/>
        <v>200</v>
      </c>
      <c r="S315" s="20">
        <f t="shared" si="42"/>
        <v>200</v>
      </c>
      <c r="T315" s="18">
        <f t="shared" si="49"/>
        <v>4000</v>
      </c>
      <c r="U315" s="24"/>
      <c r="V315" s="25">
        <f t="shared" si="47"/>
        <v>0</v>
      </c>
    </row>
    <row r="316" spans="1:22" ht="24" customHeight="1">
      <c r="A316" s="14"/>
      <c r="B316" s="15"/>
      <c r="C316" s="16"/>
      <c r="D316" s="16">
        <v>313</v>
      </c>
      <c r="E316" s="16" t="s">
        <v>379</v>
      </c>
      <c r="F316" s="17" t="s">
        <v>24</v>
      </c>
      <c r="G316" s="18">
        <v>1</v>
      </c>
      <c r="H316" s="19">
        <v>2</v>
      </c>
      <c r="I316" s="19"/>
      <c r="J316" s="19">
        <v>300</v>
      </c>
      <c r="K316" s="19"/>
      <c r="L316" s="20">
        <f t="shared" si="50"/>
        <v>2</v>
      </c>
      <c r="M316" s="21">
        <f t="shared" si="44"/>
        <v>2</v>
      </c>
      <c r="N316" s="22">
        <f t="shared" si="45"/>
        <v>2</v>
      </c>
      <c r="O316" s="22">
        <f t="shared" si="46"/>
        <v>0</v>
      </c>
      <c r="P316" s="20">
        <f t="shared" si="48"/>
        <v>0</v>
      </c>
      <c r="Q316" s="23">
        <f t="shared" si="51"/>
        <v>300</v>
      </c>
      <c r="R316" s="20">
        <f t="shared" si="52"/>
        <v>300</v>
      </c>
      <c r="S316" s="20">
        <f t="shared" si="42"/>
        <v>300</v>
      </c>
      <c r="T316" s="18">
        <f t="shared" si="49"/>
        <v>600</v>
      </c>
      <c r="U316" s="24"/>
      <c r="V316" s="25">
        <f t="shared" si="47"/>
        <v>0</v>
      </c>
    </row>
    <row r="317" spans="1:22" ht="24" customHeight="1">
      <c r="A317" s="14"/>
      <c r="B317" s="15"/>
      <c r="C317" s="16"/>
      <c r="D317" s="16">
        <v>314</v>
      </c>
      <c r="E317" s="16" t="s">
        <v>380</v>
      </c>
      <c r="F317" s="17" t="s">
        <v>24</v>
      </c>
      <c r="G317" s="18">
        <v>1</v>
      </c>
      <c r="H317" s="19">
        <v>2</v>
      </c>
      <c r="I317" s="19"/>
      <c r="J317" s="19">
        <v>522</v>
      </c>
      <c r="K317" s="19"/>
      <c r="L317" s="20">
        <f t="shared" si="50"/>
        <v>2</v>
      </c>
      <c r="M317" s="21">
        <f t="shared" si="44"/>
        <v>2</v>
      </c>
      <c r="N317" s="22">
        <f t="shared" si="45"/>
        <v>2</v>
      </c>
      <c r="O317" s="22">
        <f t="shared" si="46"/>
        <v>0</v>
      </c>
      <c r="P317" s="20">
        <f t="shared" si="48"/>
        <v>0</v>
      </c>
      <c r="Q317" s="23">
        <f t="shared" si="51"/>
        <v>522</v>
      </c>
      <c r="R317" s="20">
        <f t="shared" si="52"/>
        <v>522</v>
      </c>
      <c r="S317" s="20">
        <f t="shared" si="42"/>
        <v>522</v>
      </c>
      <c r="T317" s="18">
        <f t="shared" si="49"/>
        <v>1044</v>
      </c>
      <c r="U317" s="24"/>
      <c r="V317" s="25">
        <f t="shared" si="47"/>
        <v>0</v>
      </c>
    </row>
    <row r="318" spans="1:22" ht="24" customHeight="1">
      <c r="A318" s="14"/>
      <c r="B318" s="15"/>
      <c r="C318" s="16"/>
      <c r="D318" s="16">
        <v>315</v>
      </c>
      <c r="E318" s="16" t="s">
        <v>381</v>
      </c>
      <c r="F318" s="17" t="s">
        <v>24</v>
      </c>
      <c r="G318" s="18">
        <v>1</v>
      </c>
      <c r="H318" s="19">
        <v>1</v>
      </c>
      <c r="I318" s="19"/>
      <c r="J318" s="19">
        <v>300</v>
      </c>
      <c r="K318" s="19"/>
      <c r="L318" s="20">
        <f t="shared" si="50"/>
        <v>1</v>
      </c>
      <c r="M318" s="21">
        <f t="shared" si="44"/>
        <v>1</v>
      </c>
      <c r="N318" s="22">
        <f t="shared" si="45"/>
        <v>1</v>
      </c>
      <c r="O318" s="22">
        <f t="shared" si="46"/>
        <v>0</v>
      </c>
      <c r="P318" s="20">
        <f t="shared" si="48"/>
        <v>0</v>
      </c>
      <c r="Q318" s="23">
        <f t="shared" si="51"/>
        <v>300</v>
      </c>
      <c r="R318" s="20">
        <f t="shared" si="52"/>
        <v>300</v>
      </c>
      <c r="S318" s="20">
        <f t="shared" si="42"/>
        <v>300</v>
      </c>
      <c r="T318" s="18">
        <f t="shared" si="49"/>
        <v>300</v>
      </c>
      <c r="U318" s="24"/>
      <c r="V318" s="25">
        <f t="shared" si="47"/>
        <v>0</v>
      </c>
    </row>
    <row r="319" spans="1:22" ht="24" customHeight="1">
      <c r="A319" s="14"/>
      <c r="B319" s="15"/>
      <c r="C319" s="16"/>
      <c r="D319" s="16">
        <v>316</v>
      </c>
      <c r="E319" s="16" t="s">
        <v>382</v>
      </c>
      <c r="F319" s="17" t="s">
        <v>24</v>
      </c>
      <c r="G319" s="18">
        <v>1</v>
      </c>
      <c r="H319" s="19">
        <v>5</v>
      </c>
      <c r="I319" s="19"/>
      <c r="J319" s="19">
        <v>800</v>
      </c>
      <c r="K319" s="19"/>
      <c r="L319" s="20">
        <f t="shared" si="50"/>
        <v>5</v>
      </c>
      <c r="M319" s="21">
        <f t="shared" si="44"/>
        <v>5</v>
      </c>
      <c r="N319" s="22">
        <f t="shared" si="45"/>
        <v>5</v>
      </c>
      <c r="O319" s="22">
        <f t="shared" si="46"/>
        <v>0</v>
      </c>
      <c r="P319" s="20">
        <f t="shared" si="48"/>
        <v>0</v>
      </c>
      <c r="Q319" s="23">
        <f t="shared" si="51"/>
        <v>800</v>
      </c>
      <c r="R319" s="20">
        <f t="shared" si="52"/>
        <v>800</v>
      </c>
      <c r="S319" s="20">
        <f t="shared" si="42"/>
        <v>800</v>
      </c>
      <c r="T319" s="18">
        <f t="shared" si="49"/>
        <v>4000</v>
      </c>
      <c r="U319" s="24"/>
      <c r="V319" s="25">
        <f t="shared" si="47"/>
        <v>0</v>
      </c>
    </row>
    <row r="320" spans="1:22" ht="24" customHeight="1">
      <c r="A320" s="14"/>
      <c r="B320" s="15"/>
      <c r="C320" s="16"/>
      <c r="D320" s="16">
        <v>317</v>
      </c>
      <c r="E320" s="16" t="s">
        <v>387</v>
      </c>
      <c r="F320" s="17" t="s">
        <v>24</v>
      </c>
      <c r="G320" s="18">
        <v>1</v>
      </c>
      <c r="H320" s="19">
        <v>17</v>
      </c>
      <c r="I320" s="19"/>
      <c r="J320" s="19">
        <v>200</v>
      </c>
      <c r="K320" s="19"/>
      <c r="L320" s="20">
        <f t="shared" si="50"/>
        <v>17</v>
      </c>
      <c r="M320" s="21">
        <f t="shared" si="44"/>
        <v>17</v>
      </c>
      <c r="N320" s="22">
        <f t="shared" si="45"/>
        <v>17</v>
      </c>
      <c r="O320" s="22">
        <f t="shared" si="46"/>
        <v>0</v>
      </c>
      <c r="P320" s="20">
        <f t="shared" si="48"/>
        <v>0</v>
      </c>
      <c r="Q320" s="23">
        <f t="shared" si="51"/>
        <v>200</v>
      </c>
      <c r="R320" s="20">
        <f t="shared" si="52"/>
        <v>200</v>
      </c>
      <c r="S320" s="20">
        <f t="shared" si="42"/>
        <v>200</v>
      </c>
      <c r="T320" s="18">
        <f t="shared" si="49"/>
        <v>3400</v>
      </c>
      <c r="U320" s="24"/>
      <c r="V320" s="25">
        <f t="shared" si="47"/>
        <v>0</v>
      </c>
    </row>
    <row r="321" spans="1:22" ht="24" customHeight="1">
      <c r="A321" s="14"/>
      <c r="B321" s="15"/>
      <c r="C321" s="16"/>
      <c r="D321" s="16">
        <v>318</v>
      </c>
      <c r="E321" s="16" t="s">
        <v>388</v>
      </c>
      <c r="F321" s="17" t="s">
        <v>24</v>
      </c>
      <c r="G321" s="18">
        <v>1</v>
      </c>
      <c r="H321" s="19">
        <v>23</v>
      </c>
      <c r="I321" s="19"/>
      <c r="J321" s="19">
        <v>250</v>
      </c>
      <c r="K321" s="19"/>
      <c r="L321" s="20">
        <f t="shared" si="50"/>
        <v>23</v>
      </c>
      <c r="M321" s="21">
        <f t="shared" si="44"/>
        <v>23</v>
      </c>
      <c r="N321" s="22">
        <f t="shared" si="45"/>
        <v>23</v>
      </c>
      <c r="O321" s="22">
        <f t="shared" si="46"/>
        <v>0</v>
      </c>
      <c r="P321" s="20">
        <f t="shared" si="48"/>
        <v>0</v>
      </c>
      <c r="Q321" s="23">
        <f t="shared" si="51"/>
        <v>250</v>
      </c>
      <c r="R321" s="20">
        <f t="shared" si="52"/>
        <v>250</v>
      </c>
      <c r="S321" s="20">
        <f t="shared" si="42"/>
        <v>250</v>
      </c>
      <c r="T321" s="18">
        <f t="shared" si="49"/>
        <v>5750</v>
      </c>
      <c r="U321" s="24"/>
      <c r="V321" s="25">
        <f t="shared" si="47"/>
        <v>0</v>
      </c>
    </row>
    <row r="322" spans="1:22" ht="24" customHeight="1">
      <c r="A322" s="14"/>
      <c r="B322" s="15"/>
      <c r="C322" s="16"/>
      <c r="D322" s="16">
        <v>319</v>
      </c>
      <c r="E322" s="16" t="s">
        <v>389</v>
      </c>
      <c r="F322" s="17" t="s">
        <v>24</v>
      </c>
      <c r="G322" s="18">
        <v>1</v>
      </c>
      <c r="H322" s="19">
        <v>20</v>
      </c>
      <c r="I322" s="19"/>
      <c r="J322" s="19">
        <v>320</v>
      </c>
      <c r="K322" s="19"/>
      <c r="L322" s="20">
        <f t="shared" si="50"/>
        <v>20</v>
      </c>
      <c r="M322" s="21">
        <f t="shared" si="44"/>
        <v>20</v>
      </c>
      <c r="N322" s="22">
        <f t="shared" si="45"/>
        <v>20</v>
      </c>
      <c r="O322" s="22">
        <f t="shared" si="46"/>
        <v>0</v>
      </c>
      <c r="P322" s="20">
        <f t="shared" si="48"/>
        <v>0</v>
      </c>
      <c r="Q322" s="23">
        <f t="shared" si="51"/>
        <v>320</v>
      </c>
      <c r="R322" s="20">
        <f t="shared" si="52"/>
        <v>320</v>
      </c>
      <c r="S322" s="20">
        <f t="shared" si="42"/>
        <v>320</v>
      </c>
      <c r="T322" s="18">
        <f t="shared" si="49"/>
        <v>6400</v>
      </c>
      <c r="U322" s="24"/>
      <c r="V322" s="25">
        <f t="shared" si="47"/>
        <v>0</v>
      </c>
    </row>
    <row r="323" spans="1:22" ht="24" customHeight="1">
      <c r="A323" s="14"/>
      <c r="B323" s="15"/>
      <c r="C323" s="16"/>
      <c r="D323" s="16">
        <v>320</v>
      </c>
      <c r="E323" s="16" t="s">
        <v>390</v>
      </c>
      <c r="F323" s="17" t="s">
        <v>24</v>
      </c>
      <c r="G323" s="18">
        <v>1</v>
      </c>
      <c r="H323" s="19">
        <v>15</v>
      </c>
      <c r="I323" s="19"/>
      <c r="J323" s="19">
        <v>350</v>
      </c>
      <c r="K323" s="19"/>
      <c r="L323" s="20">
        <f t="shared" si="50"/>
        <v>15</v>
      </c>
      <c r="M323" s="21">
        <f t="shared" ref="M323:M386" si="53">IFERROR(L323/G323,"")</f>
        <v>15</v>
      </c>
      <c r="N323" s="22">
        <f t="shared" ref="N323:N386" si="54">IF(G323=1,L323,IF(G323&gt;1,IFERROR((M323-O323)*G323,""),""))</f>
        <v>15</v>
      </c>
      <c r="O323" s="22">
        <f t="shared" ref="O323:O386" si="55">IFERROR(IF(G323=1,0,IF(G323&gt;1,ROUNDDOWN(M323,0))),"")</f>
        <v>0</v>
      </c>
      <c r="P323" s="20">
        <f t="shared" si="48"/>
        <v>0</v>
      </c>
      <c r="Q323" s="23">
        <f t="shared" si="51"/>
        <v>350</v>
      </c>
      <c r="R323" s="20">
        <f t="shared" si="52"/>
        <v>350</v>
      </c>
      <c r="S323" s="20">
        <f t="shared" si="42"/>
        <v>350</v>
      </c>
      <c r="T323" s="18">
        <f t="shared" si="49"/>
        <v>5250</v>
      </c>
      <c r="U323" s="24"/>
      <c r="V323" s="25">
        <f t="shared" ref="V323:V386" si="56">B323</f>
        <v>0</v>
      </c>
    </row>
    <row r="324" spans="1:22" ht="24" customHeight="1">
      <c r="A324" s="14"/>
      <c r="B324" s="15"/>
      <c r="C324" s="16"/>
      <c r="D324" s="16">
        <v>321</v>
      </c>
      <c r="E324" s="16" t="s">
        <v>391</v>
      </c>
      <c r="F324" s="17" t="s">
        <v>24</v>
      </c>
      <c r="G324" s="18">
        <v>1</v>
      </c>
      <c r="H324" s="19">
        <v>17</v>
      </c>
      <c r="I324" s="19"/>
      <c r="J324" s="19">
        <v>350</v>
      </c>
      <c r="K324" s="19"/>
      <c r="L324" s="20">
        <f t="shared" si="50"/>
        <v>17</v>
      </c>
      <c r="M324" s="21">
        <f t="shared" si="53"/>
        <v>17</v>
      </c>
      <c r="N324" s="22">
        <f t="shared" si="54"/>
        <v>17</v>
      </c>
      <c r="O324" s="22">
        <f t="shared" si="55"/>
        <v>0</v>
      </c>
      <c r="P324" s="20">
        <f t="shared" ref="P324:P387" si="57">IFERROR(K324/G324,"")</f>
        <v>0</v>
      </c>
      <c r="Q324" s="23">
        <f t="shared" si="51"/>
        <v>350</v>
      </c>
      <c r="R324" s="20">
        <f t="shared" si="52"/>
        <v>350</v>
      </c>
      <c r="S324" s="20">
        <f t="shared" si="42"/>
        <v>350</v>
      </c>
      <c r="T324" s="18">
        <f t="shared" si="49"/>
        <v>5950</v>
      </c>
      <c r="U324" s="24"/>
      <c r="V324" s="25">
        <f t="shared" si="56"/>
        <v>0</v>
      </c>
    </row>
    <row r="325" spans="1:22" ht="24" customHeight="1">
      <c r="A325" s="14"/>
      <c r="B325" s="15"/>
      <c r="C325" s="16"/>
      <c r="D325" s="16">
        <v>322</v>
      </c>
      <c r="E325" s="16" t="s">
        <v>392</v>
      </c>
      <c r="F325" s="17" t="s">
        <v>24</v>
      </c>
      <c r="G325" s="18">
        <v>1</v>
      </c>
      <c r="H325" s="19">
        <v>4</v>
      </c>
      <c r="I325" s="19"/>
      <c r="J325" s="19">
        <v>480</v>
      </c>
      <c r="K325" s="19"/>
      <c r="L325" s="20">
        <f t="shared" si="50"/>
        <v>4</v>
      </c>
      <c r="M325" s="21">
        <f t="shared" si="53"/>
        <v>4</v>
      </c>
      <c r="N325" s="22">
        <f t="shared" si="54"/>
        <v>4</v>
      </c>
      <c r="O325" s="22">
        <f t="shared" si="55"/>
        <v>0</v>
      </c>
      <c r="P325" s="20">
        <f t="shared" si="57"/>
        <v>0</v>
      </c>
      <c r="Q325" s="23">
        <f t="shared" si="51"/>
        <v>480</v>
      </c>
      <c r="R325" s="20">
        <f t="shared" si="52"/>
        <v>480</v>
      </c>
      <c r="S325" s="20">
        <f t="shared" si="42"/>
        <v>480</v>
      </c>
      <c r="T325" s="18">
        <f t="shared" ref="T325:T388" si="58">IFERROR(S325*I325+R325*H325,"")</f>
        <v>1920</v>
      </c>
      <c r="U325" s="24"/>
      <c r="V325" s="25">
        <f t="shared" si="56"/>
        <v>0</v>
      </c>
    </row>
    <row r="326" spans="1:22" ht="24" customHeight="1">
      <c r="A326" s="14"/>
      <c r="B326" s="15"/>
      <c r="C326" s="16"/>
      <c r="D326" s="16">
        <v>323</v>
      </c>
      <c r="E326" s="16" t="s">
        <v>393</v>
      </c>
      <c r="F326" s="17" t="s">
        <v>24</v>
      </c>
      <c r="G326" s="18">
        <v>1</v>
      </c>
      <c r="H326" s="19">
        <v>18</v>
      </c>
      <c r="I326" s="19"/>
      <c r="J326" s="19">
        <v>820</v>
      </c>
      <c r="K326" s="19"/>
      <c r="L326" s="20">
        <f t="shared" si="50"/>
        <v>18</v>
      </c>
      <c r="M326" s="21">
        <f t="shared" si="53"/>
        <v>18</v>
      </c>
      <c r="N326" s="22">
        <f t="shared" si="54"/>
        <v>18</v>
      </c>
      <c r="O326" s="22">
        <f t="shared" si="55"/>
        <v>0</v>
      </c>
      <c r="P326" s="20">
        <f t="shared" si="57"/>
        <v>0</v>
      </c>
      <c r="Q326" s="23">
        <f t="shared" si="51"/>
        <v>820</v>
      </c>
      <c r="R326" s="20">
        <f t="shared" si="52"/>
        <v>820</v>
      </c>
      <c r="S326" s="20">
        <f t="shared" si="42"/>
        <v>820</v>
      </c>
      <c r="T326" s="18">
        <f t="shared" si="58"/>
        <v>14760</v>
      </c>
      <c r="U326" s="24"/>
      <c r="V326" s="25">
        <f t="shared" si="56"/>
        <v>0</v>
      </c>
    </row>
    <row r="327" spans="1:22" ht="24" customHeight="1">
      <c r="A327" s="14"/>
      <c r="B327" s="15"/>
      <c r="C327" s="16"/>
      <c r="D327" s="16">
        <v>324</v>
      </c>
      <c r="E327" s="16" t="s">
        <v>884</v>
      </c>
      <c r="F327" s="17" t="s">
        <v>24</v>
      </c>
      <c r="G327" s="18">
        <v>1</v>
      </c>
      <c r="H327" s="19">
        <v>2</v>
      </c>
      <c r="I327" s="19"/>
      <c r="J327" s="19">
        <v>900</v>
      </c>
      <c r="K327" s="19"/>
      <c r="L327" s="20">
        <f t="shared" si="50"/>
        <v>2</v>
      </c>
      <c r="M327" s="21">
        <f t="shared" si="53"/>
        <v>2</v>
      </c>
      <c r="N327" s="22">
        <f t="shared" si="54"/>
        <v>2</v>
      </c>
      <c r="O327" s="22">
        <f t="shared" si="55"/>
        <v>0</v>
      </c>
      <c r="P327" s="20">
        <f t="shared" si="57"/>
        <v>0</v>
      </c>
      <c r="Q327" s="23">
        <f t="shared" si="51"/>
        <v>900</v>
      </c>
      <c r="R327" s="20">
        <f t="shared" si="52"/>
        <v>900</v>
      </c>
      <c r="S327" s="20">
        <f t="shared" si="42"/>
        <v>900</v>
      </c>
      <c r="T327" s="18">
        <f t="shared" si="58"/>
        <v>1800</v>
      </c>
      <c r="U327" s="24"/>
      <c r="V327" s="25">
        <f t="shared" si="56"/>
        <v>0</v>
      </c>
    </row>
    <row r="328" spans="1:22" ht="24" customHeight="1">
      <c r="A328" s="14"/>
      <c r="B328" s="15"/>
      <c r="C328" s="16"/>
      <c r="D328" s="16">
        <v>325</v>
      </c>
      <c r="E328" s="16" t="s">
        <v>394</v>
      </c>
      <c r="F328" s="17" t="s">
        <v>24</v>
      </c>
      <c r="G328" s="18">
        <v>1</v>
      </c>
      <c r="H328" s="19">
        <v>3</v>
      </c>
      <c r="I328" s="19"/>
      <c r="J328" s="19">
        <v>750</v>
      </c>
      <c r="K328" s="19"/>
      <c r="L328" s="20">
        <f t="shared" si="50"/>
        <v>3</v>
      </c>
      <c r="M328" s="21">
        <f t="shared" si="53"/>
        <v>3</v>
      </c>
      <c r="N328" s="22">
        <f t="shared" si="54"/>
        <v>3</v>
      </c>
      <c r="O328" s="22">
        <f t="shared" si="55"/>
        <v>0</v>
      </c>
      <c r="P328" s="20">
        <f t="shared" si="57"/>
        <v>0</v>
      </c>
      <c r="Q328" s="23">
        <f t="shared" si="51"/>
        <v>750</v>
      </c>
      <c r="R328" s="20">
        <f t="shared" si="52"/>
        <v>750</v>
      </c>
      <c r="S328" s="20">
        <f t="shared" si="42"/>
        <v>750</v>
      </c>
      <c r="T328" s="18">
        <f t="shared" si="58"/>
        <v>2250</v>
      </c>
      <c r="U328" s="24"/>
      <c r="V328" s="25">
        <f t="shared" si="56"/>
        <v>0</v>
      </c>
    </row>
    <row r="329" spans="1:22" ht="24" customHeight="1">
      <c r="A329" s="14"/>
      <c r="B329" s="15"/>
      <c r="C329" s="16"/>
      <c r="D329" s="16">
        <v>326</v>
      </c>
      <c r="E329" s="16" t="s">
        <v>395</v>
      </c>
      <c r="F329" s="17" t="s">
        <v>24</v>
      </c>
      <c r="G329" s="18">
        <v>1</v>
      </c>
      <c r="H329" s="19">
        <v>1</v>
      </c>
      <c r="I329" s="19"/>
      <c r="J329" s="19">
        <v>600</v>
      </c>
      <c r="K329" s="19"/>
      <c r="L329" s="20">
        <f t="shared" si="50"/>
        <v>1</v>
      </c>
      <c r="M329" s="21">
        <f t="shared" si="53"/>
        <v>1</v>
      </c>
      <c r="N329" s="22">
        <f t="shared" si="54"/>
        <v>1</v>
      </c>
      <c r="O329" s="22">
        <f t="shared" si="55"/>
        <v>0</v>
      </c>
      <c r="P329" s="20">
        <f t="shared" si="57"/>
        <v>0</v>
      </c>
      <c r="Q329" s="23">
        <f t="shared" si="51"/>
        <v>600</v>
      </c>
      <c r="R329" s="20">
        <f t="shared" si="52"/>
        <v>600</v>
      </c>
      <c r="S329" s="20">
        <f t="shared" si="42"/>
        <v>600</v>
      </c>
      <c r="T329" s="18">
        <f t="shared" si="58"/>
        <v>600</v>
      </c>
      <c r="U329" s="24"/>
      <c r="V329" s="25">
        <f t="shared" si="56"/>
        <v>0</v>
      </c>
    </row>
    <row r="330" spans="1:22" ht="24" customHeight="1">
      <c r="A330" s="14"/>
      <c r="B330" s="15"/>
      <c r="C330" s="16"/>
      <c r="D330" s="16">
        <v>327</v>
      </c>
      <c r="E330" s="16" t="s">
        <v>396</v>
      </c>
      <c r="F330" s="17" t="s">
        <v>24</v>
      </c>
      <c r="G330" s="18">
        <v>1</v>
      </c>
      <c r="H330" s="19">
        <v>1</v>
      </c>
      <c r="I330" s="19"/>
      <c r="J330" s="19">
        <v>500</v>
      </c>
      <c r="K330" s="19"/>
      <c r="L330" s="20">
        <f t="shared" si="50"/>
        <v>1</v>
      </c>
      <c r="M330" s="21">
        <f t="shared" si="53"/>
        <v>1</v>
      </c>
      <c r="N330" s="22">
        <f t="shared" si="54"/>
        <v>1</v>
      </c>
      <c r="O330" s="22">
        <f t="shared" si="55"/>
        <v>0</v>
      </c>
      <c r="P330" s="20">
        <f t="shared" si="57"/>
        <v>0</v>
      </c>
      <c r="Q330" s="23">
        <f t="shared" si="51"/>
        <v>500</v>
      </c>
      <c r="R330" s="20">
        <f t="shared" si="52"/>
        <v>500</v>
      </c>
      <c r="S330" s="20">
        <f t="shared" si="42"/>
        <v>500</v>
      </c>
      <c r="T330" s="18">
        <f t="shared" si="58"/>
        <v>500</v>
      </c>
      <c r="U330" s="24"/>
      <c r="V330" s="25">
        <f t="shared" si="56"/>
        <v>0</v>
      </c>
    </row>
    <row r="331" spans="1:22" ht="24" customHeight="1">
      <c r="A331" s="14"/>
      <c r="B331" s="15"/>
      <c r="C331" s="16"/>
      <c r="D331" s="16">
        <v>328</v>
      </c>
      <c r="E331" s="16" t="s">
        <v>397</v>
      </c>
      <c r="F331" s="17" t="s">
        <v>24</v>
      </c>
      <c r="G331" s="18">
        <v>1</v>
      </c>
      <c r="H331" s="19">
        <v>2</v>
      </c>
      <c r="I331" s="19"/>
      <c r="J331" s="19">
        <v>2000</v>
      </c>
      <c r="K331" s="19"/>
      <c r="L331" s="20">
        <f t="shared" si="50"/>
        <v>2</v>
      </c>
      <c r="M331" s="21">
        <f t="shared" si="53"/>
        <v>2</v>
      </c>
      <c r="N331" s="22">
        <f t="shared" si="54"/>
        <v>2</v>
      </c>
      <c r="O331" s="22">
        <f t="shared" si="55"/>
        <v>0</v>
      </c>
      <c r="P331" s="20">
        <f t="shared" si="57"/>
        <v>0</v>
      </c>
      <c r="Q331" s="23">
        <f t="shared" si="51"/>
        <v>2000</v>
      </c>
      <c r="R331" s="20">
        <f t="shared" si="52"/>
        <v>2000</v>
      </c>
      <c r="S331" s="20">
        <f t="shared" si="42"/>
        <v>2000</v>
      </c>
      <c r="T331" s="18">
        <f t="shared" si="58"/>
        <v>4000</v>
      </c>
      <c r="U331" s="24"/>
      <c r="V331" s="25">
        <f t="shared" si="56"/>
        <v>0</v>
      </c>
    </row>
    <row r="332" spans="1:22" ht="24" customHeight="1">
      <c r="A332" s="14"/>
      <c r="B332" s="15"/>
      <c r="C332" s="16"/>
      <c r="D332" s="16">
        <v>329</v>
      </c>
      <c r="E332" s="16" t="s">
        <v>398</v>
      </c>
      <c r="F332" s="17" t="s">
        <v>24</v>
      </c>
      <c r="G332" s="18">
        <v>1</v>
      </c>
      <c r="H332" s="19">
        <v>1</v>
      </c>
      <c r="I332" s="19"/>
      <c r="J332" s="19">
        <v>2200</v>
      </c>
      <c r="K332" s="19"/>
      <c r="L332" s="20">
        <f t="shared" si="50"/>
        <v>1</v>
      </c>
      <c r="M332" s="21">
        <f t="shared" si="53"/>
        <v>1</v>
      </c>
      <c r="N332" s="22">
        <f t="shared" si="54"/>
        <v>1</v>
      </c>
      <c r="O332" s="22">
        <f t="shared" si="55"/>
        <v>0</v>
      </c>
      <c r="P332" s="20">
        <f t="shared" si="57"/>
        <v>0</v>
      </c>
      <c r="Q332" s="23">
        <f t="shared" si="51"/>
        <v>2200</v>
      </c>
      <c r="R332" s="20">
        <f t="shared" si="52"/>
        <v>2200</v>
      </c>
      <c r="S332" s="20">
        <f t="shared" si="42"/>
        <v>2200</v>
      </c>
      <c r="T332" s="18">
        <f t="shared" si="58"/>
        <v>2200</v>
      </c>
      <c r="U332" s="24"/>
      <c r="V332" s="25">
        <f t="shared" si="56"/>
        <v>0</v>
      </c>
    </row>
    <row r="333" spans="1:22" ht="24" customHeight="1">
      <c r="A333" s="14"/>
      <c r="B333" s="15"/>
      <c r="C333" s="16"/>
      <c r="D333" s="16">
        <v>330</v>
      </c>
      <c r="E333" s="16" t="s">
        <v>399</v>
      </c>
      <c r="F333" s="17" t="s">
        <v>24</v>
      </c>
      <c r="G333" s="18">
        <v>1</v>
      </c>
      <c r="H333" s="19">
        <v>2</v>
      </c>
      <c r="I333" s="19"/>
      <c r="J333" s="19">
        <v>2100</v>
      </c>
      <c r="K333" s="19"/>
      <c r="L333" s="20">
        <f t="shared" si="50"/>
        <v>2</v>
      </c>
      <c r="M333" s="21">
        <f t="shared" si="53"/>
        <v>2</v>
      </c>
      <c r="N333" s="22">
        <f t="shared" si="54"/>
        <v>2</v>
      </c>
      <c r="O333" s="22">
        <f t="shared" si="55"/>
        <v>0</v>
      </c>
      <c r="P333" s="20">
        <f t="shared" si="57"/>
        <v>0</v>
      </c>
      <c r="Q333" s="23">
        <f t="shared" si="51"/>
        <v>2100</v>
      </c>
      <c r="R333" s="20">
        <f t="shared" si="52"/>
        <v>2100</v>
      </c>
      <c r="S333" s="20">
        <f t="shared" si="42"/>
        <v>2100</v>
      </c>
      <c r="T333" s="18">
        <f t="shared" si="58"/>
        <v>4200</v>
      </c>
      <c r="U333" s="24"/>
      <c r="V333" s="25">
        <f t="shared" si="56"/>
        <v>0</v>
      </c>
    </row>
    <row r="334" spans="1:22" ht="24" customHeight="1">
      <c r="A334" s="14"/>
      <c r="B334" s="15"/>
      <c r="C334" s="16"/>
      <c r="D334" s="16">
        <v>331</v>
      </c>
      <c r="E334" s="16" t="s">
        <v>400</v>
      </c>
      <c r="F334" s="17" t="s">
        <v>24</v>
      </c>
      <c r="G334" s="18">
        <v>1</v>
      </c>
      <c r="H334" s="19">
        <v>3</v>
      </c>
      <c r="I334" s="19"/>
      <c r="J334" s="19">
        <v>1850</v>
      </c>
      <c r="K334" s="19"/>
      <c r="L334" s="20">
        <f t="shared" si="50"/>
        <v>3</v>
      </c>
      <c r="M334" s="21">
        <f t="shared" si="53"/>
        <v>3</v>
      </c>
      <c r="N334" s="22">
        <f t="shared" si="54"/>
        <v>3</v>
      </c>
      <c r="O334" s="22">
        <f t="shared" si="55"/>
        <v>0</v>
      </c>
      <c r="P334" s="20">
        <f t="shared" si="57"/>
        <v>0</v>
      </c>
      <c r="Q334" s="23">
        <f t="shared" si="51"/>
        <v>1850</v>
      </c>
      <c r="R334" s="20">
        <f t="shared" si="52"/>
        <v>1850</v>
      </c>
      <c r="S334" s="20">
        <f t="shared" si="42"/>
        <v>1850</v>
      </c>
      <c r="T334" s="18">
        <f t="shared" si="58"/>
        <v>5550</v>
      </c>
      <c r="U334" s="24"/>
      <c r="V334" s="25">
        <f t="shared" si="56"/>
        <v>0</v>
      </c>
    </row>
    <row r="335" spans="1:22" ht="24" customHeight="1">
      <c r="A335" s="14"/>
      <c r="B335" s="15"/>
      <c r="C335" s="16"/>
      <c r="D335" s="16">
        <v>332</v>
      </c>
      <c r="E335" s="16" t="s">
        <v>401</v>
      </c>
      <c r="F335" s="17" t="s">
        <v>24</v>
      </c>
      <c r="G335" s="18">
        <v>1</v>
      </c>
      <c r="H335" s="19">
        <v>1</v>
      </c>
      <c r="I335" s="19"/>
      <c r="J335" s="19">
        <v>1200</v>
      </c>
      <c r="K335" s="19"/>
      <c r="L335" s="20">
        <f t="shared" si="50"/>
        <v>1</v>
      </c>
      <c r="M335" s="21">
        <f t="shared" si="53"/>
        <v>1</v>
      </c>
      <c r="N335" s="22">
        <f t="shared" si="54"/>
        <v>1</v>
      </c>
      <c r="O335" s="22">
        <f t="shared" si="55"/>
        <v>0</v>
      </c>
      <c r="P335" s="20">
        <f t="shared" si="57"/>
        <v>0</v>
      </c>
      <c r="Q335" s="23">
        <f t="shared" si="51"/>
        <v>1200</v>
      </c>
      <c r="R335" s="20">
        <f t="shared" si="52"/>
        <v>1200</v>
      </c>
      <c r="S335" s="20">
        <f t="shared" si="42"/>
        <v>1200</v>
      </c>
      <c r="T335" s="18">
        <f t="shared" si="58"/>
        <v>1200</v>
      </c>
      <c r="U335" s="24"/>
      <c r="V335" s="25">
        <f t="shared" si="56"/>
        <v>0</v>
      </c>
    </row>
    <row r="336" spans="1:22" ht="24" customHeight="1">
      <c r="A336" s="14"/>
      <c r="B336" s="15"/>
      <c r="C336" s="16"/>
      <c r="D336" s="16">
        <v>333</v>
      </c>
      <c r="E336" s="16" t="s">
        <v>924</v>
      </c>
      <c r="F336" s="17" t="s">
        <v>24</v>
      </c>
      <c r="G336" s="18">
        <v>1</v>
      </c>
      <c r="H336" s="19">
        <v>6</v>
      </c>
      <c r="I336" s="19"/>
      <c r="J336" s="19">
        <v>1500</v>
      </c>
      <c r="K336" s="19"/>
      <c r="L336" s="20">
        <f t="shared" si="50"/>
        <v>6</v>
      </c>
      <c r="M336" s="21">
        <f t="shared" si="53"/>
        <v>6</v>
      </c>
      <c r="N336" s="22">
        <f t="shared" si="54"/>
        <v>6</v>
      </c>
      <c r="O336" s="22">
        <f t="shared" si="55"/>
        <v>0</v>
      </c>
      <c r="P336" s="20">
        <f t="shared" si="57"/>
        <v>0</v>
      </c>
      <c r="Q336" s="23">
        <f t="shared" si="51"/>
        <v>1500</v>
      </c>
      <c r="R336" s="20">
        <f t="shared" si="52"/>
        <v>1500</v>
      </c>
      <c r="S336" s="20">
        <f t="shared" si="42"/>
        <v>1500</v>
      </c>
      <c r="T336" s="18">
        <f t="shared" si="58"/>
        <v>9000</v>
      </c>
      <c r="U336" s="24"/>
      <c r="V336" s="25">
        <f t="shared" si="56"/>
        <v>0</v>
      </c>
    </row>
    <row r="337" spans="1:22" ht="24" customHeight="1">
      <c r="A337" s="14"/>
      <c r="B337" s="15"/>
      <c r="C337" s="16"/>
      <c r="D337" s="16">
        <v>334</v>
      </c>
      <c r="E337" s="16" t="s">
        <v>402</v>
      </c>
      <c r="F337" s="17" t="s">
        <v>24</v>
      </c>
      <c r="G337" s="18">
        <v>1</v>
      </c>
      <c r="H337" s="19">
        <v>1</v>
      </c>
      <c r="I337" s="19"/>
      <c r="J337" s="19">
        <v>2000</v>
      </c>
      <c r="K337" s="19"/>
      <c r="L337" s="20">
        <f t="shared" si="50"/>
        <v>1</v>
      </c>
      <c r="M337" s="21">
        <f t="shared" si="53"/>
        <v>1</v>
      </c>
      <c r="N337" s="22">
        <f t="shared" si="54"/>
        <v>1</v>
      </c>
      <c r="O337" s="22">
        <f t="shared" si="55"/>
        <v>0</v>
      </c>
      <c r="P337" s="20">
        <f t="shared" si="57"/>
        <v>0</v>
      </c>
      <c r="Q337" s="23">
        <f t="shared" si="51"/>
        <v>2000</v>
      </c>
      <c r="R337" s="20">
        <f t="shared" si="52"/>
        <v>2000</v>
      </c>
      <c r="S337" s="20">
        <f t="shared" si="42"/>
        <v>2000</v>
      </c>
      <c r="T337" s="18">
        <f t="shared" si="58"/>
        <v>2000</v>
      </c>
      <c r="U337" s="24"/>
      <c r="V337" s="25">
        <f t="shared" si="56"/>
        <v>0</v>
      </c>
    </row>
    <row r="338" spans="1:22" ht="24" customHeight="1">
      <c r="A338" s="14"/>
      <c r="B338" s="15"/>
      <c r="C338" s="16"/>
      <c r="D338" s="16">
        <v>335</v>
      </c>
      <c r="E338" s="16" t="s">
        <v>403</v>
      </c>
      <c r="F338" s="17" t="s">
        <v>24</v>
      </c>
      <c r="G338" s="18">
        <v>1</v>
      </c>
      <c r="H338" s="19">
        <v>1</v>
      </c>
      <c r="I338" s="19"/>
      <c r="J338" s="19">
        <v>2000</v>
      </c>
      <c r="K338" s="19"/>
      <c r="L338" s="20">
        <f t="shared" si="50"/>
        <v>1</v>
      </c>
      <c r="M338" s="21">
        <f t="shared" si="53"/>
        <v>1</v>
      </c>
      <c r="N338" s="22">
        <f t="shared" si="54"/>
        <v>1</v>
      </c>
      <c r="O338" s="22">
        <f t="shared" si="55"/>
        <v>0</v>
      </c>
      <c r="P338" s="20">
        <f t="shared" si="57"/>
        <v>0</v>
      </c>
      <c r="Q338" s="23">
        <f t="shared" si="51"/>
        <v>2000</v>
      </c>
      <c r="R338" s="20">
        <f t="shared" si="52"/>
        <v>2000</v>
      </c>
      <c r="S338" s="20">
        <f t="shared" si="42"/>
        <v>2000</v>
      </c>
      <c r="T338" s="18">
        <f t="shared" si="58"/>
        <v>2000</v>
      </c>
      <c r="U338" s="24"/>
      <c r="V338" s="25">
        <f t="shared" si="56"/>
        <v>0</v>
      </c>
    </row>
    <row r="339" spans="1:22" ht="24" customHeight="1">
      <c r="A339" s="14"/>
      <c r="B339" s="15"/>
      <c r="C339" s="16"/>
      <c r="D339" s="16">
        <v>336</v>
      </c>
      <c r="E339" s="16" t="s">
        <v>404</v>
      </c>
      <c r="F339" s="17" t="s">
        <v>24</v>
      </c>
      <c r="G339" s="18">
        <v>1</v>
      </c>
      <c r="H339" s="19">
        <v>6</v>
      </c>
      <c r="I339" s="19"/>
      <c r="J339" s="19">
        <v>520</v>
      </c>
      <c r="K339" s="19"/>
      <c r="L339" s="20">
        <f t="shared" si="50"/>
        <v>6</v>
      </c>
      <c r="M339" s="21">
        <f t="shared" si="53"/>
        <v>6</v>
      </c>
      <c r="N339" s="22">
        <f t="shared" si="54"/>
        <v>6</v>
      </c>
      <c r="O339" s="22">
        <f t="shared" si="55"/>
        <v>0</v>
      </c>
      <c r="P339" s="20">
        <f t="shared" si="57"/>
        <v>0</v>
      </c>
      <c r="Q339" s="23">
        <f t="shared" si="51"/>
        <v>520</v>
      </c>
      <c r="R339" s="20">
        <f t="shared" si="52"/>
        <v>520</v>
      </c>
      <c r="S339" s="20">
        <f t="shared" si="42"/>
        <v>520</v>
      </c>
      <c r="T339" s="18">
        <f t="shared" si="58"/>
        <v>3120</v>
      </c>
      <c r="U339" s="24"/>
      <c r="V339" s="25">
        <f t="shared" si="56"/>
        <v>0</v>
      </c>
    </row>
    <row r="340" spans="1:22" ht="24" customHeight="1">
      <c r="A340" s="14"/>
      <c r="B340" s="15"/>
      <c r="C340" s="16"/>
      <c r="D340" s="16">
        <v>337</v>
      </c>
      <c r="E340" s="16" t="s">
        <v>405</v>
      </c>
      <c r="F340" s="17" t="s">
        <v>24</v>
      </c>
      <c r="G340" s="18">
        <v>1</v>
      </c>
      <c r="H340" s="19">
        <v>3</v>
      </c>
      <c r="I340" s="19"/>
      <c r="J340" s="19">
        <v>1300</v>
      </c>
      <c r="K340" s="19"/>
      <c r="L340" s="20">
        <f t="shared" si="50"/>
        <v>3</v>
      </c>
      <c r="M340" s="21">
        <f t="shared" si="53"/>
        <v>3</v>
      </c>
      <c r="N340" s="22">
        <f t="shared" si="54"/>
        <v>3</v>
      </c>
      <c r="O340" s="22">
        <f t="shared" si="55"/>
        <v>0</v>
      </c>
      <c r="P340" s="20">
        <f t="shared" si="57"/>
        <v>0</v>
      </c>
      <c r="Q340" s="23">
        <f t="shared" si="51"/>
        <v>1300</v>
      </c>
      <c r="R340" s="20">
        <f t="shared" si="52"/>
        <v>1300</v>
      </c>
      <c r="S340" s="20">
        <f t="shared" si="42"/>
        <v>1300</v>
      </c>
      <c r="T340" s="18">
        <f t="shared" si="58"/>
        <v>3900</v>
      </c>
      <c r="U340" s="24"/>
      <c r="V340" s="25">
        <f t="shared" si="56"/>
        <v>0</v>
      </c>
    </row>
    <row r="341" spans="1:22" ht="24" customHeight="1">
      <c r="A341" s="14"/>
      <c r="B341" s="15"/>
      <c r="C341" s="16"/>
      <c r="D341" s="16">
        <v>338</v>
      </c>
      <c r="E341" s="16" t="s">
        <v>406</v>
      </c>
      <c r="F341" s="17" t="s">
        <v>24</v>
      </c>
      <c r="G341" s="18">
        <v>1</v>
      </c>
      <c r="H341" s="19">
        <v>3</v>
      </c>
      <c r="I341" s="19"/>
      <c r="J341" s="19">
        <v>1000</v>
      </c>
      <c r="K341" s="19"/>
      <c r="L341" s="20">
        <f t="shared" si="50"/>
        <v>3</v>
      </c>
      <c r="M341" s="21">
        <f t="shared" si="53"/>
        <v>3</v>
      </c>
      <c r="N341" s="22">
        <f t="shared" si="54"/>
        <v>3</v>
      </c>
      <c r="O341" s="22">
        <f t="shared" si="55"/>
        <v>0</v>
      </c>
      <c r="P341" s="20">
        <f t="shared" si="57"/>
        <v>0</v>
      </c>
      <c r="Q341" s="23">
        <f t="shared" si="51"/>
        <v>1000</v>
      </c>
      <c r="R341" s="20">
        <f t="shared" si="52"/>
        <v>1000</v>
      </c>
      <c r="S341" s="20">
        <f t="shared" si="42"/>
        <v>1000</v>
      </c>
      <c r="T341" s="18">
        <f t="shared" si="58"/>
        <v>3000</v>
      </c>
      <c r="U341" s="24"/>
      <c r="V341" s="25">
        <f t="shared" si="56"/>
        <v>0</v>
      </c>
    </row>
    <row r="342" spans="1:22" ht="24" customHeight="1">
      <c r="A342" s="14"/>
      <c r="B342" s="15"/>
      <c r="C342" s="16"/>
      <c r="D342" s="16">
        <v>339</v>
      </c>
      <c r="E342" s="16" t="s">
        <v>407</v>
      </c>
      <c r="F342" s="17" t="s">
        <v>24</v>
      </c>
      <c r="G342" s="18">
        <v>1</v>
      </c>
      <c r="H342" s="19">
        <v>2</v>
      </c>
      <c r="I342" s="19"/>
      <c r="J342" s="19">
        <v>600</v>
      </c>
      <c r="K342" s="19"/>
      <c r="L342" s="20">
        <f t="shared" si="50"/>
        <v>2</v>
      </c>
      <c r="M342" s="21">
        <f t="shared" si="53"/>
        <v>2</v>
      </c>
      <c r="N342" s="22">
        <f t="shared" si="54"/>
        <v>2</v>
      </c>
      <c r="O342" s="22">
        <f t="shared" si="55"/>
        <v>0</v>
      </c>
      <c r="P342" s="20">
        <f t="shared" si="57"/>
        <v>0</v>
      </c>
      <c r="Q342" s="23">
        <f t="shared" si="51"/>
        <v>600</v>
      </c>
      <c r="R342" s="20">
        <f t="shared" si="52"/>
        <v>600</v>
      </c>
      <c r="S342" s="20">
        <f t="shared" si="42"/>
        <v>600</v>
      </c>
      <c r="T342" s="18">
        <f t="shared" si="58"/>
        <v>1200</v>
      </c>
      <c r="U342" s="24"/>
      <c r="V342" s="25">
        <f t="shared" si="56"/>
        <v>0</v>
      </c>
    </row>
    <row r="343" spans="1:22" ht="24" customHeight="1">
      <c r="A343" s="14"/>
      <c r="B343" s="15"/>
      <c r="C343" s="16"/>
      <c r="D343" s="16">
        <v>340</v>
      </c>
      <c r="E343" s="16" t="s">
        <v>408</v>
      </c>
      <c r="F343" s="17" t="s">
        <v>24</v>
      </c>
      <c r="G343" s="18">
        <v>1</v>
      </c>
      <c r="H343" s="19">
        <v>5</v>
      </c>
      <c r="I343" s="19"/>
      <c r="J343" s="19">
        <v>2000</v>
      </c>
      <c r="K343" s="19"/>
      <c r="L343" s="20">
        <f t="shared" si="50"/>
        <v>5</v>
      </c>
      <c r="M343" s="21">
        <f t="shared" si="53"/>
        <v>5</v>
      </c>
      <c r="N343" s="22">
        <f t="shared" si="54"/>
        <v>5</v>
      </c>
      <c r="O343" s="22">
        <f t="shared" si="55"/>
        <v>0</v>
      </c>
      <c r="P343" s="20">
        <f t="shared" si="57"/>
        <v>0</v>
      </c>
      <c r="Q343" s="23">
        <f t="shared" si="51"/>
        <v>2000</v>
      </c>
      <c r="R343" s="20">
        <f t="shared" si="52"/>
        <v>2000</v>
      </c>
      <c r="S343" s="20">
        <f t="shared" si="42"/>
        <v>2000</v>
      </c>
      <c r="T343" s="18">
        <f t="shared" si="58"/>
        <v>10000</v>
      </c>
      <c r="U343" s="24"/>
      <c r="V343" s="25">
        <f t="shared" si="56"/>
        <v>0</v>
      </c>
    </row>
    <row r="344" spans="1:22" ht="24" customHeight="1">
      <c r="A344" s="14"/>
      <c r="B344" s="15"/>
      <c r="C344" s="16"/>
      <c r="D344" s="16">
        <v>341</v>
      </c>
      <c r="E344" s="16" t="s">
        <v>409</v>
      </c>
      <c r="F344" s="17" t="s">
        <v>24</v>
      </c>
      <c r="G344" s="18">
        <v>1</v>
      </c>
      <c r="H344" s="19">
        <v>1</v>
      </c>
      <c r="I344" s="19"/>
      <c r="J344" s="19">
        <v>2000</v>
      </c>
      <c r="K344" s="19"/>
      <c r="L344" s="20">
        <f t="shared" si="50"/>
        <v>1</v>
      </c>
      <c r="M344" s="21">
        <f t="shared" si="53"/>
        <v>1</v>
      </c>
      <c r="N344" s="22">
        <f t="shared" si="54"/>
        <v>1</v>
      </c>
      <c r="O344" s="22">
        <f t="shared" si="55"/>
        <v>0</v>
      </c>
      <c r="P344" s="20">
        <f t="shared" si="57"/>
        <v>0</v>
      </c>
      <c r="Q344" s="23">
        <f t="shared" si="51"/>
        <v>2000</v>
      </c>
      <c r="R344" s="20">
        <f t="shared" si="52"/>
        <v>2000</v>
      </c>
      <c r="S344" s="20">
        <f t="shared" si="42"/>
        <v>2000</v>
      </c>
      <c r="T344" s="18">
        <f t="shared" si="58"/>
        <v>2000</v>
      </c>
      <c r="U344" s="24"/>
      <c r="V344" s="25">
        <f t="shared" si="56"/>
        <v>0</v>
      </c>
    </row>
    <row r="345" spans="1:22" ht="24" customHeight="1">
      <c r="A345" s="14"/>
      <c r="B345" s="15"/>
      <c r="C345" s="16"/>
      <c r="D345" s="16">
        <v>342</v>
      </c>
      <c r="E345" s="43" t="s">
        <v>410</v>
      </c>
      <c r="F345" s="17" t="s">
        <v>24</v>
      </c>
      <c r="G345" s="18">
        <v>1</v>
      </c>
      <c r="H345" s="19">
        <v>3</v>
      </c>
      <c r="I345" s="19"/>
      <c r="J345" s="19">
        <v>1000</v>
      </c>
      <c r="K345" s="19"/>
      <c r="L345" s="20">
        <f t="shared" si="50"/>
        <v>3</v>
      </c>
      <c r="M345" s="21">
        <f t="shared" si="53"/>
        <v>3</v>
      </c>
      <c r="N345" s="22">
        <f t="shared" si="54"/>
        <v>3</v>
      </c>
      <c r="O345" s="22">
        <f t="shared" si="55"/>
        <v>0</v>
      </c>
      <c r="P345" s="20">
        <f t="shared" si="57"/>
        <v>0</v>
      </c>
      <c r="Q345" s="23">
        <f t="shared" si="51"/>
        <v>1000</v>
      </c>
      <c r="R345" s="20">
        <f t="shared" si="52"/>
        <v>1000</v>
      </c>
      <c r="S345" s="20">
        <f t="shared" si="42"/>
        <v>1000</v>
      </c>
      <c r="T345" s="18">
        <f t="shared" si="58"/>
        <v>3000</v>
      </c>
      <c r="U345" s="24" t="s">
        <v>152</v>
      </c>
      <c r="V345" s="25">
        <f t="shared" si="56"/>
        <v>0</v>
      </c>
    </row>
    <row r="346" spans="1:22" ht="24" customHeight="1">
      <c r="A346" s="14"/>
      <c r="B346" s="15"/>
      <c r="C346" s="16"/>
      <c r="D346" s="16">
        <v>343</v>
      </c>
      <c r="E346" s="16" t="s">
        <v>411</v>
      </c>
      <c r="F346" s="17" t="s">
        <v>24</v>
      </c>
      <c r="G346" s="18">
        <v>1</v>
      </c>
      <c r="H346" s="19">
        <v>2</v>
      </c>
      <c r="I346" s="19"/>
      <c r="J346" s="19">
        <v>900</v>
      </c>
      <c r="K346" s="19"/>
      <c r="L346" s="20">
        <f t="shared" si="50"/>
        <v>2</v>
      </c>
      <c r="M346" s="21">
        <f t="shared" si="53"/>
        <v>2</v>
      </c>
      <c r="N346" s="22">
        <f t="shared" si="54"/>
        <v>2</v>
      </c>
      <c r="O346" s="22">
        <f t="shared" si="55"/>
        <v>0</v>
      </c>
      <c r="P346" s="20">
        <f t="shared" si="57"/>
        <v>0</v>
      </c>
      <c r="Q346" s="23">
        <f t="shared" si="51"/>
        <v>900</v>
      </c>
      <c r="R346" s="20">
        <f t="shared" si="52"/>
        <v>900</v>
      </c>
      <c r="S346" s="20">
        <f t="shared" si="42"/>
        <v>900</v>
      </c>
      <c r="T346" s="18">
        <f t="shared" si="58"/>
        <v>1800</v>
      </c>
      <c r="U346" s="24"/>
      <c r="V346" s="25">
        <f t="shared" si="56"/>
        <v>0</v>
      </c>
    </row>
    <row r="347" spans="1:22" ht="24" customHeight="1">
      <c r="A347" s="14"/>
      <c r="B347" s="15"/>
      <c r="C347" s="16"/>
      <c r="D347" s="16">
        <v>344</v>
      </c>
      <c r="E347" s="16" t="s">
        <v>412</v>
      </c>
      <c r="F347" s="17" t="s">
        <v>24</v>
      </c>
      <c r="G347" s="18">
        <v>1</v>
      </c>
      <c r="H347" s="19">
        <v>3</v>
      </c>
      <c r="I347" s="19"/>
      <c r="J347" s="19">
        <v>2000</v>
      </c>
      <c r="K347" s="19"/>
      <c r="L347" s="20">
        <f t="shared" si="50"/>
        <v>3</v>
      </c>
      <c r="M347" s="21">
        <f t="shared" si="53"/>
        <v>3</v>
      </c>
      <c r="N347" s="22">
        <f t="shared" si="54"/>
        <v>3</v>
      </c>
      <c r="O347" s="22">
        <f t="shared" si="55"/>
        <v>0</v>
      </c>
      <c r="P347" s="20">
        <f t="shared" si="57"/>
        <v>0</v>
      </c>
      <c r="Q347" s="23">
        <f t="shared" si="51"/>
        <v>2000</v>
      </c>
      <c r="R347" s="20">
        <f t="shared" si="52"/>
        <v>2000</v>
      </c>
      <c r="S347" s="20">
        <f t="shared" si="42"/>
        <v>2000</v>
      </c>
      <c r="T347" s="18">
        <f t="shared" si="58"/>
        <v>6000</v>
      </c>
      <c r="U347" s="24"/>
      <c r="V347" s="25">
        <f t="shared" si="56"/>
        <v>0</v>
      </c>
    </row>
    <row r="348" spans="1:22" ht="24" customHeight="1">
      <c r="A348" s="14"/>
      <c r="B348" s="15"/>
      <c r="C348" s="16"/>
      <c r="D348" s="16">
        <v>345</v>
      </c>
      <c r="E348" s="16" t="s">
        <v>413</v>
      </c>
      <c r="F348" s="17" t="s">
        <v>24</v>
      </c>
      <c r="G348" s="18">
        <v>1</v>
      </c>
      <c r="H348" s="19">
        <v>2</v>
      </c>
      <c r="I348" s="19"/>
      <c r="J348" s="19">
        <v>2000</v>
      </c>
      <c r="K348" s="19"/>
      <c r="L348" s="20">
        <f t="shared" si="50"/>
        <v>2</v>
      </c>
      <c r="M348" s="21">
        <f t="shared" si="53"/>
        <v>2</v>
      </c>
      <c r="N348" s="22">
        <f t="shared" si="54"/>
        <v>2</v>
      </c>
      <c r="O348" s="22">
        <f t="shared" si="55"/>
        <v>0</v>
      </c>
      <c r="P348" s="20">
        <f t="shared" si="57"/>
        <v>0</v>
      </c>
      <c r="Q348" s="23">
        <f t="shared" si="51"/>
        <v>2000</v>
      </c>
      <c r="R348" s="20">
        <f t="shared" si="52"/>
        <v>2000</v>
      </c>
      <c r="S348" s="20">
        <f t="shared" si="42"/>
        <v>2000</v>
      </c>
      <c r="T348" s="18">
        <f t="shared" si="58"/>
        <v>4000</v>
      </c>
      <c r="U348" s="24"/>
      <c r="V348" s="25">
        <f t="shared" si="56"/>
        <v>0</v>
      </c>
    </row>
    <row r="349" spans="1:22" ht="24" customHeight="1">
      <c r="A349" s="14"/>
      <c r="B349" s="15"/>
      <c r="C349" s="16"/>
      <c r="D349" s="16">
        <v>346</v>
      </c>
      <c r="E349" s="16" t="s">
        <v>414</v>
      </c>
      <c r="F349" s="17" t="s">
        <v>24</v>
      </c>
      <c r="G349" s="18">
        <v>1</v>
      </c>
      <c r="H349" s="19">
        <v>1</v>
      </c>
      <c r="I349" s="19"/>
      <c r="J349" s="19">
        <v>1200</v>
      </c>
      <c r="K349" s="19"/>
      <c r="L349" s="20">
        <f t="shared" ref="L349:L412" si="59">I349*G349+H349</f>
        <v>1</v>
      </c>
      <c r="M349" s="21">
        <f t="shared" si="53"/>
        <v>1</v>
      </c>
      <c r="N349" s="22">
        <f t="shared" si="54"/>
        <v>1</v>
      </c>
      <c r="O349" s="22">
        <f t="shared" si="55"/>
        <v>0</v>
      </c>
      <c r="P349" s="20">
        <f t="shared" si="57"/>
        <v>0</v>
      </c>
      <c r="Q349" s="23">
        <f t="shared" ref="Q349:Q412" si="60">IFERROR(J349*G349,"")</f>
        <v>1200</v>
      </c>
      <c r="R349" s="20">
        <f t="shared" si="52"/>
        <v>1200</v>
      </c>
      <c r="S349" s="20">
        <f t="shared" si="42"/>
        <v>1200</v>
      </c>
      <c r="T349" s="18">
        <f t="shared" si="58"/>
        <v>1200</v>
      </c>
      <c r="U349" s="24"/>
      <c r="V349" s="25">
        <f t="shared" si="56"/>
        <v>0</v>
      </c>
    </row>
    <row r="350" spans="1:22" ht="24" customHeight="1">
      <c r="A350" s="14"/>
      <c r="B350" s="15"/>
      <c r="C350" s="16"/>
      <c r="D350" s="16">
        <v>347</v>
      </c>
      <c r="E350" s="16" t="s">
        <v>415</v>
      </c>
      <c r="F350" s="17" t="s">
        <v>24</v>
      </c>
      <c r="G350" s="18">
        <v>1</v>
      </c>
      <c r="H350" s="19">
        <v>1</v>
      </c>
      <c r="I350" s="19"/>
      <c r="J350" s="19">
        <v>1000</v>
      </c>
      <c r="K350" s="19"/>
      <c r="L350" s="20">
        <f t="shared" si="59"/>
        <v>1</v>
      </c>
      <c r="M350" s="21">
        <f t="shared" si="53"/>
        <v>1</v>
      </c>
      <c r="N350" s="22">
        <f t="shared" si="54"/>
        <v>1</v>
      </c>
      <c r="O350" s="22">
        <f t="shared" si="55"/>
        <v>0</v>
      </c>
      <c r="P350" s="20">
        <f t="shared" si="57"/>
        <v>0</v>
      </c>
      <c r="Q350" s="23">
        <f t="shared" si="60"/>
        <v>1000</v>
      </c>
      <c r="R350" s="20">
        <f t="shared" si="52"/>
        <v>1000</v>
      </c>
      <c r="S350" s="20">
        <f t="shared" si="42"/>
        <v>1000</v>
      </c>
      <c r="T350" s="18">
        <f t="shared" si="58"/>
        <v>1000</v>
      </c>
      <c r="U350" s="24"/>
      <c r="V350" s="25">
        <f t="shared" si="56"/>
        <v>0</v>
      </c>
    </row>
    <row r="351" spans="1:22" ht="24" customHeight="1">
      <c r="A351" s="14"/>
      <c r="B351" s="15"/>
      <c r="C351" s="16"/>
      <c r="D351" s="16">
        <v>348</v>
      </c>
      <c r="E351" s="16" t="s">
        <v>416</v>
      </c>
      <c r="F351" s="17" t="s">
        <v>24</v>
      </c>
      <c r="G351" s="18">
        <v>1</v>
      </c>
      <c r="H351" s="19">
        <v>2</v>
      </c>
      <c r="I351" s="19"/>
      <c r="J351" s="19">
        <v>900</v>
      </c>
      <c r="K351" s="19"/>
      <c r="L351" s="20">
        <f t="shared" si="59"/>
        <v>2</v>
      </c>
      <c r="M351" s="21">
        <f t="shared" si="53"/>
        <v>2</v>
      </c>
      <c r="N351" s="22">
        <f t="shared" si="54"/>
        <v>2</v>
      </c>
      <c r="O351" s="22">
        <f t="shared" si="55"/>
        <v>0</v>
      </c>
      <c r="P351" s="20">
        <f t="shared" si="57"/>
        <v>0</v>
      </c>
      <c r="Q351" s="23">
        <f t="shared" si="60"/>
        <v>900</v>
      </c>
      <c r="R351" s="20">
        <f t="shared" si="52"/>
        <v>900</v>
      </c>
      <c r="S351" s="20">
        <f t="shared" si="42"/>
        <v>900</v>
      </c>
      <c r="T351" s="18">
        <f t="shared" si="58"/>
        <v>1800</v>
      </c>
      <c r="U351" s="24"/>
      <c r="V351" s="25">
        <f t="shared" si="56"/>
        <v>0</v>
      </c>
    </row>
    <row r="352" spans="1:22" ht="24" customHeight="1">
      <c r="A352" s="14"/>
      <c r="B352" s="15"/>
      <c r="C352" s="16"/>
      <c r="D352" s="16">
        <v>349</v>
      </c>
      <c r="E352" s="16" t="s">
        <v>417</v>
      </c>
      <c r="F352" s="17" t="s">
        <v>24</v>
      </c>
      <c r="G352" s="18">
        <v>1</v>
      </c>
      <c r="H352" s="19">
        <v>1</v>
      </c>
      <c r="I352" s="19"/>
      <c r="J352" s="19">
        <v>900</v>
      </c>
      <c r="K352" s="19"/>
      <c r="L352" s="20">
        <f t="shared" si="59"/>
        <v>1</v>
      </c>
      <c r="M352" s="21">
        <f t="shared" si="53"/>
        <v>1</v>
      </c>
      <c r="N352" s="22">
        <f t="shared" si="54"/>
        <v>1</v>
      </c>
      <c r="O352" s="22">
        <f t="shared" si="55"/>
        <v>0</v>
      </c>
      <c r="P352" s="20">
        <f t="shared" si="57"/>
        <v>0</v>
      </c>
      <c r="Q352" s="23">
        <f t="shared" si="60"/>
        <v>900</v>
      </c>
      <c r="R352" s="20">
        <f t="shared" si="52"/>
        <v>900</v>
      </c>
      <c r="S352" s="20">
        <f t="shared" si="42"/>
        <v>900</v>
      </c>
      <c r="T352" s="18">
        <f t="shared" si="58"/>
        <v>900</v>
      </c>
      <c r="U352" s="24"/>
      <c r="V352" s="25">
        <f t="shared" si="56"/>
        <v>0</v>
      </c>
    </row>
    <row r="353" spans="1:22" ht="24" customHeight="1">
      <c r="A353" s="14"/>
      <c r="B353" s="15"/>
      <c r="C353" s="16"/>
      <c r="D353" s="16">
        <v>350</v>
      </c>
      <c r="E353" s="16" t="s">
        <v>418</v>
      </c>
      <c r="F353" s="17" t="s">
        <v>24</v>
      </c>
      <c r="G353" s="18">
        <v>1</v>
      </c>
      <c r="H353" s="19">
        <v>1</v>
      </c>
      <c r="I353" s="19"/>
      <c r="J353" s="19">
        <v>500</v>
      </c>
      <c r="K353" s="19"/>
      <c r="L353" s="20">
        <f t="shared" si="59"/>
        <v>1</v>
      </c>
      <c r="M353" s="21">
        <f t="shared" si="53"/>
        <v>1</v>
      </c>
      <c r="N353" s="22">
        <f t="shared" si="54"/>
        <v>1</v>
      </c>
      <c r="O353" s="22">
        <f t="shared" si="55"/>
        <v>0</v>
      </c>
      <c r="P353" s="20">
        <f t="shared" si="57"/>
        <v>0</v>
      </c>
      <c r="Q353" s="23">
        <f t="shared" si="60"/>
        <v>500</v>
      </c>
      <c r="R353" s="20">
        <f t="shared" si="52"/>
        <v>500</v>
      </c>
      <c r="S353" s="20">
        <f t="shared" si="42"/>
        <v>500</v>
      </c>
      <c r="T353" s="18">
        <f t="shared" si="58"/>
        <v>500</v>
      </c>
      <c r="U353" s="24"/>
      <c r="V353" s="25">
        <f t="shared" si="56"/>
        <v>0</v>
      </c>
    </row>
    <row r="354" spans="1:22" ht="24" customHeight="1">
      <c r="A354" s="14"/>
      <c r="B354" s="15"/>
      <c r="C354" s="16"/>
      <c r="D354" s="16">
        <v>351</v>
      </c>
      <c r="E354" s="16" t="s">
        <v>419</v>
      </c>
      <c r="F354" s="17" t="s">
        <v>24</v>
      </c>
      <c r="G354" s="18">
        <v>1</v>
      </c>
      <c r="H354" s="19">
        <v>17</v>
      </c>
      <c r="I354" s="19"/>
      <c r="J354" s="19">
        <v>520</v>
      </c>
      <c r="K354" s="19"/>
      <c r="L354" s="20">
        <f t="shared" si="59"/>
        <v>17</v>
      </c>
      <c r="M354" s="21">
        <f t="shared" si="53"/>
        <v>17</v>
      </c>
      <c r="N354" s="22">
        <f t="shared" si="54"/>
        <v>17</v>
      </c>
      <c r="O354" s="22">
        <f t="shared" si="55"/>
        <v>0</v>
      </c>
      <c r="P354" s="20">
        <f t="shared" si="57"/>
        <v>0</v>
      </c>
      <c r="Q354" s="23">
        <f t="shared" si="60"/>
        <v>520</v>
      </c>
      <c r="R354" s="20">
        <f t="shared" si="52"/>
        <v>520</v>
      </c>
      <c r="S354" s="20">
        <f t="shared" si="42"/>
        <v>520</v>
      </c>
      <c r="T354" s="18">
        <f t="shared" si="58"/>
        <v>8840</v>
      </c>
      <c r="U354" s="24"/>
      <c r="V354" s="25">
        <f t="shared" si="56"/>
        <v>0</v>
      </c>
    </row>
    <row r="355" spans="1:22" ht="24" customHeight="1">
      <c r="A355" s="14"/>
      <c r="B355" s="15"/>
      <c r="C355" s="16"/>
      <c r="D355" s="16">
        <v>352</v>
      </c>
      <c r="E355" s="16" t="s">
        <v>420</v>
      </c>
      <c r="F355" s="17" t="s">
        <v>24</v>
      </c>
      <c r="G355" s="18">
        <v>1</v>
      </c>
      <c r="H355" s="19">
        <v>2</v>
      </c>
      <c r="I355" s="19"/>
      <c r="J355" s="19">
        <v>1750</v>
      </c>
      <c r="K355" s="19"/>
      <c r="L355" s="20">
        <f t="shared" si="59"/>
        <v>2</v>
      </c>
      <c r="M355" s="21">
        <f t="shared" si="53"/>
        <v>2</v>
      </c>
      <c r="N355" s="22">
        <f t="shared" si="54"/>
        <v>2</v>
      </c>
      <c r="O355" s="22">
        <f t="shared" si="55"/>
        <v>0</v>
      </c>
      <c r="P355" s="20">
        <f t="shared" si="57"/>
        <v>0</v>
      </c>
      <c r="Q355" s="23">
        <f t="shared" si="60"/>
        <v>1750</v>
      </c>
      <c r="R355" s="20">
        <f t="shared" si="52"/>
        <v>1750</v>
      </c>
      <c r="S355" s="20">
        <f t="shared" si="42"/>
        <v>1750</v>
      </c>
      <c r="T355" s="18">
        <f t="shared" si="58"/>
        <v>3500</v>
      </c>
      <c r="U355" s="24"/>
      <c r="V355" s="25">
        <f t="shared" si="56"/>
        <v>0</v>
      </c>
    </row>
    <row r="356" spans="1:22" ht="24" customHeight="1">
      <c r="A356" s="14"/>
      <c r="B356" s="15"/>
      <c r="C356" s="16"/>
      <c r="D356" s="16">
        <v>353</v>
      </c>
      <c r="E356" s="16" t="s">
        <v>421</v>
      </c>
      <c r="F356" s="17" t="s">
        <v>24</v>
      </c>
      <c r="G356" s="18">
        <v>1</v>
      </c>
      <c r="H356" s="19">
        <v>1</v>
      </c>
      <c r="I356" s="19"/>
      <c r="J356" s="19">
        <v>600</v>
      </c>
      <c r="K356" s="19"/>
      <c r="L356" s="20">
        <f t="shared" si="59"/>
        <v>1</v>
      </c>
      <c r="M356" s="21">
        <f t="shared" si="53"/>
        <v>1</v>
      </c>
      <c r="N356" s="22">
        <f t="shared" si="54"/>
        <v>1</v>
      </c>
      <c r="O356" s="22">
        <f t="shared" si="55"/>
        <v>0</v>
      </c>
      <c r="P356" s="20">
        <f t="shared" si="57"/>
        <v>0</v>
      </c>
      <c r="Q356" s="23">
        <f t="shared" si="60"/>
        <v>600</v>
      </c>
      <c r="R356" s="20">
        <f t="shared" si="52"/>
        <v>600</v>
      </c>
      <c r="S356" s="20">
        <f t="shared" si="42"/>
        <v>600</v>
      </c>
      <c r="T356" s="18">
        <f t="shared" si="58"/>
        <v>600</v>
      </c>
      <c r="U356" s="24"/>
      <c r="V356" s="25">
        <f t="shared" si="56"/>
        <v>0</v>
      </c>
    </row>
    <row r="357" spans="1:22" ht="24" customHeight="1">
      <c r="A357" s="14"/>
      <c r="B357" s="15"/>
      <c r="C357" s="16"/>
      <c r="D357" s="16">
        <v>354</v>
      </c>
      <c r="E357" s="16" t="s">
        <v>422</v>
      </c>
      <c r="F357" s="17" t="s">
        <v>24</v>
      </c>
      <c r="G357" s="18">
        <v>1</v>
      </c>
      <c r="H357" s="19">
        <v>3</v>
      </c>
      <c r="I357" s="19"/>
      <c r="J357" s="19">
        <v>620</v>
      </c>
      <c r="K357" s="19"/>
      <c r="L357" s="20">
        <f t="shared" si="59"/>
        <v>3</v>
      </c>
      <c r="M357" s="21">
        <f t="shared" si="53"/>
        <v>3</v>
      </c>
      <c r="N357" s="22">
        <f t="shared" si="54"/>
        <v>3</v>
      </c>
      <c r="O357" s="22">
        <f t="shared" si="55"/>
        <v>0</v>
      </c>
      <c r="P357" s="20">
        <f t="shared" si="57"/>
        <v>0</v>
      </c>
      <c r="Q357" s="23">
        <f t="shared" si="60"/>
        <v>620</v>
      </c>
      <c r="R357" s="20">
        <f t="shared" si="52"/>
        <v>620</v>
      </c>
      <c r="S357" s="20">
        <f t="shared" si="42"/>
        <v>620</v>
      </c>
      <c r="T357" s="18">
        <f t="shared" si="58"/>
        <v>1860</v>
      </c>
      <c r="U357" s="24"/>
      <c r="V357" s="25">
        <f t="shared" si="56"/>
        <v>0</v>
      </c>
    </row>
    <row r="358" spans="1:22" ht="24" customHeight="1">
      <c r="A358" s="14"/>
      <c r="B358" s="15"/>
      <c r="C358" s="16"/>
      <c r="D358" s="16">
        <v>355</v>
      </c>
      <c r="E358" s="16" t="s">
        <v>423</v>
      </c>
      <c r="F358" s="17" t="s">
        <v>24</v>
      </c>
      <c r="G358" s="18">
        <v>1</v>
      </c>
      <c r="H358" s="19">
        <v>1</v>
      </c>
      <c r="I358" s="19"/>
      <c r="J358" s="19">
        <v>1200</v>
      </c>
      <c r="K358" s="19"/>
      <c r="L358" s="20">
        <f t="shared" si="59"/>
        <v>1</v>
      </c>
      <c r="M358" s="21">
        <f t="shared" si="53"/>
        <v>1</v>
      </c>
      <c r="N358" s="22">
        <f t="shared" si="54"/>
        <v>1</v>
      </c>
      <c r="O358" s="22">
        <f t="shared" si="55"/>
        <v>0</v>
      </c>
      <c r="P358" s="20">
        <f t="shared" si="57"/>
        <v>0</v>
      </c>
      <c r="Q358" s="23">
        <f t="shared" si="60"/>
        <v>1200</v>
      </c>
      <c r="R358" s="20">
        <f t="shared" si="52"/>
        <v>1200</v>
      </c>
      <c r="S358" s="20">
        <f t="shared" si="42"/>
        <v>1200</v>
      </c>
      <c r="T358" s="18">
        <f t="shared" si="58"/>
        <v>1200</v>
      </c>
      <c r="U358" s="24"/>
      <c r="V358" s="25">
        <f t="shared" si="56"/>
        <v>0</v>
      </c>
    </row>
    <row r="359" spans="1:22" ht="24" customHeight="1">
      <c r="A359" s="14"/>
      <c r="B359" s="15"/>
      <c r="C359" s="16"/>
      <c r="D359" s="16">
        <v>356</v>
      </c>
      <c r="E359" s="16" t="s">
        <v>424</v>
      </c>
      <c r="F359" s="17" t="s">
        <v>24</v>
      </c>
      <c r="G359" s="18">
        <v>1</v>
      </c>
      <c r="H359" s="19">
        <v>2</v>
      </c>
      <c r="I359" s="19"/>
      <c r="J359" s="19">
        <v>3500</v>
      </c>
      <c r="K359" s="19"/>
      <c r="L359" s="20">
        <f t="shared" si="59"/>
        <v>2</v>
      </c>
      <c r="M359" s="21">
        <f t="shared" si="53"/>
        <v>2</v>
      </c>
      <c r="N359" s="22">
        <f t="shared" si="54"/>
        <v>2</v>
      </c>
      <c r="O359" s="22">
        <f t="shared" si="55"/>
        <v>0</v>
      </c>
      <c r="P359" s="20">
        <f t="shared" si="57"/>
        <v>0</v>
      </c>
      <c r="Q359" s="23">
        <f t="shared" si="60"/>
        <v>3500</v>
      </c>
      <c r="R359" s="20">
        <f t="shared" si="52"/>
        <v>3500</v>
      </c>
      <c r="S359" s="20">
        <f t="shared" si="42"/>
        <v>3500</v>
      </c>
      <c r="T359" s="18">
        <f t="shared" si="58"/>
        <v>7000</v>
      </c>
      <c r="U359" s="24"/>
      <c r="V359" s="25">
        <f t="shared" si="56"/>
        <v>0</v>
      </c>
    </row>
    <row r="360" spans="1:22" ht="24" customHeight="1">
      <c r="A360" s="14"/>
      <c r="B360" s="15"/>
      <c r="C360" s="16"/>
      <c r="D360" s="16">
        <v>357</v>
      </c>
      <c r="E360" s="16" t="s">
        <v>25</v>
      </c>
      <c r="F360" s="17" t="s">
        <v>24</v>
      </c>
      <c r="G360" s="18">
        <v>1</v>
      </c>
      <c r="H360" s="19">
        <v>2</v>
      </c>
      <c r="I360" s="19"/>
      <c r="J360" s="19">
        <v>2800</v>
      </c>
      <c r="K360" s="19"/>
      <c r="L360" s="20">
        <f t="shared" si="59"/>
        <v>2</v>
      </c>
      <c r="M360" s="21">
        <f t="shared" si="53"/>
        <v>2</v>
      </c>
      <c r="N360" s="22">
        <f t="shared" si="54"/>
        <v>2</v>
      </c>
      <c r="O360" s="22">
        <f t="shared" si="55"/>
        <v>0</v>
      </c>
      <c r="P360" s="20">
        <f t="shared" si="57"/>
        <v>0</v>
      </c>
      <c r="Q360" s="23">
        <f t="shared" si="60"/>
        <v>2800</v>
      </c>
      <c r="R360" s="20">
        <f t="shared" si="52"/>
        <v>2800</v>
      </c>
      <c r="S360" s="20">
        <f t="shared" si="42"/>
        <v>2800</v>
      </c>
      <c r="T360" s="18">
        <f t="shared" si="58"/>
        <v>5600</v>
      </c>
      <c r="U360" s="24"/>
      <c r="V360" s="25">
        <f t="shared" si="56"/>
        <v>0</v>
      </c>
    </row>
    <row r="361" spans="1:22" ht="24" customHeight="1">
      <c r="A361" s="14"/>
      <c r="B361" s="15"/>
      <c r="C361" s="16"/>
      <c r="D361" s="16">
        <v>358</v>
      </c>
      <c r="E361" s="16" t="s">
        <v>885</v>
      </c>
      <c r="F361" s="17" t="s">
        <v>24</v>
      </c>
      <c r="G361" s="18">
        <v>1</v>
      </c>
      <c r="H361" s="19">
        <v>1</v>
      </c>
      <c r="I361" s="19"/>
      <c r="J361" s="19">
        <v>600</v>
      </c>
      <c r="K361" s="19"/>
      <c r="L361" s="20">
        <f t="shared" si="59"/>
        <v>1</v>
      </c>
      <c r="M361" s="21">
        <f t="shared" si="53"/>
        <v>1</v>
      </c>
      <c r="N361" s="22">
        <f t="shared" si="54"/>
        <v>1</v>
      </c>
      <c r="O361" s="22">
        <f t="shared" si="55"/>
        <v>0</v>
      </c>
      <c r="P361" s="20">
        <f t="shared" si="57"/>
        <v>0</v>
      </c>
      <c r="Q361" s="23">
        <f t="shared" si="60"/>
        <v>600</v>
      </c>
      <c r="R361" s="20">
        <f t="shared" si="52"/>
        <v>600</v>
      </c>
      <c r="S361" s="20">
        <f t="shared" si="42"/>
        <v>600</v>
      </c>
      <c r="T361" s="18">
        <f t="shared" si="58"/>
        <v>600</v>
      </c>
      <c r="U361" s="24"/>
      <c r="V361" s="25">
        <f t="shared" si="56"/>
        <v>0</v>
      </c>
    </row>
    <row r="362" spans="1:22" ht="24" customHeight="1">
      <c r="A362" s="14"/>
      <c r="B362" s="15"/>
      <c r="C362" s="16"/>
      <c r="D362" s="16">
        <v>359</v>
      </c>
      <c r="E362" s="16" t="s">
        <v>425</v>
      </c>
      <c r="F362" s="17" t="s">
        <v>24</v>
      </c>
      <c r="G362" s="18">
        <v>1</v>
      </c>
      <c r="H362" s="19">
        <v>2</v>
      </c>
      <c r="I362" s="19"/>
      <c r="J362" s="19">
        <v>700</v>
      </c>
      <c r="K362" s="19"/>
      <c r="L362" s="20">
        <f t="shared" si="59"/>
        <v>2</v>
      </c>
      <c r="M362" s="21">
        <f t="shared" si="53"/>
        <v>2</v>
      </c>
      <c r="N362" s="22">
        <f t="shared" si="54"/>
        <v>2</v>
      </c>
      <c r="O362" s="22">
        <f t="shared" si="55"/>
        <v>0</v>
      </c>
      <c r="P362" s="20">
        <f t="shared" si="57"/>
        <v>0</v>
      </c>
      <c r="Q362" s="23">
        <f t="shared" si="60"/>
        <v>700</v>
      </c>
      <c r="R362" s="20">
        <f t="shared" si="52"/>
        <v>700</v>
      </c>
      <c r="S362" s="20">
        <f t="shared" si="42"/>
        <v>700</v>
      </c>
      <c r="T362" s="18">
        <f t="shared" si="58"/>
        <v>1400</v>
      </c>
      <c r="U362" s="24"/>
      <c r="V362" s="25">
        <f t="shared" si="56"/>
        <v>0</v>
      </c>
    </row>
    <row r="363" spans="1:22" ht="24" customHeight="1">
      <c r="A363" s="14"/>
      <c r="B363" s="15"/>
      <c r="C363" s="16"/>
      <c r="D363" s="16">
        <v>360</v>
      </c>
      <c r="E363" s="16" t="s">
        <v>426</v>
      </c>
      <c r="F363" s="17" t="s">
        <v>24</v>
      </c>
      <c r="G363" s="18">
        <v>1</v>
      </c>
      <c r="H363" s="19">
        <v>1</v>
      </c>
      <c r="I363" s="19"/>
      <c r="J363" s="19">
        <v>2700</v>
      </c>
      <c r="K363" s="19"/>
      <c r="L363" s="20">
        <f t="shared" si="59"/>
        <v>1</v>
      </c>
      <c r="M363" s="21">
        <f t="shared" si="53"/>
        <v>1</v>
      </c>
      <c r="N363" s="22">
        <f t="shared" si="54"/>
        <v>1</v>
      </c>
      <c r="O363" s="22">
        <f t="shared" si="55"/>
        <v>0</v>
      </c>
      <c r="P363" s="20">
        <f t="shared" si="57"/>
        <v>0</v>
      </c>
      <c r="Q363" s="23">
        <f t="shared" si="60"/>
        <v>2700</v>
      </c>
      <c r="R363" s="20">
        <f t="shared" si="52"/>
        <v>2700</v>
      </c>
      <c r="S363" s="20">
        <f t="shared" si="42"/>
        <v>2700</v>
      </c>
      <c r="T363" s="18">
        <f t="shared" si="58"/>
        <v>2700</v>
      </c>
      <c r="U363" s="24"/>
      <c r="V363" s="25">
        <f t="shared" si="56"/>
        <v>0</v>
      </c>
    </row>
    <row r="364" spans="1:22" ht="24" customHeight="1">
      <c r="A364" s="14"/>
      <c r="B364" s="15"/>
      <c r="C364" s="16"/>
      <c r="D364" s="16">
        <v>361</v>
      </c>
      <c r="E364" s="16" t="s">
        <v>427</v>
      </c>
      <c r="F364" s="17" t="s">
        <v>24</v>
      </c>
      <c r="G364" s="18">
        <v>1</v>
      </c>
      <c r="H364" s="19">
        <v>2</v>
      </c>
      <c r="I364" s="19"/>
      <c r="J364" s="19">
        <v>2600</v>
      </c>
      <c r="K364" s="19"/>
      <c r="L364" s="20">
        <f t="shared" si="59"/>
        <v>2</v>
      </c>
      <c r="M364" s="21">
        <f t="shared" si="53"/>
        <v>2</v>
      </c>
      <c r="N364" s="22">
        <f t="shared" si="54"/>
        <v>2</v>
      </c>
      <c r="O364" s="22">
        <f t="shared" si="55"/>
        <v>0</v>
      </c>
      <c r="P364" s="20">
        <f t="shared" si="57"/>
        <v>0</v>
      </c>
      <c r="Q364" s="23">
        <f t="shared" si="60"/>
        <v>2600</v>
      </c>
      <c r="R364" s="20">
        <f t="shared" si="52"/>
        <v>2600</v>
      </c>
      <c r="S364" s="20">
        <f t="shared" si="42"/>
        <v>2600</v>
      </c>
      <c r="T364" s="18">
        <f t="shared" si="58"/>
        <v>5200</v>
      </c>
      <c r="U364" s="24"/>
      <c r="V364" s="25">
        <f t="shared" si="56"/>
        <v>0</v>
      </c>
    </row>
    <row r="365" spans="1:22" ht="24" customHeight="1">
      <c r="A365" s="14"/>
      <c r="B365" s="15"/>
      <c r="C365" s="16"/>
      <c r="D365" s="16">
        <v>362</v>
      </c>
      <c r="E365" s="16" t="s">
        <v>428</v>
      </c>
      <c r="F365" s="17" t="s">
        <v>24</v>
      </c>
      <c r="G365" s="18">
        <v>1</v>
      </c>
      <c r="H365" s="19">
        <v>3</v>
      </c>
      <c r="I365" s="19"/>
      <c r="J365" s="19">
        <v>1500</v>
      </c>
      <c r="K365" s="19"/>
      <c r="L365" s="20">
        <f t="shared" si="59"/>
        <v>3</v>
      </c>
      <c r="M365" s="21">
        <f t="shared" si="53"/>
        <v>3</v>
      </c>
      <c r="N365" s="22">
        <f t="shared" si="54"/>
        <v>3</v>
      </c>
      <c r="O365" s="22">
        <f t="shared" si="55"/>
        <v>0</v>
      </c>
      <c r="P365" s="20">
        <f t="shared" si="57"/>
        <v>0</v>
      </c>
      <c r="Q365" s="23">
        <f t="shared" si="60"/>
        <v>1500</v>
      </c>
      <c r="R365" s="20">
        <f t="shared" si="52"/>
        <v>1500</v>
      </c>
      <c r="S365" s="20">
        <f t="shared" si="42"/>
        <v>1500</v>
      </c>
      <c r="T365" s="18">
        <f t="shared" si="58"/>
        <v>4500</v>
      </c>
      <c r="U365" s="24"/>
      <c r="V365" s="25">
        <f t="shared" si="56"/>
        <v>0</v>
      </c>
    </row>
    <row r="366" spans="1:22" ht="24" customHeight="1">
      <c r="A366" s="14"/>
      <c r="B366" s="15"/>
      <c r="C366" s="16"/>
      <c r="D366" s="16">
        <v>363</v>
      </c>
      <c r="E366" s="16" t="s">
        <v>429</v>
      </c>
      <c r="F366" s="17" t="s">
        <v>24</v>
      </c>
      <c r="G366" s="18">
        <v>1</v>
      </c>
      <c r="H366" s="19">
        <v>5</v>
      </c>
      <c r="I366" s="19"/>
      <c r="J366" s="19">
        <v>1500</v>
      </c>
      <c r="K366" s="19"/>
      <c r="L366" s="20">
        <f t="shared" si="59"/>
        <v>5</v>
      </c>
      <c r="M366" s="21">
        <f t="shared" si="53"/>
        <v>5</v>
      </c>
      <c r="N366" s="22">
        <f t="shared" si="54"/>
        <v>5</v>
      </c>
      <c r="O366" s="22">
        <f t="shared" si="55"/>
        <v>0</v>
      </c>
      <c r="P366" s="20">
        <f t="shared" si="57"/>
        <v>0</v>
      </c>
      <c r="Q366" s="23">
        <f t="shared" si="60"/>
        <v>1500</v>
      </c>
      <c r="R366" s="20">
        <f t="shared" si="52"/>
        <v>1500</v>
      </c>
      <c r="S366" s="20">
        <f t="shared" si="42"/>
        <v>1500</v>
      </c>
      <c r="T366" s="18">
        <f t="shared" si="58"/>
        <v>7500</v>
      </c>
      <c r="U366" s="24"/>
      <c r="V366" s="25">
        <f t="shared" si="56"/>
        <v>0</v>
      </c>
    </row>
    <row r="367" spans="1:22" ht="24" customHeight="1">
      <c r="A367" s="14"/>
      <c r="B367" s="15"/>
      <c r="C367" s="16"/>
      <c r="D367" s="16">
        <v>364</v>
      </c>
      <c r="E367" s="16" t="s">
        <v>886</v>
      </c>
      <c r="F367" s="17" t="s">
        <v>24</v>
      </c>
      <c r="G367" s="18">
        <v>1</v>
      </c>
      <c r="H367" s="19">
        <v>1</v>
      </c>
      <c r="I367" s="19"/>
      <c r="J367" s="19">
        <v>4800</v>
      </c>
      <c r="K367" s="19"/>
      <c r="L367" s="20">
        <f t="shared" si="59"/>
        <v>1</v>
      </c>
      <c r="M367" s="21">
        <f t="shared" si="53"/>
        <v>1</v>
      </c>
      <c r="N367" s="22">
        <f t="shared" si="54"/>
        <v>1</v>
      </c>
      <c r="O367" s="22">
        <f t="shared" si="55"/>
        <v>0</v>
      </c>
      <c r="P367" s="20">
        <f t="shared" si="57"/>
        <v>0</v>
      </c>
      <c r="Q367" s="23">
        <f t="shared" si="60"/>
        <v>4800</v>
      </c>
      <c r="R367" s="20">
        <f t="shared" ref="R367:S430" si="61">IFERROR(IF(J367&gt;0,J367,IF(J367&lt;0,P367,IF(J367=0,P367))),"")</f>
        <v>4800</v>
      </c>
      <c r="S367" s="20">
        <f t="shared" si="42"/>
        <v>4800</v>
      </c>
      <c r="T367" s="18">
        <f t="shared" si="58"/>
        <v>4800</v>
      </c>
      <c r="U367" s="24"/>
      <c r="V367" s="25">
        <f t="shared" si="56"/>
        <v>0</v>
      </c>
    </row>
    <row r="368" spans="1:22" ht="24" customHeight="1">
      <c r="A368" s="14"/>
      <c r="B368" s="15"/>
      <c r="C368" s="16"/>
      <c r="D368" s="16">
        <v>365</v>
      </c>
      <c r="E368" s="16" t="s">
        <v>430</v>
      </c>
      <c r="F368" s="17" t="s">
        <v>24</v>
      </c>
      <c r="G368" s="18">
        <v>1</v>
      </c>
      <c r="H368" s="19">
        <v>1</v>
      </c>
      <c r="I368" s="19"/>
      <c r="J368" s="19">
        <v>1700</v>
      </c>
      <c r="K368" s="19"/>
      <c r="L368" s="20">
        <f t="shared" si="59"/>
        <v>1</v>
      </c>
      <c r="M368" s="21">
        <f t="shared" si="53"/>
        <v>1</v>
      </c>
      <c r="N368" s="22">
        <f t="shared" si="54"/>
        <v>1</v>
      </c>
      <c r="O368" s="22">
        <f t="shared" si="55"/>
        <v>0</v>
      </c>
      <c r="P368" s="20">
        <f t="shared" si="57"/>
        <v>0</v>
      </c>
      <c r="Q368" s="23">
        <f t="shared" si="60"/>
        <v>1700</v>
      </c>
      <c r="R368" s="20">
        <f t="shared" si="61"/>
        <v>1700</v>
      </c>
      <c r="S368" s="20">
        <f t="shared" si="42"/>
        <v>1700</v>
      </c>
      <c r="T368" s="18">
        <f t="shared" si="58"/>
        <v>1700</v>
      </c>
      <c r="U368" s="24"/>
      <c r="V368" s="25">
        <f t="shared" si="56"/>
        <v>0</v>
      </c>
    </row>
    <row r="369" spans="1:22" ht="24" customHeight="1">
      <c r="A369" s="14"/>
      <c r="B369" s="15"/>
      <c r="C369" s="16"/>
      <c r="D369" s="16">
        <v>366</v>
      </c>
      <c r="E369" s="16" t="s">
        <v>432</v>
      </c>
      <c r="F369" s="17" t="s">
        <v>24</v>
      </c>
      <c r="G369" s="18">
        <v>1</v>
      </c>
      <c r="H369" s="19">
        <v>1</v>
      </c>
      <c r="I369" s="19"/>
      <c r="J369" s="19">
        <v>2700</v>
      </c>
      <c r="K369" s="19"/>
      <c r="L369" s="20">
        <f t="shared" si="59"/>
        <v>1</v>
      </c>
      <c r="M369" s="21">
        <f t="shared" si="53"/>
        <v>1</v>
      </c>
      <c r="N369" s="22">
        <f t="shared" si="54"/>
        <v>1</v>
      </c>
      <c r="O369" s="22">
        <f t="shared" si="55"/>
        <v>0</v>
      </c>
      <c r="P369" s="20">
        <f t="shared" si="57"/>
        <v>0</v>
      </c>
      <c r="Q369" s="23">
        <f t="shared" si="60"/>
        <v>2700</v>
      </c>
      <c r="R369" s="20">
        <f t="shared" si="61"/>
        <v>2700</v>
      </c>
      <c r="S369" s="20">
        <f t="shared" si="42"/>
        <v>2700</v>
      </c>
      <c r="T369" s="18">
        <f t="shared" si="58"/>
        <v>2700</v>
      </c>
      <c r="U369" s="24"/>
      <c r="V369" s="25">
        <f t="shared" si="56"/>
        <v>0</v>
      </c>
    </row>
    <row r="370" spans="1:22" ht="24" customHeight="1">
      <c r="A370" s="14"/>
      <c r="B370" s="15"/>
      <c r="C370" s="16"/>
      <c r="D370" s="16">
        <v>367</v>
      </c>
      <c r="E370" s="16" t="s">
        <v>887</v>
      </c>
      <c r="F370" s="17" t="s">
        <v>24</v>
      </c>
      <c r="G370" s="18">
        <v>1</v>
      </c>
      <c r="H370" s="19">
        <v>2</v>
      </c>
      <c r="I370" s="19"/>
      <c r="J370" s="19">
        <v>2600</v>
      </c>
      <c r="K370" s="19"/>
      <c r="L370" s="20">
        <f t="shared" si="59"/>
        <v>2</v>
      </c>
      <c r="M370" s="21">
        <f t="shared" si="53"/>
        <v>2</v>
      </c>
      <c r="N370" s="22">
        <f t="shared" si="54"/>
        <v>2</v>
      </c>
      <c r="O370" s="22">
        <f t="shared" si="55"/>
        <v>0</v>
      </c>
      <c r="P370" s="20">
        <f t="shared" si="57"/>
        <v>0</v>
      </c>
      <c r="Q370" s="23">
        <f t="shared" si="60"/>
        <v>2600</v>
      </c>
      <c r="R370" s="20">
        <f t="shared" si="61"/>
        <v>2600</v>
      </c>
      <c r="S370" s="20">
        <f t="shared" si="42"/>
        <v>2600</v>
      </c>
      <c r="T370" s="18">
        <f t="shared" si="58"/>
        <v>5200</v>
      </c>
      <c r="U370" s="24"/>
      <c r="V370" s="25">
        <f t="shared" si="56"/>
        <v>0</v>
      </c>
    </row>
    <row r="371" spans="1:22" ht="24" customHeight="1">
      <c r="A371" s="14"/>
      <c r="B371" s="15"/>
      <c r="C371" s="16"/>
      <c r="D371" s="16">
        <v>368</v>
      </c>
      <c r="E371" s="16" t="s">
        <v>433</v>
      </c>
      <c r="F371" s="17" t="s">
        <v>24</v>
      </c>
      <c r="G371" s="18">
        <v>1</v>
      </c>
      <c r="H371" s="19">
        <v>1</v>
      </c>
      <c r="I371" s="19"/>
      <c r="J371" s="19">
        <v>2250</v>
      </c>
      <c r="K371" s="19"/>
      <c r="L371" s="20">
        <f t="shared" si="59"/>
        <v>1</v>
      </c>
      <c r="M371" s="21">
        <f t="shared" si="53"/>
        <v>1</v>
      </c>
      <c r="N371" s="22">
        <f t="shared" si="54"/>
        <v>1</v>
      </c>
      <c r="O371" s="22">
        <f t="shared" si="55"/>
        <v>0</v>
      </c>
      <c r="P371" s="20">
        <f t="shared" si="57"/>
        <v>0</v>
      </c>
      <c r="Q371" s="23">
        <f t="shared" si="60"/>
        <v>2250</v>
      </c>
      <c r="R371" s="20">
        <f t="shared" si="61"/>
        <v>2250</v>
      </c>
      <c r="S371" s="20">
        <f t="shared" si="42"/>
        <v>2250</v>
      </c>
      <c r="T371" s="18">
        <f t="shared" si="58"/>
        <v>2250</v>
      </c>
      <c r="U371" s="24"/>
      <c r="V371" s="25">
        <f t="shared" si="56"/>
        <v>0</v>
      </c>
    </row>
    <row r="372" spans="1:22" ht="24" customHeight="1">
      <c r="A372" s="14"/>
      <c r="B372" s="15"/>
      <c r="C372" s="16"/>
      <c r="D372" s="16">
        <v>369</v>
      </c>
      <c r="E372" s="16" t="s">
        <v>431</v>
      </c>
      <c r="F372" s="17" t="s">
        <v>24</v>
      </c>
      <c r="G372" s="18">
        <v>1</v>
      </c>
      <c r="H372" s="19">
        <v>2</v>
      </c>
      <c r="I372" s="19"/>
      <c r="J372" s="19">
        <v>2400</v>
      </c>
      <c r="K372" s="19"/>
      <c r="L372" s="20">
        <f t="shared" si="59"/>
        <v>2</v>
      </c>
      <c r="M372" s="21">
        <f t="shared" si="53"/>
        <v>2</v>
      </c>
      <c r="N372" s="22">
        <f t="shared" si="54"/>
        <v>2</v>
      </c>
      <c r="O372" s="22">
        <f t="shared" si="55"/>
        <v>0</v>
      </c>
      <c r="P372" s="20">
        <f t="shared" si="57"/>
        <v>0</v>
      </c>
      <c r="Q372" s="23">
        <f t="shared" si="60"/>
        <v>2400</v>
      </c>
      <c r="R372" s="20">
        <f t="shared" si="61"/>
        <v>2400</v>
      </c>
      <c r="S372" s="20">
        <f t="shared" si="42"/>
        <v>2400</v>
      </c>
      <c r="T372" s="18">
        <f t="shared" si="58"/>
        <v>4800</v>
      </c>
      <c r="U372" s="24"/>
      <c r="V372" s="25">
        <f t="shared" si="56"/>
        <v>0</v>
      </c>
    </row>
    <row r="373" spans="1:22" ht="24" customHeight="1">
      <c r="A373" s="14"/>
      <c r="B373" s="15"/>
      <c r="C373" s="16"/>
      <c r="D373" s="16">
        <v>370</v>
      </c>
      <c r="E373" s="16" t="s">
        <v>434</v>
      </c>
      <c r="F373" s="17" t="s">
        <v>24</v>
      </c>
      <c r="G373" s="18">
        <v>1</v>
      </c>
      <c r="H373" s="19">
        <v>2</v>
      </c>
      <c r="I373" s="19"/>
      <c r="J373" s="19">
        <v>2000</v>
      </c>
      <c r="K373" s="19"/>
      <c r="L373" s="20">
        <f t="shared" si="59"/>
        <v>2</v>
      </c>
      <c r="M373" s="21">
        <f t="shared" si="53"/>
        <v>2</v>
      </c>
      <c r="N373" s="22">
        <f t="shared" si="54"/>
        <v>2</v>
      </c>
      <c r="O373" s="22">
        <f t="shared" si="55"/>
        <v>0</v>
      </c>
      <c r="P373" s="20">
        <f t="shared" si="57"/>
        <v>0</v>
      </c>
      <c r="Q373" s="23">
        <f t="shared" si="60"/>
        <v>2000</v>
      </c>
      <c r="R373" s="20">
        <f t="shared" si="61"/>
        <v>2000</v>
      </c>
      <c r="S373" s="20">
        <f t="shared" si="42"/>
        <v>2000</v>
      </c>
      <c r="T373" s="18">
        <f t="shared" si="58"/>
        <v>4000</v>
      </c>
      <c r="U373" s="24"/>
      <c r="V373" s="25">
        <f t="shared" si="56"/>
        <v>0</v>
      </c>
    </row>
    <row r="374" spans="1:22" ht="24" customHeight="1">
      <c r="A374" s="14"/>
      <c r="B374" s="15"/>
      <c r="C374" s="16"/>
      <c r="D374" s="16">
        <v>371</v>
      </c>
      <c r="E374" s="43" t="s">
        <v>435</v>
      </c>
      <c r="F374" s="17" t="s">
        <v>24</v>
      </c>
      <c r="G374" s="18">
        <v>1</v>
      </c>
      <c r="H374" s="19">
        <v>2</v>
      </c>
      <c r="I374" s="19"/>
      <c r="J374" s="19">
        <v>4500</v>
      </c>
      <c r="K374" s="19"/>
      <c r="L374" s="20">
        <f t="shared" si="59"/>
        <v>2</v>
      </c>
      <c r="M374" s="21">
        <f t="shared" si="53"/>
        <v>2</v>
      </c>
      <c r="N374" s="22">
        <f t="shared" si="54"/>
        <v>2</v>
      </c>
      <c r="O374" s="22">
        <f t="shared" si="55"/>
        <v>0</v>
      </c>
      <c r="P374" s="20">
        <f t="shared" si="57"/>
        <v>0</v>
      </c>
      <c r="Q374" s="23">
        <f t="shared" si="60"/>
        <v>4500</v>
      </c>
      <c r="R374" s="20">
        <f t="shared" si="61"/>
        <v>4500</v>
      </c>
      <c r="S374" s="20">
        <f t="shared" si="42"/>
        <v>4500</v>
      </c>
      <c r="T374" s="18">
        <f t="shared" si="58"/>
        <v>9000</v>
      </c>
      <c r="U374" s="24" t="s">
        <v>152</v>
      </c>
      <c r="V374" s="25">
        <f t="shared" si="56"/>
        <v>0</v>
      </c>
    </row>
    <row r="375" spans="1:22" ht="24" customHeight="1">
      <c r="A375" s="14"/>
      <c r="B375" s="15"/>
      <c r="C375" s="16"/>
      <c r="D375" s="16">
        <v>372</v>
      </c>
      <c r="E375" s="43" t="s">
        <v>436</v>
      </c>
      <c r="F375" s="17" t="s">
        <v>24</v>
      </c>
      <c r="G375" s="18">
        <v>1</v>
      </c>
      <c r="H375" s="19">
        <v>1</v>
      </c>
      <c r="I375" s="19"/>
      <c r="J375" s="19">
        <v>3800</v>
      </c>
      <c r="K375" s="19"/>
      <c r="L375" s="20">
        <f t="shared" si="59"/>
        <v>1</v>
      </c>
      <c r="M375" s="21">
        <f t="shared" si="53"/>
        <v>1</v>
      </c>
      <c r="N375" s="22">
        <f t="shared" si="54"/>
        <v>1</v>
      </c>
      <c r="O375" s="22">
        <f t="shared" si="55"/>
        <v>0</v>
      </c>
      <c r="P375" s="20">
        <f t="shared" si="57"/>
        <v>0</v>
      </c>
      <c r="Q375" s="23">
        <f t="shared" si="60"/>
        <v>3800</v>
      </c>
      <c r="R375" s="20">
        <f t="shared" si="61"/>
        <v>3800</v>
      </c>
      <c r="S375" s="20">
        <f t="shared" si="42"/>
        <v>3800</v>
      </c>
      <c r="T375" s="18">
        <f t="shared" si="58"/>
        <v>3800</v>
      </c>
      <c r="U375" s="24" t="s">
        <v>152</v>
      </c>
      <c r="V375" s="25">
        <f t="shared" si="56"/>
        <v>0</v>
      </c>
    </row>
    <row r="376" spans="1:22" ht="24" customHeight="1">
      <c r="A376" s="14"/>
      <c r="B376" s="15"/>
      <c r="C376" s="16"/>
      <c r="D376" s="16">
        <v>373</v>
      </c>
      <c r="E376" s="43" t="s">
        <v>437</v>
      </c>
      <c r="F376" s="17" t="s">
        <v>24</v>
      </c>
      <c r="G376" s="18">
        <v>1</v>
      </c>
      <c r="H376" s="19">
        <v>1</v>
      </c>
      <c r="I376" s="19"/>
      <c r="J376" s="19">
        <v>3800</v>
      </c>
      <c r="K376" s="19"/>
      <c r="L376" s="20">
        <f t="shared" si="59"/>
        <v>1</v>
      </c>
      <c r="M376" s="21">
        <f t="shared" si="53"/>
        <v>1</v>
      </c>
      <c r="N376" s="22">
        <f t="shared" si="54"/>
        <v>1</v>
      </c>
      <c r="O376" s="22">
        <f t="shared" si="55"/>
        <v>0</v>
      </c>
      <c r="P376" s="20">
        <f t="shared" si="57"/>
        <v>0</v>
      </c>
      <c r="Q376" s="23">
        <f t="shared" si="60"/>
        <v>3800</v>
      </c>
      <c r="R376" s="20">
        <f t="shared" si="61"/>
        <v>3800</v>
      </c>
      <c r="S376" s="20">
        <f t="shared" si="42"/>
        <v>3800</v>
      </c>
      <c r="T376" s="18">
        <f t="shared" si="58"/>
        <v>3800</v>
      </c>
      <c r="U376" s="24" t="s">
        <v>152</v>
      </c>
      <c r="V376" s="25">
        <f t="shared" si="56"/>
        <v>0</v>
      </c>
    </row>
    <row r="377" spans="1:22" ht="24" customHeight="1">
      <c r="A377" s="14"/>
      <c r="B377" s="15"/>
      <c r="C377" s="16"/>
      <c r="D377" s="16">
        <v>374</v>
      </c>
      <c r="E377" s="43" t="s">
        <v>438</v>
      </c>
      <c r="F377" s="17" t="s">
        <v>24</v>
      </c>
      <c r="G377" s="18">
        <v>1</v>
      </c>
      <c r="H377" s="19">
        <v>1</v>
      </c>
      <c r="I377" s="19"/>
      <c r="J377" s="19">
        <v>3800</v>
      </c>
      <c r="K377" s="19"/>
      <c r="L377" s="20">
        <f t="shared" si="59"/>
        <v>1</v>
      </c>
      <c r="M377" s="21">
        <f t="shared" si="53"/>
        <v>1</v>
      </c>
      <c r="N377" s="22">
        <f t="shared" si="54"/>
        <v>1</v>
      </c>
      <c r="O377" s="22">
        <f t="shared" si="55"/>
        <v>0</v>
      </c>
      <c r="P377" s="20">
        <f t="shared" si="57"/>
        <v>0</v>
      </c>
      <c r="Q377" s="23">
        <f t="shared" si="60"/>
        <v>3800</v>
      </c>
      <c r="R377" s="20">
        <f t="shared" si="61"/>
        <v>3800</v>
      </c>
      <c r="S377" s="20">
        <f t="shared" si="42"/>
        <v>3800</v>
      </c>
      <c r="T377" s="18">
        <f t="shared" si="58"/>
        <v>3800</v>
      </c>
      <c r="U377" s="24" t="s">
        <v>152</v>
      </c>
      <c r="V377" s="25">
        <f t="shared" si="56"/>
        <v>0</v>
      </c>
    </row>
    <row r="378" spans="1:22" ht="24" customHeight="1">
      <c r="A378" s="14"/>
      <c r="B378" s="15"/>
      <c r="C378" s="16"/>
      <c r="D378" s="16">
        <v>375</v>
      </c>
      <c r="E378" s="43" t="s">
        <v>32</v>
      </c>
      <c r="F378" s="17" t="s">
        <v>24</v>
      </c>
      <c r="G378" s="18">
        <v>1</v>
      </c>
      <c r="H378" s="19">
        <v>2</v>
      </c>
      <c r="I378" s="19"/>
      <c r="J378" s="19">
        <v>2200</v>
      </c>
      <c r="K378" s="19"/>
      <c r="L378" s="20">
        <f t="shared" si="59"/>
        <v>2</v>
      </c>
      <c r="M378" s="21">
        <f t="shared" si="53"/>
        <v>2</v>
      </c>
      <c r="N378" s="22">
        <f t="shared" si="54"/>
        <v>2</v>
      </c>
      <c r="O378" s="22">
        <f t="shared" si="55"/>
        <v>0</v>
      </c>
      <c r="P378" s="20">
        <f t="shared" si="57"/>
        <v>0</v>
      </c>
      <c r="Q378" s="23">
        <f t="shared" si="60"/>
        <v>2200</v>
      </c>
      <c r="R378" s="20">
        <f t="shared" si="61"/>
        <v>2200</v>
      </c>
      <c r="S378" s="20">
        <f t="shared" si="42"/>
        <v>2200</v>
      </c>
      <c r="T378" s="18">
        <f t="shared" si="58"/>
        <v>4400</v>
      </c>
      <c r="U378" s="24" t="s">
        <v>152</v>
      </c>
      <c r="V378" s="25">
        <f t="shared" si="56"/>
        <v>0</v>
      </c>
    </row>
    <row r="379" spans="1:22" ht="24" customHeight="1">
      <c r="A379" s="14"/>
      <c r="B379" s="15"/>
      <c r="C379" s="16"/>
      <c r="D379" s="16">
        <v>376</v>
      </c>
      <c r="E379" s="43" t="s">
        <v>138</v>
      </c>
      <c r="F379" s="17" t="s">
        <v>24</v>
      </c>
      <c r="G379" s="18">
        <v>1</v>
      </c>
      <c r="H379" s="19">
        <v>3</v>
      </c>
      <c r="I379" s="19"/>
      <c r="J379" s="19">
        <v>2200</v>
      </c>
      <c r="K379" s="19"/>
      <c r="L379" s="20">
        <f t="shared" si="59"/>
        <v>3</v>
      </c>
      <c r="M379" s="21">
        <f t="shared" si="53"/>
        <v>3</v>
      </c>
      <c r="N379" s="22">
        <f t="shared" si="54"/>
        <v>3</v>
      </c>
      <c r="O379" s="22">
        <f t="shared" si="55"/>
        <v>0</v>
      </c>
      <c r="P379" s="20">
        <f t="shared" si="57"/>
        <v>0</v>
      </c>
      <c r="Q379" s="23">
        <f t="shared" si="60"/>
        <v>2200</v>
      </c>
      <c r="R379" s="20">
        <f t="shared" si="61"/>
        <v>2200</v>
      </c>
      <c r="S379" s="20">
        <f t="shared" si="42"/>
        <v>2200</v>
      </c>
      <c r="T379" s="18">
        <f t="shared" si="58"/>
        <v>6600</v>
      </c>
      <c r="U379" s="24" t="s">
        <v>152</v>
      </c>
      <c r="V379" s="25">
        <f t="shared" si="56"/>
        <v>0</v>
      </c>
    </row>
    <row r="380" spans="1:22" ht="24" customHeight="1">
      <c r="A380" s="14"/>
      <c r="B380" s="15"/>
      <c r="C380" s="16"/>
      <c r="D380" s="16">
        <v>377</v>
      </c>
      <c r="E380" s="43" t="s">
        <v>439</v>
      </c>
      <c r="F380" s="17" t="s">
        <v>24</v>
      </c>
      <c r="G380" s="18">
        <v>1</v>
      </c>
      <c r="H380" s="19">
        <v>3</v>
      </c>
      <c r="I380" s="19"/>
      <c r="J380" s="19">
        <v>1800</v>
      </c>
      <c r="K380" s="19"/>
      <c r="L380" s="20">
        <f t="shared" si="59"/>
        <v>3</v>
      </c>
      <c r="M380" s="21">
        <f t="shared" si="53"/>
        <v>3</v>
      </c>
      <c r="N380" s="22">
        <f t="shared" si="54"/>
        <v>3</v>
      </c>
      <c r="O380" s="22">
        <f t="shared" si="55"/>
        <v>0</v>
      </c>
      <c r="P380" s="20">
        <f t="shared" si="57"/>
        <v>0</v>
      </c>
      <c r="Q380" s="23">
        <f t="shared" si="60"/>
        <v>1800</v>
      </c>
      <c r="R380" s="20">
        <f t="shared" si="61"/>
        <v>1800</v>
      </c>
      <c r="S380" s="20">
        <f t="shared" si="42"/>
        <v>1800</v>
      </c>
      <c r="T380" s="18">
        <f t="shared" si="58"/>
        <v>5400</v>
      </c>
      <c r="U380" s="24" t="s">
        <v>152</v>
      </c>
      <c r="V380" s="25">
        <f t="shared" si="56"/>
        <v>0</v>
      </c>
    </row>
    <row r="381" spans="1:22" ht="24" customHeight="1">
      <c r="A381" s="14"/>
      <c r="B381" s="15"/>
      <c r="C381" s="16"/>
      <c r="D381" s="16">
        <v>378</v>
      </c>
      <c r="E381" s="16" t="s">
        <v>144</v>
      </c>
      <c r="F381" s="17" t="s">
        <v>24</v>
      </c>
      <c r="G381" s="18">
        <v>1</v>
      </c>
      <c r="H381" s="19">
        <v>2</v>
      </c>
      <c r="I381" s="19"/>
      <c r="J381" s="19">
        <v>2200</v>
      </c>
      <c r="K381" s="19"/>
      <c r="L381" s="20">
        <f t="shared" si="59"/>
        <v>2</v>
      </c>
      <c r="M381" s="21">
        <f t="shared" si="53"/>
        <v>2</v>
      </c>
      <c r="N381" s="22">
        <f t="shared" si="54"/>
        <v>2</v>
      </c>
      <c r="O381" s="22">
        <f t="shared" si="55"/>
        <v>0</v>
      </c>
      <c r="P381" s="20">
        <f t="shared" si="57"/>
        <v>0</v>
      </c>
      <c r="Q381" s="23">
        <f t="shared" si="60"/>
        <v>2200</v>
      </c>
      <c r="R381" s="20">
        <f t="shared" si="61"/>
        <v>2200</v>
      </c>
      <c r="S381" s="20">
        <f t="shared" si="42"/>
        <v>2200</v>
      </c>
      <c r="T381" s="18">
        <f t="shared" si="58"/>
        <v>4400</v>
      </c>
      <c r="U381" s="24"/>
      <c r="V381" s="25">
        <f t="shared" si="56"/>
        <v>0</v>
      </c>
    </row>
    <row r="382" spans="1:22" ht="24" customHeight="1">
      <c r="A382" s="14"/>
      <c r="B382" s="15"/>
      <c r="C382" s="16"/>
      <c r="D382" s="16">
        <v>379</v>
      </c>
      <c r="E382" s="16" t="s">
        <v>440</v>
      </c>
      <c r="F382" s="17" t="s">
        <v>24</v>
      </c>
      <c r="G382" s="18">
        <v>1</v>
      </c>
      <c r="H382" s="19">
        <v>3</v>
      </c>
      <c r="I382" s="19"/>
      <c r="J382" s="19">
        <v>1800</v>
      </c>
      <c r="K382" s="19"/>
      <c r="L382" s="20">
        <f t="shared" si="59"/>
        <v>3</v>
      </c>
      <c r="M382" s="21">
        <f t="shared" si="53"/>
        <v>3</v>
      </c>
      <c r="N382" s="22">
        <f t="shared" si="54"/>
        <v>3</v>
      </c>
      <c r="O382" s="22">
        <f t="shared" si="55"/>
        <v>0</v>
      </c>
      <c r="P382" s="20">
        <f t="shared" si="57"/>
        <v>0</v>
      </c>
      <c r="Q382" s="23">
        <f t="shared" si="60"/>
        <v>1800</v>
      </c>
      <c r="R382" s="20">
        <f t="shared" si="61"/>
        <v>1800</v>
      </c>
      <c r="S382" s="20">
        <f t="shared" si="42"/>
        <v>1800</v>
      </c>
      <c r="T382" s="18">
        <f t="shared" si="58"/>
        <v>5400</v>
      </c>
      <c r="U382" s="24"/>
      <c r="V382" s="25">
        <f t="shared" si="56"/>
        <v>0</v>
      </c>
    </row>
    <row r="383" spans="1:22" ht="24" customHeight="1">
      <c r="A383" s="14"/>
      <c r="B383" s="15"/>
      <c r="C383" s="16"/>
      <c r="D383" s="16">
        <v>380</v>
      </c>
      <c r="E383" s="16" t="s">
        <v>33</v>
      </c>
      <c r="F383" s="17" t="s">
        <v>24</v>
      </c>
      <c r="G383" s="18">
        <v>1</v>
      </c>
      <c r="H383" s="19">
        <v>2</v>
      </c>
      <c r="I383" s="19"/>
      <c r="J383" s="19">
        <v>1500</v>
      </c>
      <c r="K383" s="19"/>
      <c r="L383" s="20">
        <f t="shared" si="59"/>
        <v>2</v>
      </c>
      <c r="M383" s="21">
        <f t="shared" si="53"/>
        <v>2</v>
      </c>
      <c r="N383" s="22">
        <f t="shared" si="54"/>
        <v>2</v>
      </c>
      <c r="O383" s="22">
        <f t="shared" si="55"/>
        <v>0</v>
      </c>
      <c r="P383" s="20">
        <f t="shared" si="57"/>
        <v>0</v>
      </c>
      <c r="Q383" s="23">
        <f t="shared" si="60"/>
        <v>1500</v>
      </c>
      <c r="R383" s="20">
        <f t="shared" si="61"/>
        <v>1500</v>
      </c>
      <c r="S383" s="20">
        <f t="shared" si="42"/>
        <v>1500</v>
      </c>
      <c r="T383" s="18">
        <f t="shared" si="58"/>
        <v>3000</v>
      </c>
      <c r="U383" s="24"/>
      <c r="V383" s="25">
        <f t="shared" si="56"/>
        <v>0</v>
      </c>
    </row>
    <row r="384" spans="1:22" ht="24" customHeight="1">
      <c r="A384" s="14"/>
      <c r="B384" s="15"/>
      <c r="C384" s="16"/>
      <c r="D384" s="16">
        <v>381</v>
      </c>
      <c r="E384" s="16" t="s">
        <v>142</v>
      </c>
      <c r="F384" s="17" t="s">
        <v>24</v>
      </c>
      <c r="G384" s="18">
        <v>1</v>
      </c>
      <c r="H384" s="19">
        <v>1</v>
      </c>
      <c r="I384" s="19"/>
      <c r="J384" s="19">
        <v>1500</v>
      </c>
      <c r="K384" s="19"/>
      <c r="L384" s="20">
        <f t="shared" si="59"/>
        <v>1</v>
      </c>
      <c r="M384" s="21">
        <f t="shared" si="53"/>
        <v>1</v>
      </c>
      <c r="N384" s="22">
        <f t="shared" si="54"/>
        <v>1</v>
      </c>
      <c r="O384" s="22">
        <f t="shared" si="55"/>
        <v>0</v>
      </c>
      <c r="P384" s="20">
        <f t="shared" si="57"/>
        <v>0</v>
      </c>
      <c r="Q384" s="23">
        <f t="shared" si="60"/>
        <v>1500</v>
      </c>
      <c r="R384" s="20">
        <f t="shared" si="61"/>
        <v>1500</v>
      </c>
      <c r="S384" s="20">
        <f t="shared" si="42"/>
        <v>1500</v>
      </c>
      <c r="T384" s="18">
        <f t="shared" si="58"/>
        <v>1500</v>
      </c>
      <c r="U384" s="24"/>
      <c r="V384" s="25">
        <f t="shared" si="56"/>
        <v>0</v>
      </c>
    </row>
    <row r="385" spans="1:22" ht="24" customHeight="1">
      <c r="A385" s="14"/>
      <c r="B385" s="15"/>
      <c r="C385" s="16"/>
      <c r="D385" s="16">
        <v>382</v>
      </c>
      <c r="E385" s="16" t="s">
        <v>441</v>
      </c>
      <c r="F385" s="17" t="s">
        <v>24</v>
      </c>
      <c r="G385" s="18">
        <v>1</v>
      </c>
      <c r="H385" s="19">
        <v>2</v>
      </c>
      <c r="I385" s="19"/>
      <c r="J385" s="19">
        <v>3800</v>
      </c>
      <c r="K385" s="19"/>
      <c r="L385" s="20">
        <f t="shared" si="59"/>
        <v>2</v>
      </c>
      <c r="M385" s="21">
        <f t="shared" si="53"/>
        <v>2</v>
      </c>
      <c r="N385" s="22">
        <f t="shared" si="54"/>
        <v>2</v>
      </c>
      <c r="O385" s="22">
        <f t="shared" si="55"/>
        <v>0</v>
      </c>
      <c r="P385" s="20">
        <f t="shared" si="57"/>
        <v>0</v>
      </c>
      <c r="Q385" s="23">
        <f t="shared" si="60"/>
        <v>3800</v>
      </c>
      <c r="R385" s="20">
        <f t="shared" si="61"/>
        <v>3800</v>
      </c>
      <c r="S385" s="20">
        <f t="shared" si="42"/>
        <v>3800</v>
      </c>
      <c r="T385" s="18">
        <f t="shared" si="58"/>
        <v>7600</v>
      </c>
      <c r="U385" s="24"/>
      <c r="V385" s="25">
        <f t="shared" si="56"/>
        <v>0</v>
      </c>
    </row>
    <row r="386" spans="1:22" ht="24" customHeight="1">
      <c r="A386" s="14"/>
      <c r="B386" s="15"/>
      <c r="C386" s="16"/>
      <c r="D386" s="43">
        <v>383</v>
      </c>
      <c r="E386" s="43" t="s">
        <v>442</v>
      </c>
      <c r="F386" s="47" t="s">
        <v>24</v>
      </c>
      <c r="G386" s="48">
        <v>1</v>
      </c>
      <c r="H386" s="49">
        <v>5</v>
      </c>
      <c r="I386" s="49"/>
      <c r="J386" s="49">
        <v>1500</v>
      </c>
      <c r="K386" s="19"/>
      <c r="L386" s="20">
        <f t="shared" si="59"/>
        <v>5</v>
      </c>
      <c r="M386" s="21">
        <f t="shared" si="53"/>
        <v>5</v>
      </c>
      <c r="N386" s="22">
        <f t="shared" si="54"/>
        <v>5</v>
      </c>
      <c r="O386" s="22">
        <f t="shared" si="55"/>
        <v>0</v>
      </c>
      <c r="P386" s="20">
        <f t="shared" si="57"/>
        <v>0</v>
      </c>
      <c r="Q386" s="23">
        <f t="shared" si="60"/>
        <v>1500</v>
      </c>
      <c r="R386" s="20">
        <f t="shared" si="61"/>
        <v>1500</v>
      </c>
      <c r="S386" s="20">
        <f t="shared" si="42"/>
        <v>1500</v>
      </c>
      <c r="T386" s="18">
        <f t="shared" si="58"/>
        <v>7500</v>
      </c>
      <c r="U386" s="24" t="s">
        <v>152</v>
      </c>
      <c r="V386" s="25">
        <f t="shared" si="56"/>
        <v>0</v>
      </c>
    </row>
    <row r="387" spans="1:22" ht="24" customHeight="1">
      <c r="A387" s="14"/>
      <c r="B387" s="15"/>
      <c r="C387" s="16"/>
      <c r="D387" s="16">
        <v>384</v>
      </c>
      <c r="E387" s="43" t="s">
        <v>141</v>
      </c>
      <c r="F387" s="17" t="s">
        <v>24</v>
      </c>
      <c r="G387" s="18">
        <v>1</v>
      </c>
      <c r="H387" s="19">
        <v>2</v>
      </c>
      <c r="I387" s="19"/>
      <c r="J387" s="19">
        <v>1800</v>
      </c>
      <c r="K387" s="19"/>
      <c r="L387" s="20">
        <f t="shared" si="59"/>
        <v>2</v>
      </c>
      <c r="M387" s="21">
        <f t="shared" ref="M387:M450" si="62">IFERROR(L387/G387,"")</f>
        <v>2</v>
      </c>
      <c r="N387" s="22">
        <f t="shared" ref="N387:N450" si="63">IF(G387=1,L387,IF(G387&gt;1,IFERROR((M387-O387)*G387,""),""))</f>
        <v>2</v>
      </c>
      <c r="O387" s="22">
        <f t="shared" ref="O387:O450" si="64">IFERROR(IF(G387=1,0,IF(G387&gt;1,ROUNDDOWN(M387,0))),"")</f>
        <v>0</v>
      </c>
      <c r="P387" s="20">
        <f t="shared" si="57"/>
        <v>0</v>
      </c>
      <c r="Q387" s="23">
        <f t="shared" si="60"/>
        <v>1800</v>
      </c>
      <c r="R387" s="20">
        <f t="shared" si="61"/>
        <v>1800</v>
      </c>
      <c r="S387" s="20">
        <f t="shared" si="42"/>
        <v>1800</v>
      </c>
      <c r="T387" s="18">
        <f t="shared" si="58"/>
        <v>3600</v>
      </c>
      <c r="U387" s="24" t="s">
        <v>152</v>
      </c>
      <c r="V387" s="25">
        <f t="shared" ref="V387:V433" si="65">B387</f>
        <v>0</v>
      </c>
    </row>
    <row r="388" spans="1:22" ht="24" customHeight="1">
      <c r="A388" s="14"/>
      <c r="B388" s="15"/>
      <c r="C388" s="16"/>
      <c r="D388" s="16">
        <v>385</v>
      </c>
      <c r="E388" s="16" t="s">
        <v>443</v>
      </c>
      <c r="F388" s="17" t="s">
        <v>24</v>
      </c>
      <c r="G388" s="18">
        <v>1</v>
      </c>
      <c r="H388" s="19">
        <v>1</v>
      </c>
      <c r="I388" s="19"/>
      <c r="J388" s="19">
        <v>2200</v>
      </c>
      <c r="K388" s="19"/>
      <c r="L388" s="20">
        <f t="shared" si="59"/>
        <v>1</v>
      </c>
      <c r="M388" s="21">
        <f t="shared" si="62"/>
        <v>1</v>
      </c>
      <c r="N388" s="22">
        <f t="shared" si="63"/>
        <v>1</v>
      </c>
      <c r="O388" s="22">
        <f t="shared" si="64"/>
        <v>0</v>
      </c>
      <c r="P388" s="20">
        <f t="shared" ref="P388:P451" si="66">IFERROR(K388/G388,"")</f>
        <v>0</v>
      </c>
      <c r="Q388" s="23">
        <f t="shared" si="60"/>
        <v>2200</v>
      </c>
      <c r="R388" s="20">
        <f t="shared" si="61"/>
        <v>2200</v>
      </c>
      <c r="S388" s="20">
        <f t="shared" si="42"/>
        <v>2200</v>
      </c>
      <c r="T388" s="18">
        <f t="shared" si="58"/>
        <v>2200</v>
      </c>
      <c r="U388" s="24"/>
      <c r="V388" s="25">
        <f t="shared" si="65"/>
        <v>0</v>
      </c>
    </row>
    <row r="389" spans="1:22" ht="24" customHeight="1">
      <c r="A389" s="14"/>
      <c r="B389" s="15"/>
      <c r="C389" s="16"/>
      <c r="D389" s="16">
        <v>386</v>
      </c>
      <c r="E389" s="16" t="s">
        <v>35</v>
      </c>
      <c r="F389" s="17" t="s">
        <v>24</v>
      </c>
      <c r="G389" s="18">
        <v>1</v>
      </c>
      <c r="H389" s="19">
        <v>2</v>
      </c>
      <c r="I389" s="19"/>
      <c r="J389" s="19">
        <v>2400</v>
      </c>
      <c r="K389" s="19"/>
      <c r="L389" s="20">
        <f t="shared" si="59"/>
        <v>2</v>
      </c>
      <c r="M389" s="21">
        <f t="shared" si="62"/>
        <v>2</v>
      </c>
      <c r="N389" s="22">
        <f t="shared" si="63"/>
        <v>2</v>
      </c>
      <c r="O389" s="22">
        <f t="shared" si="64"/>
        <v>0</v>
      </c>
      <c r="P389" s="20">
        <f t="shared" si="66"/>
        <v>0</v>
      </c>
      <c r="Q389" s="23">
        <f t="shared" si="60"/>
        <v>2400</v>
      </c>
      <c r="R389" s="20">
        <f t="shared" si="61"/>
        <v>2400</v>
      </c>
      <c r="S389" s="20">
        <f t="shared" si="42"/>
        <v>2400</v>
      </c>
      <c r="T389" s="18">
        <f t="shared" ref="T389:T452" si="67">IFERROR(S389*I389+R389*H389,"")</f>
        <v>4800</v>
      </c>
      <c r="U389" s="24"/>
      <c r="V389" s="25">
        <f t="shared" si="65"/>
        <v>0</v>
      </c>
    </row>
    <row r="390" spans="1:22" ht="24" customHeight="1">
      <c r="A390" s="14"/>
      <c r="B390" s="15"/>
      <c r="C390" s="16"/>
      <c r="D390" s="16">
        <v>387</v>
      </c>
      <c r="E390" s="43" t="s">
        <v>135</v>
      </c>
      <c r="F390" s="17" t="s">
        <v>24</v>
      </c>
      <c r="G390" s="18">
        <v>1</v>
      </c>
      <c r="H390" s="19">
        <v>2</v>
      </c>
      <c r="I390" s="19"/>
      <c r="J390" s="19">
        <v>2400</v>
      </c>
      <c r="K390" s="19"/>
      <c r="L390" s="20">
        <f t="shared" si="59"/>
        <v>2</v>
      </c>
      <c r="M390" s="21">
        <f t="shared" si="62"/>
        <v>2</v>
      </c>
      <c r="N390" s="22">
        <f t="shared" si="63"/>
        <v>2</v>
      </c>
      <c r="O390" s="22">
        <f t="shared" si="64"/>
        <v>0</v>
      </c>
      <c r="P390" s="20">
        <f t="shared" si="66"/>
        <v>0</v>
      </c>
      <c r="Q390" s="23">
        <f t="shared" si="60"/>
        <v>2400</v>
      </c>
      <c r="R390" s="20">
        <f t="shared" si="61"/>
        <v>2400</v>
      </c>
      <c r="S390" s="20">
        <f t="shared" si="42"/>
        <v>2400</v>
      </c>
      <c r="T390" s="18">
        <f t="shared" si="67"/>
        <v>4800</v>
      </c>
      <c r="U390" s="24" t="s">
        <v>152</v>
      </c>
      <c r="V390" s="25">
        <f t="shared" si="65"/>
        <v>0</v>
      </c>
    </row>
    <row r="391" spans="1:22" ht="24" customHeight="1">
      <c r="A391" s="14"/>
      <c r="B391" s="15"/>
      <c r="C391" s="16"/>
      <c r="D391" s="16">
        <v>388</v>
      </c>
      <c r="E391" s="16" t="s">
        <v>444</v>
      </c>
      <c r="F391" s="17" t="s">
        <v>24</v>
      </c>
      <c r="G391" s="18">
        <v>1</v>
      </c>
      <c r="H391" s="19">
        <v>3</v>
      </c>
      <c r="I391" s="19"/>
      <c r="J391" s="19">
        <v>1800</v>
      </c>
      <c r="K391" s="19"/>
      <c r="L391" s="20">
        <f t="shared" si="59"/>
        <v>3</v>
      </c>
      <c r="M391" s="21">
        <f t="shared" si="62"/>
        <v>3</v>
      </c>
      <c r="N391" s="22">
        <f t="shared" si="63"/>
        <v>3</v>
      </c>
      <c r="O391" s="22">
        <f t="shared" si="64"/>
        <v>0</v>
      </c>
      <c r="P391" s="20">
        <f t="shared" si="66"/>
        <v>0</v>
      </c>
      <c r="Q391" s="23">
        <f t="shared" si="60"/>
        <v>1800</v>
      </c>
      <c r="R391" s="20">
        <f t="shared" si="61"/>
        <v>1800</v>
      </c>
      <c r="S391" s="20">
        <f t="shared" si="42"/>
        <v>1800</v>
      </c>
      <c r="T391" s="18">
        <f t="shared" si="67"/>
        <v>5400</v>
      </c>
      <c r="U391" s="24"/>
      <c r="V391" s="25">
        <f t="shared" si="65"/>
        <v>0</v>
      </c>
    </row>
    <row r="392" spans="1:22" ht="24" customHeight="1">
      <c r="A392" s="14"/>
      <c r="B392" s="15"/>
      <c r="C392" s="16"/>
      <c r="D392" s="16">
        <v>389</v>
      </c>
      <c r="E392" s="16" t="s">
        <v>48</v>
      </c>
      <c r="F392" s="17" t="s">
        <v>24</v>
      </c>
      <c r="G392" s="18">
        <v>1</v>
      </c>
      <c r="H392" s="19">
        <v>2</v>
      </c>
      <c r="I392" s="19"/>
      <c r="J392" s="19">
        <v>1500</v>
      </c>
      <c r="K392" s="19"/>
      <c r="L392" s="20">
        <f t="shared" si="59"/>
        <v>2</v>
      </c>
      <c r="M392" s="21">
        <f t="shared" si="62"/>
        <v>2</v>
      </c>
      <c r="N392" s="22">
        <f t="shared" si="63"/>
        <v>2</v>
      </c>
      <c r="O392" s="22">
        <f t="shared" si="64"/>
        <v>0</v>
      </c>
      <c r="P392" s="20">
        <f t="shared" si="66"/>
        <v>0</v>
      </c>
      <c r="Q392" s="23">
        <f t="shared" si="60"/>
        <v>1500</v>
      </c>
      <c r="R392" s="20">
        <f t="shared" si="61"/>
        <v>1500</v>
      </c>
      <c r="S392" s="20">
        <f t="shared" si="42"/>
        <v>1500</v>
      </c>
      <c r="T392" s="18">
        <f t="shared" si="67"/>
        <v>3000</v>
      </c>
      <c r="U392" s="24"/>
      <c r="V392" s="25">
        <f t="shared" si="65"/>
        <v>0</v>
      </c>
    </row>
    <row r="393" spans="1:22" ht="24" customHeight="1">
      <c r="A393" s="14"/>
      <c r="B393" s="15"/>
      <c r="C393" s="16"/>
      <c r="D393" s="16">
        <v>390</v>
      </c>
      <c r="E393" s="16" t="s">
        <v>888</v>
      </c>
      <c r="F393" s="17" t="s">
        <v>24</v>
      </c>
      <c r="G393" s="18">
        <v>1</v>
      </c>
      <c r="H393" s="19">
        <v>3</v>
      </c>
      <c r="I393" s="19"/>
      <c r="J393" s="19">
        <v>1800</v>
      </c>
      <c r="K393" s="19"/>
      <c r="L393" s="20">
        <f t="shared" si="59"/>
        <v>3</v>
      </c>
      <c r="M393" s="21">
        <f t="shared" si="62"/>
        <v>3</v>
      </c>
      <c r="N393" s="22">
        <f t="shared" si="63"/>
        <v>3</v>
      </c>
      <c r="O393" s="22">
        <f t="shared" si="64"/>
        <v>0</v>
      </c>
      <c r="P393" s="20">
        <f t="shared" si="66"/>
        <v>0</v>
      </c>
      <c r="Q393" s="23">
        <f t="shared" si="60"/>
        <v>1800</v>
      </c>
      <c r="R393" s="20">
        <f t="shared" si="61"/>
        <v>1800</v>
      </c>
      <c r="S393" s="20">
        <f t="shared" si="42"/>
        <v>1800</v>
      </c>
      <c r="T393" s="18">
        <f t="shared" si="67"/>
        <v>5400</v>
      </c>
      <c r="U393" s="24"/>
      <c r="V393" s="25">
        <f t="shared" si="65"/>
        <v>0</v>
      </c>
    </row>
    <row r="394" spans="1:22" ht="24" customHeight="1">
      <c r="A394" s="14"/>
      <c r="B394" s="15"/>
      <c r="C394" s="16"/>
      <c r="D394" s="16">
        <v>391</v>
      </c>
      <c r="E394" s="16" t="s">
        <v>445</v>
      </c>
      <c r="F394" s="17" t="s">
        <v>24</v>
      </c>
      <c r="G394" s="18">
        <v>1</v>
      </c>
      <c r="H394" s="19">
        <v>3</v>
      </c>
      <c r="I394" s="19"/>
      <c r="J394" s="19">
        <v>1500</v>
      </c>
      <c r="K394" s="19"/>
      <c r="L394" s="20">
        <f t="shared" si="59"/>
        <v>3</v>
      </c>
      <c r="M394" s="21">
        <f t="shared" si="62"/>
        <v>3</v>
      </c>
      <c r="N394" s="22">
        <f t="shared" si="63"/>
        <v>3</v>
      </c>
      <c r="O394" s="22">
        <f t="shared" si="64"/>
        <v>0</v>
      </c>
      <c r="P394" s="20">
        <f t="shared" si="66"/>
        <v>0</v>
      </c>
      <c r="Q394" s="23">
        <f t="shared" si="60"/>
        <v>1500</v>
      </c>
      <c r="R394" s="20">
        <f t="shared" si="61"/>
        <v>1500</v>
      </c>
      <c r="S394" s="20">
        <f t="shared" si="42"/>
        <v>1500</v>
      </c>
      <c r="T394" s="18">
        <f t="shared" si="67"/>
        <v>4500</v>
      </c>
      <c r="U394" s="24"/>
      <c r="V394" s="25">
        <f t="shared" si="65"/>
        <v>0</v>
      </c>
    </row>
    <row r="395" spans="1:22" ht="24" customHeight="1">
      <c r="A395" s="14"/>
      <c r="B395" s="15"/>
      <c r="C395" s="16"/>
      <c r="D395" s="16">
        <v>392</v>
      </c>
      <c r="E395" s="16" t="s">
        <v>50</v>
      </c>
      <c r="F395" s="17" t="s">
        <v>24</v>
      </c>
      <c r="G395" s="18">
        <v>1</v>
      </c>
      <c r="H395" s="19">
        <v>1</v>
      </c>
      <c r="I395" s="19"/>
      <c r="J395" s="19">
        <v>1200</v>
      </c>
      <c r="K395" s="19"/>
      <c r="L395" s="20">
        <f t="shared" si="59"/>
        <v>1</v>
      </c>
      <c r="M395" s="21">
        <f t="shared" si="62"/>
        <v>1</v>
      </c>
      <c r="N395" s="22">
        <f t="shared" si="63"/>
        <v>1</v>
      </c>
      <c r="O395" s="22">
        <f t="shared" si="64"/>
        <v>0</v>
      </c>
      <c r="P395" s="20">
        <f t="shared" si="66"/>
        <v>0</v>
      </c>
      <c r="Q395" s="23">
        <f t="shared" si="60"/>
        <v>1200</v>
      </c>
      <c r="R395" s="20">
        <f t="shared" si="61"/>
        <v>1200</v>
      </c>
      <c r="S395" s="20">
        <f t="shared" si="42"/>
        <v>1200</v>
      </c>
      <c r="T395" s="18">
        <f t="shared" si="67"/>
        <v>1200</v>
      </c>
      <c r="U395" s="24"/>
      <c r="V395" s="25">
        <f t="shared" si="65"/>
        <v>0</v>
      </c>
    </row>
    <row r="396" spans="1:22" ht="24" customHeight="1">
      <c r="A396" s="14"/>
      <c r="B396" s="15"/>
      <c r="C396" s="16"/>
      <c r="D396" s="16">
        <v>393</v>
      </c>
      <c r="E396" s="43" t="s">
        <v>446</v>
      </c>
      <c r="F396" s="17" t="s">
        <v>24</v>
      </c>
      <c r="G396" s="18">
        <v>1</v>
      </c>
      <c r="H396" s="19">
        <v>2</v>
      </c>
      <c r="I396" s="19"/>
      <c r="J396" s="19">
        <v>2500</v>
      </c>
      <c r="K396" s="19"/>
      <c r="L396" s="20">
        <f t="shared" si="59"/>
        <v>2</v>
      </c>
      <c r="M396" s="21">
        <f t="shared" si="62"/>
        <v>2</v>
      </c>
      <c r="N396" s="22">
        <f t="shared" si="63"/>
        <v>2</v>
      </c>
      <c r="O396" s="22">
        <f t="shared" si="64"/>
        <v>0</v>
      </c>
      <c r="P396" s="20">
        <f t="shared" si="66"/>
        <v>0</v>
      </c>
      <c r="Q396" s="23">
        <f t="shared" si="60"/>
        <v>2500</v>
      </c>
      <c r="R396" s="20">
        <f t="shared" si="61"/>
        <v>2500</v>
      </c>
      <c r="S396" s="20">
        <f t="shared" si="42"/>
        <v>2500</v>
      </c>
      <c r="T396" s="18">
        <f t="shared" si="67"/>
        <v>5000</v>
      </c>
      <c r="U396" s="24" t="s">
        <v>152</v>
      </c>
      <c r="V396" s="25">
        <f t="shared" si="65"/>
        <v>0</v>
      </c>
    </row>
    <row r="397" spans="1:22" ht="24" customHeight="1">
      <c r="A397" s="14"/>
      <c r="B397" s="15"/>
      <c r="C397" s="16"/>
      <c r="D397" s="16">
        <v>394</v>
      </c>
      <c r="E397" s="43" t="s">
        <v>29</v>
      </c>
      <c r="F397" s="17" t="s">
        <v>24</v>
      </c>
      <c r="G397" s="18">
        <v>1</v>
      </c>
      <c r="H397" s="19">
        <v>3</v>
      </c>
      <c r="I397" s="19"/>
      <c r="J397" s="19">
        <v>2000</v>
      </c>
      <c r="K397" s="19"/>
      <c r="L397" s="20">
        <f t="shared" si="59"/>
        <v>3</v>
      </c>
      <c r="M397" s="21">
        <f t="shared" si="62"/>
        <v>3</v>
      </c>
      <c r="N397" s="22">
        <f t="shared" si="63"/>
        <v>3</v>
      </c>
      <c r="O397" s="22">
        <f t="shared" si="64"/>
        <v>0</v>
      </c>
      <c r="P397" s="20">
        <f t="shared" si="66"/>
        <v>0</v>
      </c>
      <c r="Q397" s="23">
        <f t="shared" si="60"/>
        <v>2000</v>
      </c>
      <c r="R397" s="20">
        <f t="shared" si="61"/>
        <v>2000</v>
      </c>
      <c r="S397" s="20">
        <f t="shared" si="42"/>
        <v>2000</v>
      </c>
      <c r="T397" s="18">
        <f t="shared" si="67"/>
        <v>6000</v>
      </c>
      <c r="U397" s="24" t="s">
        <v>152</v>
      </c>
      <c r="V397" s="25">
        <f t="shared" si="65"/>
        <v>0</v>
      </c>
    </row>
    <row r="398" spans="1:22" ht="24" customHeight="1">
      <c r="A398" s="14"/>
      <c r="B398" s="15"/>
      <c r="C398" s="16"/>
      <c r="D398" s="16">
        <v>395</v>
      </c>
      <c r="E398" s="43" t="s">
        <v>447</v>
      </c>
      <c r="F398" s="17" t="s">
        <v>24</v>
      </c>
      <c r="G398" s="18">
        <v>1</v>
      </c>
      <c r="H398" s="19">
        <v>2</v>
      </c>
      <c r="I398" s="19"/>
      <c r="J398" s="19">
        <v>1500</v>
      </c>
      <c r="K398" s="19"/>
      <c r="L398" s="20">
        <f t="shared" si="59"/>
        <v>2</v>
      </c>
      <c r="M398" s="21">
        <f t="shared" si="62"/>
        <v>2</v>
      </c>
      <c r="N398" s="22">
        <f t="shared" si="63"/>
        <v>2</v>
      </c>
      <c r="O398" s="22">
        <f t="shared" si="64"/>
        <v>0</v>
      </c>
      <c r="P398" s="20">
        <f t="shared" si="66"/>
        <v>0</v>
      </c>
      <c r="Q398" s="23">
        <f t="shared" si="60"/>
        <v>1500</v>
      </c>
      <c r="R398" s="20">
        <f t="shared" si="61"/>
        <v>1500</v>
      </c>
      <c r="S398" s="20">
        <f t="shared" si="42"/>
        <v>1500</v>
      </c>
      <c r="T398" s="18">
        <f t="shared" si="67"/>
        <v>3000</v>
      </c>
      <c r="U398" s="24" t="s">
        <v>152</v>
      </c>
      <c r="V398" s="25">
        <f t="shared" si="65"/>
        <v>0</v>
      </c>
    </row>
    <row r="399" spans="1:22" ht="24" customHeight="1">
      <c r="A399" s="14"/>
      <c r="B399" s="15"/>
      <c r="C399" s="16"/>
      <c r="D399" s="16">
        <v>396</v>
      </c>
      <c r="E399" s="43" t="s">
        <v>448</v>
      </c>
      <c r="F399" s="17" t="s">
        <v>24</v>
      </c>
      <c r="G399" s="18">
        <v>1</v>
      </c>
      <c r="H399" s="19">
        <v>3</v>
      </c>
      <c r="I399" s="19"/>
      <c r="J399" s="19">
        <v>1800</v>
      </c>
      <c r="K399" s="19"/>
      <c r="L399" s="20">
        <f t="shared" si="59"/>
        <v>3</v>
      </c>
      <c r="M399" s="21">
        <f t="shared" si="62"/>
        <v>3</v>
      </c>
      <c r="N399" s="22">
        <f t="shared" si="63"/>
        <v>3</v>
      </c>
      <c r="O399" s="22">
        <f t="shared" si="64"/>
        <v>0</v>
      </c>
      <c r="P399" s="20">
        <f t="shared" si="66"/>
        <v>0</v>
      </c>
      <c r="Q399" s="23">
        <f t="shared" si="60"/>
        <v>1800</v>
      </c>
      <c r="R399" s="20">
        <f t="shared" si="61"/>
        <v>1800</v>
      </c>
      <c r="S399" s="20">
        <f t="shared" si="42"/>
        <v>1800</v>
      </c>
      <c r="T399" s="18">
        <f t="shared" si="67"/>
        <v>5400</v>
      </c>
      <c r="U399" s="24" t="s">
        <v>152</v>
      </c>
      <c r="V399" s="25">
        <f t="shared" si="65"/>
        <v>0</v>
      </c>
    </row>
    <row r="400" spans="1:22" ht="24" customHeight="1">
      <c r="A400" s="14"/>
      <c r="B400" s="15"/>
      <c r="C400" s="16"/>
      <c r="D400" s="16">
        <v>397</v>
      </c>
      <c r="E400" s="16" t="s">
        <v>49</v>
      </c>
      <c r="F400" s="17" t="s">
        <v>24</v>
      </c>
      <c r="G400" s="18">
        <v>1</v>
      </c>
      <c r="H400" s="19">
        <v>1</v>
      </c>
      <c r="I400" s="19"/>
      <c r="J400" s="19">
        <v>1500</v>
      </c>
      <c r="K400" s="19"/>
      <c r="L400" s="20">
        <f t="shared" si="59"/>
        <v>1</v>
      </c>
      <c r="M400" s="21">
        <f t="shared" si="62"/>
        <v>1</v>
      </c>
      <c r="N400" s="22">
        <f t="shared" si="63"/>
        <v>1</v>
      </c>
      <c r="O400" s="22">
        <f t="shared" si="64"/>
        <v>0</v>
      </c>
      <c r="P400" s="20">
        <f t="shared" si="66"/>
        <v>0</v>
      </c>
      <c r="Q400" s="23">
        <f t="shared" si="60"/>
        <v>1500</v>
      </c>
      <c r="R400" s="20">
        <f t="shared" si="61"/>
        <v>1500</v>
      </c>
      <c r="S400" s="20">
        <f t="shared" si="42"/>
        <v>1500</v>
      </c>
      <c r="T400" s="18">
        <f t="shared" si="67"/>
        <v>1500</v>
      </c>
      <c r="U400" s="24"/>
      <c r="V400" s="25">
        <f t="shared" si="65"/>
        <v>0</v>
      </c>
    </row>
    <row r="401" spans="1:22" ht="24" customHeight="1">
      <c r="A401" s="14"/>
      <c r="B401" s="15"/>
      <c r="C401" s="16"/>
      <c r="D401" s="16">
        <v>398</v>
      </c>
      <c r="E401" s="16" t="s">
        <v>449</v>
      </c>
      <c r="F401" s="17" t="s">
        <v>24</v>
      </c>
      <c r="G401" s="18">
        <v>1</v>
      </c>
      <c r="H401" s="19">
        <v>2</v>
      </c>
      <c r="I401" s="19"/>
      <c r="J401" s="19">
        <v>3400</v>
      </c>
      <c r="K401" s="19"/>
      <c r="L401" s="20">
        <f t="shared" si="59"/>
        <v>2</v>
      </c>
      <c r="M401" s="21">
        <f t="shared" si="62"/>
        <v>2</v>
      </c>
      <c r="N401" s="22">
        <f t="shared" si="63"/>
        <v>2</v>
      </c>
      <c r="O401" s="22">
        <f t="shared" si="64"/>
        <v>0</v>
      </c>
      <c r="P401" s="20">
        <f t="shared" si="66"/>
        <v>0</v>
      </c>
      <c r="Q401" s="23">
        <f t="shared" si="60"/>
        <v>3400</v>
      </c>
      <c r="R401" s="20">
        <f t="shared" si="61"/>
        <v>3400</v>
      </c>
      <c r="S401" s="20">
        <f t="shared" si="42"/>
        <v>3400</v>
      </c>
      <c r="T401" s="18">
        <f t="shared" si="67"/>
        <v>6800</v>
      </c>
      <c r="U401" s="24"/>
      <c r="V401" s="25">
        <f t="shared" si="65"/>
        <v>0</v>
      </c>
    </row>
    <row r="402" spans="1:22" ht="24" customHeight="1">
      <c r="A402" s="14"/>
      <c r="B402" s="15"/>
      <c r="C402" s="16"/>
      <c r="D402" s="16">
        <v>399</v>
      </c>
      <c r="E402" s="16" t="s">
        <v>889</v>
      </c>
      <c r="F402" s="17" t="s">
        <v>24</v>
      </c>
      <c r="G402" s="18">
        <v>1</v>
      </c>
      <c r="H402" s="19">
        <v>2</v>
      </c>
      <c r="I402" s="19"/>
      <c r="J402" s="19">
        <v>1200</v>
      </c>
      <c r="K402" s="19"/>
      <c r="L402" s="20">
        <f t="shared" si="59"/>
        <v>2</v>
      </c>
      <c r="M402" s="21">
        <f t="shared" si="62"/>
        <v>2</v>
      </c>
      <c r="N402" s="22">
        <f t="shared" si="63"/>
        <v>2</v>
      </c>
      <c r="O402" s="22">
        <f t="shared" si="64"/>
        <v>0</v>
      </c>
      <c r="P402" s="20">
        <f t="shared" si="66"/>
        <v>0</v>
      </c>
      <c r="Q402" s="23">
        <f t="shared" si="60"/>
        <v>1200</v>
      </c>
      <c r="R402" s="20">
        <f t="shared" si="61"/>
        <v>1200</v>
      </c>
      <c r="S402" s="20">
        <f t="shared" si="42"/>
        <v>1200</v>
      </c>
      <c r="T402" s="18">
        <f t="shared" si="67"/>
        <v>2400</v>
      </c>
      <c r="U402" s="24"/>
      <c r="V402" s="25">
        <f t="shared" si="65"/>
        <v>0</v>
      </c>
    </row>
    <row r="403" spans="1:22" ht="24" customHeight="1">
      <c r="A403" s="14"/>
      <c r="B403" s="15"/>
      <c r="C403" s="16"/>
      <c r="D403" s="16">
        <v>400</v>
      </c>
      <c r="E403" s="43" t="s">
        <v>450</v>
      </c>
      <c r="F403" s="17" t="s">
        <v>24</v>
      </c>
      <c r="G403" s="18">
        <v>1</v>
      </c>
      <c r="H403" s="19">
        <v>1</v>
      </c>
      <c r="I403" s="19"/>
      <c r="J403" s="19">
        <v>4500</v>
      </c>
      <c r="K403" s="19"/>
      <c r="L403" s="20">
        <f t="shared" si="59"/>
        <v>1</v>
      </c>
      <c r="M403" s="21">
        <f t="shared" si="62"/>
        <v>1</v>
      </c>
      <c r="N403" s="22">
        <f t="shared" si="63"/>
        <v>1</v>
      </c>
      <c r="O403" s="22">
        <f t="shared" si="64"/>
        <v>0</v>
      </c>
      <c r="P403" s="20">
        <f t="shared" si="66"/>
        <v>0</v>
      </c>
      <c r="Q403" s="23">
        <f t="shared" si="60"/>
        <v>4500</v>
      </c>
      <c r="R403" s="20">
        <f t="shared" si="61"/>
        <v>4500</v>
      </c>
      <c r="S403" s="20">
        <f t="shared" si="42"/>
        <v>4500</v>
      </c>
      <c r="T403" s="18">
        <f t="shared" si="67"/>
        <v>4500</v>
      </c>
      <c r="U403" s="24" t="s">
        <v>152</v>
      </c>
      <c r="V403" s="25">
        <f t="shared" si="65"/>
        <v>0</v>
      </c>
    </row>
    <row r="404" spans="1:22" ht="24" customHeight="1">
      <c r="A404" s="14"/>
      <c r="B404" s="15"/>
      <c r="C404" s="16"/>
      <c r="D404" s="16">
        <v>401</v>
      </c>
      <c r="E404" s="16" t="s">
        <v>451</v>
      </c>
      <c r="F404" s="17" t="s">
        <v>24</v>
      </c>
      <c r="G404" s="18">
        <v>1</v>
      </c>
      <c r="H404" s="19">
        <v>1</v>
      </c>
      <c r="I404" s="19"/>
      <c r="J404" s="19">
        <v>1600</v>
      </c>
      <c r="K404" s="19"/>
      <c r="L404" s="20">
        <f t="shared" si="59"/>
        <v>1</v>
      </c>
      <c r="M404" s="21">
        <f t="shared" si="62"/>
        <v>1</v>
      </c>
      <c r="N404" s="22">
        <f t="shared" si="63"/>
        <v>1</v>
      </c>
      <c r="O404" s="22">
        <f t="shared" si="64"/>
        <v>0</v>
      </c>
      <c r="P404" s="20">
        <f t="shared" si="66"/>
        <v>0</v>
      </c>
      <c r="Q404" s="23">
        <f t="shared" si="60"/>
        <v>1600</v>
      </c>
      <c r="R404" s="20">
        <f t="shared" si="61"/>
        <v>1600</v>
      </c>
      <c r="S404" s="20">
        <f t="shared" si="42"/>
        <v>1600</v>
      </c>
      <c r="T404" s="18">
        <f t="shared" si="67"/>
        <v>1600</v>
      </c>
      <c r="U404" s="24"/>
      <c r="V404" s="25">
        <f t="shared" si="65"/>
        <v>0</v>
      </c>
    </row>
    <row r="405" spans="1:22" ht="24" customHeight="1">
      <c r="A405" s="14"/>
      <c r="B405" s="15"/>
      <c r="C405" s="16"/>
      <c r="D405" s="16">
        <v>402</v>
      </c>
      <c r="E405" s="16" t="s">
        <v>890</v>
      </c>
      <c r="F405" s="17" t="s">
        <v>24</v>
      </c>
      <c r="G405" s="18">
        <v>1</v>
      </c>
      <c r="H405" s="19">
        <v>2</v>
      </c>
      <c r="I405" s="19"/>
      <c r="J405" s="19">
        <v>2200</v>
      </c>
      <c r="K405" s="19"/>
      <c r="L405" s="20">
        <f t="shared" si="59"/>
        <v>2</v>
      </c>
      <c r="M405" s="21">
        <f t="shared" si="62"/>
        <v>2</v>
      </c>
      <c r="N405" s="22">
        <f t="shared" si="63"/>
        <v>2</v>
      </c>
      <c r="O405" s="22">
        <f t="shared" si="64"/>
        <v>0</v>
      </c>
      <c r="P405" s="20">
        <f t="shared" si="66"/>
        <v>0</v>
      </c>
      <c r="Q405" s="23">
        <f t="shared" si="60"/>
        <v>2200</v>
      </c>
      <c r="R405" s="20">
        <f t="shared" si="61"/>
        <v>2200</v>
      </c>
      <c r="S405" s="20">
        <f t="shared" si="42"/>
        <v>2200</v>
      </c>
      <c r="T405" s="18">
        <f t="shared" si="67"/>
        <v>4400</v>
      </c>
      <c r="U405" s="24"/>
      <c r="V405" s="25">
        <f t="shared" si="65"/>
        <v>0</v>
      </c>
    </row>
    <row r="406" spans="1:22" ht="24" customHeight="1">
      <c r="A406" s="14"/>
      <c r="B406" s="15"/>
      <c r="C406" s="16"/>
      <c r="D406" s="16">
        <v>403</v>
      </c>
      <c r="E406" s="16" t="s">
        <v>452</v>
      </c>
      <c r="F406" s="17" t="s">
        <v>24</v>
      </c>
      <c r="G406" s="18">
        <v>1</v>
      </c>
      <c r="H406" s="19">
        <v>1</v>
      </c>
      <c r="I406" s="19"/>
      <c r="J406" s="19">
        <v>2300</v>
      </c>
      <c r="K406" s="19"/>
      <c r="L406" s="20">
        <f t="shared" si="59"/>
        <v>1</v>
      </c>
      <c r="M406" s="21">
        <f t="shared" si="62"/>
        <v>1</v>
      </c>
      <c r="N406" s="22">
        <f t="shared" si="63"/>
        <v>1</v>
      </c>
      <c r="O406" s="22">
        <f t="shared" si="64"/>
        <v>0</v>
      </c>
      <c r="P406" s="20">
        <f t="shared" si="66"/>
        <v>0</v>
      </c>
      <c r="Q406" s="23">
        <f t="shared" si="60"/>
        <v>2300</v>
      </c>
      <c r="R406" s="20">
        <f t="shared" si="61"/>
        <v>2300</v>
      </c>
      <c r="S406" s="20">
        <f t="shared" si="42"/>
        <v>2300</v>
      </c>
      <c r="T406" s="18">
        <f t="shared" si="67"/>
        <v>2300</v>
      </c>
      <c r="U406" s="24"/>
      <c r="V406" s="25">
        <f t="shared" si="65"/>
        <v>0</v>
      </c>
    </row>
    <row r="407" spans="1:22" ht="24" customHeight="1">
      <c r="A407" s="14"/>
      <c r="B407" s="15"/>
      <c r="C407" s="16"/>
      <c r="D407" s="16">
        <v>404</v>
      </c>
      <c r="E407" s="16" t="s">
        <v>453</v>
      </c>
      <c r="F407" s="17" t="s">
        <v>24</v>
      </c>
      <c r="G407" s="18">
        <v>1</v>
      </c>
      <c r="H407" s="19">
        <v>1</v>
      </c>
      <c r="I407" s="19"/>
      <c r="J407" s="19">
        <v>1500</v>
      </c>
      <c r="K407" s="19"/>
      <c r="L407" s="20">
        <f t="shared" si="59"/>
        <v>1</v>
      </c>
      <c r="M407" s="21">
        <f t="shared" si="62"/>
        <v>1</v>
      </c>
      <c r="N407" s="22">
        <f t="shared" si="63"/>
        <v>1</v>
      </c>
      <c r="O407" s="22">
        <f t="shared" si="64"/>
        <v>0</v>
      </c>
      <c r="P407" s="20">
        <f t="shared" si="66"/>
        <v>0</v>
      </c>
      <c r="Q407" s="23">
        <f t="shared" si="60"/>
        <v>1500</v>
      </c>
      <c r="R407" s="20">
        <f t="shared" si="61"/>
        <v>1500</v>
      </c>
      <c r="S407" s="20">
        <f t="shared" si="42"/>
        <v>1500</v>
      </c>
      <c r="T407" s="18">
        <f t="shared" si="67"/>
        <v>1500</v>
      </c>
      <c r="U407" s="24"/>
      <c r="V407" s="25">
        <f t="shared" si="65"/>
        <v>0</v>
      </c>
    </row>
    <row r="408" spans="1:22" ht="24" customHeight="1">
      <c r="A408" s="14"/>
      <c r="B408" s="15"/>
      <c r="C408" s="16"/>
      <c r="D408" s="16">
        <v>405</v>
      </c>
      <c r="E408" s="16" t="s">
        <v>454</v>
      </c>
      <c r="F408" s="17" t="s">
        <v>24</v>
      </c>
      <c r="G408" s="18">
        <v>1</v>
      </c>
      <c r="H408" s="19">
        <v>2</v>
      </c>
      <c r="I408" s="19"/>
      <c r="J408" s="19">
        <v>1000</v>
      </c>
      <c r="K408" s="19"/>
      <c r="L408" s="20">
        <f t="shared" si="59"/>
        <v>2</v>
      </c>
      <c r="M408" s="21">
        <f t="shared" si="62"/>
        <v>2</v>
      </c>
      <c r="N408" s="22">
        <f t="shared" si="63"/>
        <v>2</v>
      </c>
      <c r="O408" s="22">
        <f t="shared" si="64"/>
        <v>0</v>
      </c>
      <c r="P408" s="20">
        <f t="shared" si="66"/>
        <v>0</v>
      </c>
      <c r="Q408" s="23">
        <f t="shared" si="60"/>
        <v>1000</v>
      </c>
      <c r="R408" s="20">
        <f t="shared" si="61"/>
        <v>1000</v>
      </c>
      <c r="S408" s="20">
        <f t="shared" si="42"/>
        <v>1000</v>
      </c>
      <c r="T408" s="18">
        <f t="shared" si="67"/>
        <v>2000</v>
      </c>
      <c r="U408" s="24"/>
      <c r="V408" s="25">
        <f t="shared" si="65"/>
        <v>0</v>
      </c>
    </row>
    <row r="409" spans="1:22" ht="24" customHeight="1">
      <c r="A409" s="14"/>
      <c r="B409" s="15"/>
      <c r="C409" s="16"/>
      <c r="D409" s="16">
        <v>406</v>
      </c>
      <c r="E409" s="16" t="s">
        <v>891</v>
      </c>
      <c r="F409" s="17" t="s">
        <v>24</v>
      </c>
      <c r="G409" s="18">
        <v>1</v>
      </c>
      <c r="H409" s="19">
        <v>2</v>
      </c>
      <c r="I409" s="19"/>
      <c r="J409" s="19">
        <v>800</v>
      </c>
      <c r="K409" s="19"/>
      <c r="L409" s="20">
        <f t="shared" si="59"/>
        <v>2</v>
      </c>
      <c r="M409" s="21">
        <f t="shared" si="62"/>
        <v>2</v>
      </c>
      <c r="N409" s="22">
        <f t="shared" si="63"/>
        <v>2</v>
      </c>
      <c r="O409" s="22">
        <f t="shared" si="64"/>
        <v>0</v>
      </c>
      <c r="P409" s="20">
        <f t="shared" si="66"/>
        <v>0</v>
      </c>
      <c r="Q409" s="23">
        <f t="shared" si="60"/>
        <v>800</v>
      </c>
      <c r="R409" s="20">
        <f t="shared" si="61"/>
        <v>800</v>
      </c>
      <c r="S409" s="20">
        <f t="shared" si="42"/>
        <v>800</v>
      </c>
      <c r="T409" s="18">
        <f t="shared" si="67"/>
        <v>1600</v>
      </c>
      <c r="U409" s="24"/>
      <c r="V409" s="25">
        <f t="shared" si="65"/>
        <v>0</v>
      </c>
    </row>
    <row r="410" spans="1:22" ht="24" customHeight="1">
      <c r="A410" s="14"/>
      <c r="B410" s="15"/>
      <c r="C410" s="16"/>
      <c r="D410" s="16">
        <v>407</v>
      </c>
      <c r="E410" s="16" t="s">
        <v>455</v>
      </c>
      <c r="F410" s="17" t="s">
        <v>24</v>
      </c>
      <c r="G410" s="18">
        <v>1</v>
      </c>
      <c r="H410" s="19">
        <v>2</v>
      </c>
      <c r="I410" s="19"/>
      <c r="J410" s="19">
        <v>2200</v>
      </c>
      <c r="K410" s="19"/>
      <c r="L410" s="20">
        <f t="shared" si="59"/>
        <v>2</v>
      </c>
      <c r="M410" s="21">
        <f t="shared" si="62"/>
        <v>2</v>
      </c>
      <c r="N410" s="22">
        <f t="shared" si="63"/>
        <v>2</v>
      </c>
      <c r="O410" s="22">
        <f t="shared" si="64"/>
        <v>0</v>
      </c>
      <c r="P410" s="20">
        <f t="shared" si="66"/>
        <v>0</v>
      </c>
      <c r="Q410" s="23">
        <f t="shared" si="60"/>
        <v>2200</v>
      </c>
      <c r="R410" s="20">
        <f t="shared" si="61"/>
        <v>2200</v>
      </c>
      <c r="S410" s="20">
        <f t="shared" si="42"/>
        <v>2200</v>
      </c>
      <c r="T410" s="18">
        <f t="shared" si="67"/>
        <v>4400</v>
      </c>
      <c r="U410" s="24"/>
      <c r="V410" s="25">
        <f t="shared" si="65"/>
        <v>0</v>
      </c>
    </row>
    <row r="411" spans="1:22" ht="24" customHeight="1">
      <c r="A411" s="14"/>
      <c r="B411" s="15"/>
      <c r="C411" s="16"/>
      <c r="D411" s="16">
        <v>408</v>
      </c>
      <c r="E411" s="16" t="s">
        <v>27</v>
      </c>
      <c r="F411" s="17" t="s">
        <v>24</v>
      </c>
      <c r="G411" s="18">
        <v>1</v>
      </c>
      <c r="H411" s="19">
        <v>1</v>
      </c>
      <c r="I411" s="19"/>
      <c r="J411" s="19">
        <v>4200</v>
      </c>
      <c r="K411" s="19"/>
      <c r="L411" s="20">
        <f t="shared" si="59"/>
        <v>1</v>
      </c>
      <c r="M411" s="21">
        <f t="shared" si="62"/>
        <v>1</v>
      </c>
      <c r="N411" s="22">
        <f t="shared" si="63"/>
        <v>1</v>
      </c>
      <c r="O411" s="22">
        <f t="shared" si="64"/>
        <v>0</v>
      </c>
      <c r="P411" s="20">
        <f t="shared" si="66"/>
        <v>0</v>
      </c>
      <c r="Q411" s="23">
        <f t="shared" si="60"/>
        <v>4200</v>
      </c>
      <c r="R411" s="20">
        <f t="shared" si="61"/>
        <v>4200</v>
      </c>
      <c r="S411" s="20">
        <f t="shared" si="42"/>
        <v>4200</v>
      </c>
      <c r="T411" s="18">
        <f t="shared" si="67"/>
        <v>4200</v>
      </c>
      <c r="U411" s="24"/>
      <c r="V411" s="25">
        <f t="shared" si="65"/>
        <v>0</v>
      </c>
    </row>
    <row r="412" spans="1:22" ht="24" customHeight="1">
      <c r="A412" s="14"/>
      <c r="B412" s="15"/>
      <c r="C412" s="16"/>
      <c r="D412" s="16">
        <v>409</v>
      </c>
      <c r="E412" s="43" t="s">
        <v>44</v>
      </c>
      <c r="F412" s="17" t="s">
        <v>24</v>
      </c>
      <c r="G412" s="18">
        <v>1</v>
      </c>
      <c r="H412" s="19">
        <v>1</v>
      </c>
      <c r="I412" s="19"/>
      <c r="J412" s="19">
        <v>2400</v>
      </c>
      <c r="K412" s="19"/>
      <c r="L412" s="20">
        <f t="shared" si="59"/>
        <v>1</v>
      </c>
      <c r="M412" s="21">
        <f t="shared" si="62"/>
        <v>1</v>
      </c>
      <c r="N412" s="22">
        <f t="shared" si="63"/>
        <v>1</v>
      </c>
      <c r="O412" s="22">
        <f t="shared" si="64"/>
        <v>0</v>
      </c>
      <c r="P412" s="20">
        <f t="shared" si="66"/>
        <v>0</v>
      </c>
      <c r="Q412" s="23">
        <f t="shared" si="60"/>
        <v>2400</v>
      </c>
      <c r="R412" s="20">
        <f t="shared" si="61"/>
        <v>2400</v>
      </c>
      <c r="S412" s="20">
        <f t="shared" si="42"/>
        <v>2400</v>
      </c>
      <c r="T412" s="18">
        <f t="shared" si="67"/>
        <v>2400</v>
      </c>
      <c r="U412" s="24" t="s">
        <v>152</v>
      </c>
      <c r="V412" s="25">
        <f t="shared" si="65"/>
        <v>0</v>
      </c>
    </row>
    <row r="413" spans="1:22" ht="24" customHeight="1">
      <c r="A413" s="14"/>
      <c r="B413" s="15"/>
      <c r="C413" s="16"/>
      <c r="D413" s="16">
        <v>410</v>
      </c>
      <c r="E413" s="16" t="s">
        <v>140</v>
      </c>
      <c r="F413" s="17" t="s">
        <v>24</v>
      </c>
      <c r="G413" s="18">
        <v>1</v>
      </c>
      <c r="H413" s="19">
        <v>4</v>
      </c>
      <c r="I413" s="19"/>
      <c r="J413" s="19">
        <v>2300</v>
      </c>
      <c r="K413" s="19"/>
      <c r="L413" s="20">
        <f t="shared" ref="L413:L476" si="68">I413*G413+H413</f>
        <v>4</v>
      </c>
      <c r="M413" s="21">
        <f t="shared" si="62"/>
        <v>4</v>
      </c>
      <c r="N413" s="22">
        <f t="shared" si="63"/>
        <v>4</v>
      </c>
      <c r="O413" s="22">
        <f t="shared" si="64"/>
        <v>0</v>
      </c>
      <c r="P413" s="20">
        <f t="shared" si="66"/>
        <v>0</v>
      </c>
      <c r="Q413" s="23">
        <f t="shared" ref="Q413:Q476" si="69">IFERROR(J413*G413,"")</f>
        <v>2300</v>
      </c>
      <c r="R413" s="20">
        <f t="shared" si="61"/>
        <v>2300</v>
      </c>
      <c r="S413" s="20">
        <f t="shared" si="42"/>
        <v>2300</v>
      </c>
      <c r="T413" s="18">
        <f t="shared" si="67"/>
        <v>9200</v>
      </c>
      <c r="U413" s="24"/>
      <c r="V413" s="25">
        <f t="shared" si="65"/>
        <v>0</v>
      </c>
    </row>
    <row r="414" spans="1:22" ht="24" customHeight="1">
      <c r="A414" s="14"/>
      <c r="B414" s="15"/>
      <c r="C414" s="16"/>
      <c r="D414" s="16">
        <v>411</v>
      </c>
      <c r="E414" s="16" t="s">
        <v>892</v>
      </c>
      <c r="F414" s="17" t="s">
        <v>24</v>
      </c>
      <c r="G414" s="18">
        <v>1</v>
      </c>
      <c r="H414" s="19">
        <v>1</v>
      </c>
      <c r="I414" s="19"/>
      <c r="J414" s="19">
        <v>3700</v>
      </c>
      <c r="K414" s="19"/>
      <c r="L414" s="20">
        <f t="shared" si="68"/>
        <v>1</v>
      </c>
      <c r="M414" s="21">
        <f t="shared" si="62"/>
        <v>1</v>
      </c>
      <c r="N414" s="22">
        <f t="shared" si="63"/>
        <v>1</v>
      </c>
      <c r="O414" s="22">
        <f t="shared" si="64"/>
        <v>0</v>
      </c>
      <c r="P414" s="20">
        <f t="shared" si="66"/>
        <v>0</v>
      </c>
      <c r="Q414" s="23">
        <f t="shared" si="69"/>
        <v>3700</v>
      </c>
      <c r="R414" s="20">
        <f t="shared" si="61"/>
        <v>3700</v>
      </c>
      <c r="S414" s="20">
        <f t="shared" si="42"/>
        <v>3700</v>
      </c>
      <c r="T414" s="18">
        <f t="shared" si="67"/>
        <v>3700</v>
      </c>
      <c r="U414" s="24"/>
      <c r="V414" s="25">
        <f t="shared" si="65"/>
        <v>0</v>
      </c>
    </row>
    <row r="415" spans="1:22" ht="24" customHeight="1">
      <c r="A415" s="14"/>
      <c r="B415" s="15"/>
      <c r="C415" s="16"/>
      <c r="D415" s="16">
        <v>412</v>
      </c>
      <c r="E415" s="16" t="s">
        <v>36</v>
      </c>
      <c r="F415" s="17" t="s">
        <v>24</v>
      </c>
      <c r="G415" s="18">
        <v>1</v>
      </c>
      <c r="H415" s="19">
        <v>2</v>
      </c>
      <c r="I415" s="19"/>
      <c r="J415" s="19">
        <v>1900</v>
      </c>
      <c r="K415" s="19"/>
      <c r="L415" s="20">
        <f t="shared" si="68"/>
        <v>2</v>
      </c>
      <c r="M415" s="21">
        <f t="shared" si="62"/>
        <v>2</v>
      </c>
      <c r="N415" s="22">
        <f t="shared" si="63"/>
        <v>2</v>
      </c>
      <c r="O415" s="22">
        <f t="shared" si="64"/>
        <v>0</v>
      </c>
      <c r="P415" s="20">
        <f t="shared" si="66"/>
        <v>0</v>
      </c>
      <c r="Q415" s="23">
        <f t="shared" si="69"/>
        <v>1900</v>
      </c>
      <c r="R415" s="20">
        <f t="shared" si="61"/>
        <v>1900</v>
      </c>
      <c r="S415" s="20">
        <f t="shared" si="42"/>
        <v>1900</v>
      </c>
      <c r="T415" s="18">
        <f t="shared" si="67"/>
        <v>3800</v>
      </c>
      <c r="U415" s="24"/>
      <c r="V415" s="25">
        <f t="shared" si="65"/>
        <v>0</v>
      </c>
    </row>
    <row r="416" spans="1:22" ht="24" customHeight="1">
      <c r="A416" s="14"/>
      <c r="B416" s="15"/>
      <c r="C416" s="16"/>
      <c r="D416" s="16">
        <v>413</v>
      </c>
      <c r="E416" s="43" t="s">
        <v>143</v>
      </c>
      <c r="F416" s="17" t="s">
        <v>24</v>
      </c>
      <c r="G416" s="18">
        <v>1</v>
      </c>
      <c r="H416" s="19">
        <v>2</v>
      </c>
      <c r="I416" s="19"/>
      <c r="J416" s="19">
        <v>1800</v>
      </c>
      <c r="K416" s="19"/>
      <c r="L416" s="20">
        <f t="shared" si="68"/>
        <v>2</v>
      </c>
      <c r="M416" s="21">
        <f t="shared" si="62"/>
        <v>2</v>
      </c>
      <c r="N416" s="22">
        <f t="shared" si="63"/>
        <v>2</v>
      </c>
      <c r="O416" s="22">
        <f t="shared" si="64"/>
        <v>0</v>
      </c>
      <c r="P416" s="20">
        <f t="shared" si="66"/>
        <v>0</v>
      </c>
      <c r="Q416" s="23">
        <f t="shared" si="69"/>
        <v>1800</v>
      </c>
      <c r="R416" s="20">
        <f t="shared" si="61"/>
        <v>1800</v>
      </c>
      <c r="S416" s="20">
        <f t="shared" si="42"/>
        <v>1800</v>
      </c>
      <c r="T416" s="18">
        <f t="shared" si="67"/>
        <v>3600</v>
      </c>
      <c r="U416" s="24" t="s">
        <v>152</v>
      </c>
      <c r="V416" s="25">
        <f t="shared" si="65"/>
        <v>0</v>
      </c>
    </row>
    <row r="417" spans="1:22" ht="24" customHeight="1">
      <c r="A417" s="14"/>
      <c r="B417" s="15"/>
      <c r="C417" s="16"/>
      <c r="D417" s="16">
        <v>414</v>
      </c>
      <c r="E417" s="43" t="s">
        <v>456</v>
      </c>
      <c r="F417" s="17" t="s">
        <v>24</v>
      </c>
      <c r="G417" s="18">
        <v>1</v>
      </c>
      <c r="H417" s="19">
        <v>3</v>
      </c>
      <c r="I417" s="19"/>
      <c r="J417" s="19">
        <v>1500</v>
      </c>
      <c r="K417" s="19"/>
      <c r="L417" s="20">
        <f t="shared" si="68"/>
        <v>3</v>
      </c>
      <c r="M417" s="21">
        <f t="shared" si="62"/>
        <v>3</v>
      </c>
      <c r="N417" s="22">
        <f t="shared" si="63"/>
        <v>3</v>
      </c>
      <c r="O417" s="22">
        <f t="shared" si="64"/>
        <v>0</v>
      </c>
      <c r="P417" s="20">
        <f t="shared" si="66"/>
        <v>0</v>
      </c>
      <c r="Q417" s="23">
        <f t="shared" si="69"/>
        <v>1500</v>
      </c>
      <c r="R417" s="20">
        <f t="shared" si="61"/>
        <v>1500</v>
      </c>
      <c r="S417" s="20">
        <f t="shared" si="42"/>
        <v>1500</v>
      </c>
      <c r="T417" s="18">
        <f t="shared" si="67"/>
        <v>4500</v>
      </c>
      <c r="U417" s="24" t="s">
        <v>152</v>
      </c>
      <c r="V417" s="25">
        <f t="shared" si="65"/>
        <v>0</v>
      </c>
    </row>
    <row r="418" spans="1:22" ht="24" customHeight="1">
      <c r="A418" s="14"/>
      <c r="B418" s="15"/>
      <c r="C418" s="16"/>
      <c r="D418" s="16">
        <v>415</v>
      </c>
      <c r="E418" s="43" t="s">
        <v>457</v>
      </c>
      <c r="F418" s="17" t="s">
        <v>24</v>
      </c>
      <c r="G418" s="18">
        <v>1</v>
      </c>
      <c r="H418" s="19">
        <v>4</v>
      </c>
      <c r="I418" s="19"/>
      <c r="J418" s="19">
        <v>1800</v>
      </c>
      <c r="K418" s="19"/>
      <c r="L418" s="20">
        <f t="shared" si="68"/>
        <v>4</v>
      </c>
      <c r="M418" s="21">
        <f t="shared" si="62"/>
        <v>4</v>
      </c>
      <c r="N418" s="22">
        <f t="shared" si="63"/>
        <v>4</v>
      </c>
      <c r="O418" s="22">
        <f t="shared" si="64"/>
        <v>0</v>
      </c>
      <c r="P418" s="20">
        <f t="shared" si="66"/>
        <v>0</v>
      </c>
      <c r="Q418" s="23">
        <f t="shared" si="69"/>
        <v>1800</v>
      </c>
      <c r="R418" s="20">
        <f t="shared" si="61"/>
        <v>1800</v>
      </c>
      <c r="S418" s="20">
        <f t="shared" si="42"/>
        <v>1800</v>
      </c>
      <c r="T418" s="18">
        <f t="shared" si="67"/>
        <v>7200</v>
      </c>
      <c r="U418" s="24" t="s">
        <v>152</v>
      </c>
      <c r="V418" s="25">
        <f t="shared" si="65"/>
        <v>0</v>
      </c>
    </row>
    <row r="419" spans="1:22" ht="24" customHeight="1">
      <c r="A419" s="14"/>
      <c r="B419" s="15"/>
      <c r="C419" s="16"/>
      <c r="D419" s="16">
        <v>416</v>
      </c>
      <c r="E419" s="43" t="s">
        <v>26</v>
      </c>
      <c r="F419" s="17" t="s">
        <v>24</v>
      </c>
      <c r="G419" s="18">
        <v>1</v>
      </c>
      <c r="H419" s="19">
        <v>3</v>
      </c>
      <c r="I419" s="19"/>
      <c r="J419" s="19">
        <v>2200</v>
      </c>
      <c r="K419" s="19"/>
      <c r="L419" s="20">
        <f t="shared" si="68"/>
        <v>3</v>
      </c>
      <c r="M419" s="21">
        <f t="shared" si="62"/>
        <v>3</v>
      </c>
      <c r="N419" s="22">
        <f t="shared" si="63"/>
        <v>3</v>
      </c>
      <c r="O419" s="22">
        <f t="shared" si="64"/>
        <v>0</v>
      </c>
      <c r="P419" s="20">
        <f t="shared" si="66"/>
        <v>0</v>
      </c>
      <c r="Q419" s="23">
        <f t="shared" si="69"/>
        <v>2200</v>
      </c>
      <c r="R419" s="20">
        <f t="shared" si="61"/>
        <v>2200</v>
      </c>
      <c r="S419" s="20">
        <f t="shared" si="42"/>
        <v>2200</v>
      </c>
      <c r="T419" s="18">
        <f t="shared" si="67"/>
        <v>6600</v>
      </c>
      <c r="U419" s="24" t="s">
        <v>152</v>
      </c>
      <c r="V419" s="25">
        <f t="shared" si="65"/>
        <v>0</v>
      </c>
    </row>
    <row r="420" spans="1:22" ht="24" customHeight="1">
      <c r="A420" s="14"/>
      <c r="B420" s="15"/>
      <c r="C420" s="16"/>
      <c r="D420" s="16">
        <v>417</v>
      </c>
      <c r="E420" s="43" t="s">
        <v>34</v>
      </c>
      <c r="F420" s="17" t="s">
        <v>24</v>
      </c>
      <c r="G420" s="18">
        <v>1</v>
      </c>
      <c r="H420" s="19">
        <v>2</v>
      </c>
      <c r="I420" s="19"/>
      <c r="J420" s="19">
        <v>1800</v>
      </c>
      <c r="K420" s="19"/>
      <c r="L420" s="20">
        <f t="shared" si="68"/>
        <v>2</v>
      </c>
      <c r="M420" s="21">
        <f t="shared" si="62"/>
        <v>2</v>
      </c>
      <c r="N420" s="22">
        <f t="shared" si="63"/>
        <v>2</v>
      </c>
      <c r="O420" s="22">
        <f t="shared" si="64"/>
        <v>0</v>
      </c>
      <c r="P420" s="20">
        <f t="shared" si="66"/>
        <v>0</v>
      </c>
      <c r="Q420" s="23">
        <f t="shared" si="69"/>
        <v>1800</v>
      </c>
      <c r="R420" s="20">
        <f t="shared" si="61"/>
        <v>1800</v>
      </c>
      <c r="S420" s="20">
        <f t="shared" si="42"/>
        <v>1800</v>
      </c>
      <c r="T420" s="18">
        <f t="shared" si="67"/>
        <v>3600</v>
      </c>
      <c r="U420" s="24" t="s">
        <v>152</v>
      </c>
      <c r="V420" s="25">
        <f t="shared" si="65"/>
        <v>0</v>
      </c>
    </row>
    <row r="421" spans="1:22" ht="24" customHeight="1">
      <c r="A421" s="14"/>
      <c r="B421" s="15"/>
      <c r="C421" s="16"/>
      <c r="D421" s="16">
        <v>418</v>
      </c>
      <c r="E421" s="43" t="s">
        <v>31</v>
      </c>
      <c r="F421" s="17" t="s">
        <v>24</v>
      </c>
      <c r="G421" s="18">
        <v>1</v>
      </c>
      <c r="H421" s="19">
        <v>2</v>
      </c>
      <c r="I421" s="19"/>
      <c r="J421" s="19">
        <v>1450</v>
      </c>
      <c r="K421" s="19"/>
      <c r="L421" s="20">
        <f t="shared" si="68"/>
        <v>2</v>
      </c>
      <c r="M421" s="21">
        <f t="shared" si="62"/>
        <v>2</v>
      </c>
      <c r="N421" s="22">
        <f t="shared" si="63"/>
        <v>2</v>
      </c>
      <c r="O421" s="22">
        <f t="shared" si="64"/>
        <v>0</v>
      </c>
      <c r="P421" s="20">
        <f t="shared" si="66"/>
        <v>0</v>
      </c>
      <c r="Q421" s="23">
        <f t="shared" si="69"/>
        <v>1450</v>
      </c>
      <c r="R421" s="20">
        <f t="shared" si="61"/>
        <v>1450</v>
      </c>
      <c r="S421" s="20">
        <f t="shared" si="42"/>
        <v>1450</v>
      </c>
      <c r="T421" s="18">
        <f t="shared" si="67"/>
        <v>2900</v>
      </c>
      <c r="U421" s="24" t="s">
        <v>152</v>
      </c>
      <c r="V421" s="25">
        <f t="shared" si="65"/>
        <v>0</v>
      </c>
    </row>
    <row r="422" spans="1:22" ht="24" customHeight="1">
      <c r="A422" s="14"/>
      <c r="B422" s="15"/>
      <c r="C422" s="16"/>
      <c r="D422" s="16">
        <v>419</v>
      </c>
      <c r="E422" s="43" t="s">
        <v>46</v>
      </c>
      <c r="F422" s="17" t="s">
        <v>24</v>
      </c>
      <c r="G422" s="18">
        <v>1</v>
      </c>
      <c r="H422" s="19">
        <v>2</v>
      </c>
      <c r="I422" s="19"/>
      <c r="J422" s="19">
        <v>1200</v>
      </c>
      <c r="K422" s="19"/>
      <c r="L422" s="20">
        <f t="shared" si="68"/>
        <v>2</v>
      </c>
      <c r="M422" s="21">
        <f t="shared" si="62"/>
        <v>2</v>
      </c>
      <c r="N422" s="22">
        <f t="shared" si="63"/>
        <v>2</v>
      </c>
      <c r="O422" s="22">
        <f t="shared" si="64"/>
        <v>0</v>
      </c>
      <c r="P422" s="20">
        <f t="shared" si="66"/>
        <v>0</v>
      </c>
      <c r="Q422" s="23">
        <f t="shared" si="69"/>
        <v>1200</v>
      </c>
      <c r="R422" s="20">
        <f t="shared" si="61"/>
        <v>1200</v>
      </c>
      <c r="S422" s="20">
        <f t="shared" si="42"/>
        <v>1200</v>
      </c>
      <c r="T422" s="18">
        <f t="shared" si="67"/>
        <v>2400</v>
      </c>
      <c r="U422" s="24" t="s">
        <v>152</v>
      </c>
      <c r="V422" s="25">
        <f t="shared" si="65"/>
        <v>0</v>
      </c>
    </row>
    <row r="423" spans="1:22" ht="24" customHeight="1">
      <c r="A423" s="26"/>
      <c r="B423" s="15"/>
      <c r="C423" s="16"/>
      <c r="D423" s="16">
        <v>420</v>
      </c>
      <c r="E423" s="16" t="s">
        <v>47</v>
      </c>
      <c r="F423" s="17" t="s">
        <v>24</v>
      </c>
      <c r="G423" s="18">
        <v>1</v>
      </c>
      <c r="H423" s="19">
        <v>1</v>
      </c>
      <c r="I423" s="19"/>
      <c r="J423" s="19">
        <v>1700</v>
      </c>
      <c r="K423" s="19"/>
      <c r="L423" s="20">
        <f t="shared" si="68"/>
        <v>1</v>
      </c>
      <c r="M423" s="21">
        <f t="shared" si="62"/>
        <v>1</v>
      </c>
      <c r="N423" s="22">
        <f t="shared" si="63"/>
        <v>1</v>
      </c>
      <c r="O423" s="22">
        <f t="shared" si="64"/>
        <v>0</v>
      </c>
      <c r="P423" s="20">
        <f t="shared" si="66"/>
        <v>0</v>
      </c>
      <c r="Q423" s="23">
        <f t="shared" si="69"/>
        <v>1700</v>
      </c>
      <c r="R423" s="20">
        <f t="shared" si="61"/>
        <v>1700</v>
      </c>
      <c r="S423" s="20">
        <f t="shared" si="42"/>
        <v>1700</v>
      </c>
      <c r="T423" s="18">
        <f t="shared" si="67"/>
        <v>1700</v>
      </c>
      <c r="U423" s="24"/>
      <c r="V423" s="25">
        <f t="shared" si="65"/>
        <v>0</v>
      </c>
    </row>
    <row r="424" spans="1:22" ht="24" customHeight="1">
      <c r="A424" s="26"/>
      <c r="B424" s="15"/>
      <c r="C424" s="16"/>
      <c r="D424" s="16">
        <v>421</v>
      </c>
      <c r="E424" s="16" t="s">
        <v>458</v>
      </c>
      <c r="F424" s="17" t="s">
        <v>24</v>
      </c>
      <c r="G424" s="18">
        <v>1</v>
      </c>
      <c r="H424" s="19">
        <v>1</v>
      </c>
      <c r="I424" s="19"/>
      <c r="J424" s="19">
        <v>1700</v>
      </c>
      <c r="K424" s="19"/>
      <c r="L424" s="20">
        <f t="shared" si="68"/>
        <v>1</v>
      </c>
      <c r="M424" s="21">
        <f t="shared" si="62"/>
        <v>1</v>
      </c>
      <c r="N424" s="22">
        <f t="shared" si="63"/>
        <v>1</v>
      </c>
      <c r="O424" s="22">
        <f t="shared" si="64"/>
        <v>0</v>
      </c>
      <c r="P424" s="20">
        <f t="shared" si="66"/>
        <v>0</v>
      </c>
      <c r="Q424" s="23">
        <f t="shared" si="69"/>
        <v>1700</v>
      </c>
      <c r="R424" s="20">
        <f t="shared" si="61"/>
        <v>1700</v>
      </c>
      <c r="S424" s="20">
        <f t="shared" si="61"/>
        <v>1700</v>
      </c>
      <c r="T424" s="18">
        <f t="shared" si="67"/>
        <v>1700</v>
      </c>
      <c r="U424" s="24"/>
      <c r="V424" s="25">
        <f t="shared" si="65"/>
        <v>0</v>
      </c>
    </row>
    <row r="425" spans="1:22" ht="24" customHeight="1">
      <c r="A425" s="14"/>
      <c r="B425" s="15"/>
      <c r="C425" s="16"/>
      <c r="D425" s="16">
        <v>422</v>
      </c>
      <c r="E425" s="16" t="s">
        <v>459</v>
      </c>
      <c r="F425" s="17" t="s">
        <v>24</v>
      </c>
      <c r="G425" s="18">
        <v>1</v>
      </c>
      <c r="H425" s="19">
        <v>1</v>
      </c>
      <c r="I425" s="19"/>
      <c r="J425" s="19">
        <v>2500</v>
      </c>
      <c r="K425" s="19"/>
      <c r="L425" s="20">
        <f t="shared" si="68"/>
        <v>1</v>
      </c>
      <c r="M425" s="21">
        <f t="shared" si="62"/>
        <v>1</v>
      </c>
      <c r="N425" s="22">
        <f t="shared" si="63"/>
        <v>1</v>
      </c>
      <c r="O425" s="22">
        <f t="shared" si="64"/>
        <v>0</v>
      </c>
      <c r="P425" s="20">
        <f t="shared" si="66"/>
        <v>0</v>
      </c>
      <c r="Q425" s="23">
        <f t="shared" si="69"/>
        <v>2500</v>
      </c>
      <c r="R425" s="20">
        <f t="shared" si="61"/>
        <v>2500</v>
      </c>
      <c r="S425" s="20">
        <f t="shared" si="61"/>
        <v>2500</v>
      </c>
      <c r="T425" s="18">
        <f t="shared" si="67"/>
        <v>2500</v>
      </c>
      <c r="U425" s="24"/>
      <c r="V425" s="25">
        <f t="shared" si="65"/>
        <v>0</v>
      </c>
    </row>
    <row r="426" spans="1:22" ht="24" customHeight="1">
      <c r="A426" s="26"/>
      <c r="B426" s="15"/>
      <c r="C426" s="16"/>
      <c r="D426" s="16">
        <v>423</v>
      </c>
      <c r="E426" s="16" t="s">
        <v>30</v>
      </c>
      <c r="F426" s="17" t="s">
        <v>24</v>
      </c>
      <c r="G426" s="18">
        <v>1</v>
      </c>
      <c r="H426" s="19">
        <v>3</v>
      </c>
      <c r="I426" s="19"/>
      <c r="J426" s="19">
        <v>800</v>
      </c>
      <c r="K426" s="19"/>
      <c r="L426" s="20">
        <f t="shared" si="68"/>
        <v>3</v>
      </c>
      <c r="M426" s="21">
        <f t="shared" si="62"/>
        <v>3</v>
      </c>
      <c r="N426" s="22">
        <f t="shared" si="63"/>
        <v>3</v>
      </c>
      <c r="O426" s="22">
        <f t="shared" si="64"/>
        <v>0</v>
      </c>
      <c r="P426" s="20">
        <f t="shared" si="66"/>
        <v>0</v>
      </c>
      <c r="Q426" s="23">
        <f t="shared" si="69"/>
        <v>800</v>
      </c>
      <c r="R426" s="20">
        <f t="shared" si="61"/>
        <v>800</v>
      </c>
      <c r="S426" s="20">
        <f t="shared" si="61"/>
        <v>800</v>
      </c>
      <c r="T426" s="18">
        <f t="shared" si="67"/>
        <v>2400</v>
      </c>
      <c r="U426" s="24"/>
      <c r="V426" s="25">
        <f t="shared" si="65"/>
        <v>0</v>
      </c>
    </row>
    <row r="427" spans="1:22" ht="24" customHeight="1">
      <c r="A427" s="26"/>
      <c r="B427" s="15"/>
      <c r="C427" s="16"/>
      <c r="D427" s="16">
        <v>424</v>
      </c>
      <c r="E427" s="16" t="s">
        <v>460</v>
      </c>
      <c r="F427" s="17" t="s">
        <v>24</v>
      </c>
      <c r="G427" s="18">
        <v>1</v>
      </c>
      <c r="H427" s="19">
        <v>1</v>
      </c>
      <c r="I427" s="19"/>
      <c r="J427" s="19">
        <v>1700</v>
      </c>
      <c r="K427" s="19"/>
      <c r="L427" s="20">
        <f t="shared" si="68"/>
        <v>1</v>
      </c>
      <c r="M427" s="21">
        <f t="shared" si="62"/>
        <v>1</v>
      </c>
      <c r="N427" s="22">
        <f t="shared" si="63"/>
        <v>1</v>
      </c>
      <c r="O427" s="22">
        <f t="shared" si="64"/>
        <v>0</v>
      </c>
      <c r="P427" s="20">
        <f t="shared" si="66"/>
        <v>0</v>
      </c>
      <c r="Q427" s="23">
        <f t="shared" si="69"/>
        <v>1700</v>
      </c>
      <c r="R427" s="20">
        <f t="shared" si="61"/>
        <v>1700</v>
      </c>
      <c r="S427" s="20">
        <f t="shared" si="61"/>
        <v>1700</v>
      </c>
      <c r="T427" s="18">
        <f t="shared" si="67"/>
        <v>1700</v>
      </c>
      <c r="U427" s="24"/>
      <c r="V427" s="25">
        <f t="shared" si="65"/>
        <v>0</v>
      </c>
    </row>
    <row r="428" spans="1:22" ht="24" customHeight="1">
      <c r="A428" s="14"/>
      <c r="B428" s="15"/>
      <c r="C428" s="16"/>
      <c r="D428" s="16">
        <v>425</v>
      </c>
      <c r="E428" s="16" t="s">
        <v>461</v>
      </c>
      <c r="F428" s="17" t="s">
        <v>24</v>
      </c>
      <c r="G428" s="18">
        <v>1</v>
      </c>
      <c r="H428" s="19">
        <v>1</v>
      </c>
      <c r="I428" s="19"/>
      <c r="J428" s="19">
        <v>1500</v>
      </c>
      <c r="K428" s="19"/>
      <c r="L428" s="20">
        <f t="shared" si="68"/>
        <v>1</v>
      </c>
      <c r="M428" s="21">
        <f t="shared" si="62"/>
        <v>1</v>
      </c>
      <c r="N428" s="22">
        <f t="shared" si="63"/>
        <v>1</v>
      </c>
      <c r="O428" s="22">
        <f t="shared" si="64"/>
        <v>0</v>
      </c>
      <c r="P428" s="20">
        <f t="shared" si="66"/>
        <v>0</v>
      </c>
      <c r="Q428" s="23">
        <f t="shared" si="69"/>
        <v>1500</v>
      </c>
      <c r="R428" s="20">
        <f t="shared" si="61"/>
        <v>1500</v>
      </c>
      <c r="S428" s="20">
        <f t="shared" si="61"/>
        <v>1500</v>
      </c>
      <c r="T428" s="18">
        <f t="shared" si="67"/>
        <v>1500</v>
      </c>
      <c r="U428" s="24"/>
      <c r="V428" s="25">
        <f t="shared" si="65"/>
        <v>0</v>
      </c>
    </row>
    <row r="429" spans="1:22" ht="24" customHeight="1">
      <c r="A429" s="26"/>
      <c r="B429" s="15"/>
      <c r="C429" s="16"/>
      <c r="D429" s="16">
        <v>426</v>
      </c>
      <c r="E429" s="16" t="s">
        <v>462</v>
      </c>
      <c r="F429" s="17" t="s">
        <v>24</v>
      </c>
      <c r="G429" s="18">
        <v>1</v>
      </c>
      <c r="H429" s="19">
        <v>2</v>
      </c>
      <c r="I429" s="19"/>
      <c r="J429" s="19">
        <v>4200</v>
      </c>
      <c r="K429" s="19"/>
      <c r="L429" s="20">
        <f t="shared" si="68"/>
        <v>2</v>
      </c>
      <c r="M429" s="21">
        <f t="shared" si="62"/>
        <v>2</v>
      </c>
      <c r="N429" s="22">
        <f t="shared" si="63"/>
        <v>2</v>
      </c>
      <c r="O429" s="22">
        <f t="shared" si="64"/>
        <v>0</v>
      </c>
      <c r="P429" s="20">
        <f t="shared" si="66"/>
        <v>0</v>
      </c>
      <c r="Q429" s="23">
        <f t="shared" si="69"/>
        <v>4200</v>
      </c>
      <c r="R429" s="20">
        <f t="shared" si="61"/>
        <v>4200</v>
      </c>
      <c r="S429" s="20">
        <f t="shared" si="61"/>
        <v>4200</v>
      </c>
      <c r="T429" s="18">
        <f t="shared" si="67"/>
        <v>8400</v>
      </c>
      <c r="U429" s="24"/>
      <c r="V429" s="25">
        <f t="shared" si="65"/>
        <v>0</v>
      </c>
    </row>
    <row r="430" spans="1:22" ht="24" customHeight="1">
      <c r="A430" s="26"/>
      <c r="B430" s="15"/>
      <c r="C430" s="16"/>
      <c r="D430" s="16">
        <v>427</v>
      </c>
      <c r="E430" s="16" t="s">
        <v>463</v>
      </c>
      <c r="F430" s="17" t="s">
        <v>24</v>
      </c>
      <c r="G430" s="18">
        <v>1</v>
      </c>
      <c r="H430" s="19">
        <v>1</v>
      </c>
      <c r="I430" s="19"/>
      <c r="J430" s="19">
        <v>1800</v>
      </c>
      <c r="K430" s="19"/>
      <c r="L430" s="20">
        <f t="shared" si="68"/>
        <v>1</v>
      </c>
      <c r="M430" s="21">
        <f t="shared" si="62"/>
        <v>1</v>
      </c>
      <c r="N430" s="22">
        <f t="shared" si="63"/>
        <v>1</v>
      </c>
      <c r="O430" s="22">
        <f t="shared" si="64"/>
        <v>0</v>
      </c>
      <c r="P430" s="20">
        <f t="shared" si="66"/>
        <v>0</v>
      </c>
      <c r="Q430" s="23">
        <f t="shared" si="69"/>
        <v>1800</v>
      </c>
      <c r="R430" s="20">
        <f t="shared" si="61"/>
        <v>1800</v>
      </c>
      <c r="S430" s="20">
        <f t="shared" si="61"/>
        <v>1800</v>
      </c>
      <c r="T430" s="18">
        <f t="shared" si="67"/>
        <v>1800</v>
      </c>
      <c r="U430" s="24"/>
      <c r="V430" s="25">
        <f t="shared" si="65"/>
        <v>0</v>
      </c>
    </row>
    <row r="431" spans="1:22" ht="24" customHeight="1">
      <c r="A431" s="14"/>
      <c r="B431" s="15"/>
      <c r="C431" s="16"/>
      <c r="D431" s="16">
        <v>428</v>
      </c>
      <c r="E431" s="16" t="s">
        <v>464</v>
      </c>
      <c r="F431" s="17" t="s">
        <v>24</v>
      </c>
      <c r="G431" s="18">
        <v>1</v>
      </c>
      <c r="H431" s="19">
        <v>2</v>
      </c>
      <c r="I431" s="19"/>
      <c r="J431" s="19">
        <v>2400</v>
      </c>
      <c r="K431" s="19"/>
      <c r="L431" s="20">
        <f t="shared" si="68"/>
        <v>2</v>
      </c>
      <c r="M431" s="21">
        <f t="shared" si="62"/>
        <v>2</v>
      </c>
      <c r="N431" s="22">
        <f t="shared" si="63"/>
        <v>2</v>
      </c>
      <c r="O431" s="22">
        <f t="shared" si="64"/>
        <v>0</v>
      </c>
      <c r="P431" s="20">
        <f t="shared" si="66"/>
        <v>0</v>
      </c>
      <c r="Q431" s="23">
        <f t="shared" si="69"/>
        <v>2400</v>
      </c>
      <c r="R431" s="20">
        <f t="shared" ref="R431:S494" si="70">IFERROR(IF(J431&gt;0,J431,IF(J431&lt;0,P431,IF(J431=0,P431))),"")</f>
        <v>2400</v>
      </c>
      <c r="S431" s="20">
        <f t="shared" si="70"/>
        <v>2400</v>
      </c>
      <c r="T431" s="18">
        <f t="shared" si="67"/>
        <v>4800</v>
      </c>
      <c r="U431" s="24"/>
      <c r="V431" s="25">
        <f t="shared" si="65"/>
        <v>0</v>
      </c>
    </row>
    <row r="432" spans="1:22" ht="24" customHeight="1">
      <c r="A432" s="26"/>
      <c r="B432" s="15"/>
      <c r="C432" s="16"/>
      <c r="D432" s="16">
        <v>429</v>
      </c>
      <c r="E432" s="43" t="s">
        <v>465</v>
      </c>
      <c r="F432" s="47" t="s">
        <v>24</v>
      </c>
      <c r="G432" s="48">
        <v>1</v>
      </c>
      <c r="H432" s="49">
        <v>3</v>
      </c>
      <c r="I432" s="49"/>
      <c r="J432" s="49">
        <v>2800</v>
      </c>
      <c r="K432" s="19"/>
      <c r="L432" s="20">
        <f t="shared" si="68"/>
        <v>3</v>
      </c>
      <c r="M432" s="21">
        <f t="shared" si="62"/>
        <v>3</v>
      </c>
      <c r="N432" s="22">
        <f t="shared" si="63"/>
        <v>3</v>
      </c>
      <c r="O432" s="22">
        <f t="shared" si="64"/>
        <v>0</v>
      </c>
      <c r="P432" s="20">
        <f t="shared" si="66"/>
        <v>0</v>
      </c>
      <c r="Q432" s="23">
        <f t="shared" si="69"/>
        <v>2800</v>
      </c>
      <c r="R432" s="20">
        <f t="shared" si="70"/>
        <v>2800</v>
      </c>
      <c r="S432" s="20">
        <f t="shared" si="70"/>
        <v>2800</v>
      </c>
      <c r="T432" s="18">
        <f t="shared" si="67"/>
        <v>8400</v>
      </c>
      <c r="U432" s="24" t="s">
        <v>152</v>
      </c>
      <c r="V432" s="25">
        <f t="shared" si="65"/>
        <v>0</v>
      </c>
    </row>
    <row r="433" spans="1:22" ht="24" customHeight="1">
      <c r="A433" s="26"/>
      <c r="B433" s="15"/>
      <c r="C433" s="16"/>
      <c r="D433" s="16">
        <v>430</v>
      </c>
      <c r="E433" s="16" t="s">
        <v>893</v>
      </c>
      <c r="F433" s="17" t="s">
        <v>24</v>
      </c>
      <c r="G433" s="18">
        <v>1</v>
      </c>
      <c r="H433" s="19">
        <v>2</v>
      </c>
      <c r="I433" s="19"/>
      <c r="J433" s="19">
        <v>1800</v>
      </c>
      <c r="K433" s="19"/>
      <c r="L433" s="20">
        <f t="shared" si="68"/>
        <v>2</v>
      </c>
      <c r="M433" s="21">
        <f t="shared" si="62"/>
        <v>2</v>
      </c>
      <c r="N433" s="22">
        <f t="shared" si="63"/>
        <v>2</v>
      </c>
      <c r="O433" s="22">
        <f t="shared" si="64"/>
        <v>0</v>
      </c>
      <c r="P433" s="20">
        <f t="shared" si="66"/>
        <v>0</v>
      </c>
      <c r="Q433" s="23">
        <f t="shared" si="69"/>
        <v>1800</v>
      </c>
      <c r="R433" s="20">
        <f t="shared" si="70"/>
        <v>1800</v>
      </c>
      <c r="S433" s="20">
        <f t="shared" si="70"/>
        <v>1800</v>
      </c>
      <c r="T433" s="18">
        <f t="shared" si="67"/>
        <v>3600</v>
      </c>
      <c r="U433" s="24"/>
      <c r="V433" s="25">
        <f t="shared" si="65"/>
        <v>0</v>
      </c>
    </row>
    <row r="434" spans="1:22" ht="24" customHeight="1">
      <c r="A434" s="26"/>
      <c r="B434" s="15"/>
      <c r="C434" s="16"/>
      <c r="D434" s="16">
        <v>431</v>
      </c>
      <c r="E434" s="16" t="s">
        <v>466</v>
      </c>
      <c r="F434" s="17" t="s">
        <v>24</v>
      </c>
      <c r="G434" s="18">
        <v>1</v>
      </c>
      <c r="H434" s="19">
        <v>3</v>
      </c>
      <c r="I434" s="19"/>
      <c r="J434" s="19">
        <v>2400</v>
      </c>
      <c r="K434" s="19"/>
      <c r="L434" s="20">
        <f t="shared" si="68"/>
        <v>3</v>
      </c>
      <c r="M434" s="21">
        <f t="shared" si="62"/>
        <v>3</v>
      </c>
      <c r="N434" s="22">
        <f t="shared" si="63"/>
        <v>3</v>
      </c>
      <c r="O434" s="22">
        <f t="shared" si="64"/>
        <v>0</v>
      </c>
      <c r="P434" s="20">
        <f t="shared" si="66"/>
        <v>0</v>
      </c>
      <c r="Q434" s="23">
        <f t="shared" si="69"/>
        <v>2400</v>
      </c>
      <c r="R434" s="20">
        <f t="shared" si="70"/>
        <v>2400</v>
      </c>
      <c r="S434" s="20">
        <f t="shared" si="70"/>
        <v>2400</v>
      </c>
      <c r="T434" s="18">
        <f t="shared" si="67"/>
        <v>7200</v>
      </c>
      <c r="U434" s="24"/>
      <c r="V434" s="25"/>
    </row>
    <row r="435" spans="1:22" ht="24" customHeight="1">
      <c r="A435" s="26"/>
      <c r="B435" s="15"/>
      <c r="C435" s="16"/>
      <c r="D435" s="16">
        <v>432</v>
      </c>
      <c r="E435" s="43" t="s">
        <v>894</v>
      </c>
      <c r="F435" s="47" t="s">
        <v>24</v>
      </c>
      <c r="G435" s="48">
        <v>1</v>
      </c>
      <c r="H435" s="49">
        <v>3</v>
      </c>
      <c r="I435" s="49"/>
      <c r="J435" s="49">
        <v>1200</v>
      </c>
      <c r="K435" s="19"/>
      <c r="L435" s="20">
        <f t="shared" si="68"/>
        <v>3</v>
      </c>
      <c r="M435" s="21">
        <f t="shared" si="62"/>
        <v>3</v>
      </c>
      <c r="N435" s="22">
        <f t="shared" si="63"/>
        <v>3</v>
      </c>
      <c r="O435" s="22">
        <f t="shared" si="64"/>
        <v>0</v>
      </c>
      <c r="P435" s="20">
        <f t="shared" si="66"/>
        <v>0</v>
      </c>
      <c r="Q435" s="23">
        <f t="shared" si="69"/>
        <v>1200</v>
      </c>
      <c r="R435" s="20">
        <f t="shared" si="70"/>
        <v>1200</v>
      </c>
      <c r="S435" s="20">
        <f t="shared" si="70"/>
        <v>1200</v>
      </c>
      <c r="T435" s="18">
        <f t="shared" si="67"/>
        <v>3600</v>
      </c>
      <c r="U435" s="24" t="s">
        <v>152</v>
      </c>
      <c r="V435" s="25"/>
    </row>
    <row r="436" spans="1:22" ht="24" customHeight="1">
      <c r="A436" s="26"/>
      <c r="B436" s="15"/>
      <c r="C436" s="16"/>
      <c r="D436" s="16">
        <v>433</v>
      </c>
      <c r="E436" s="16" t="s">
        <v>467</v>
      </c>
      <c r="F436" s="17" t="s">
        <v>24</v>
      </c>
      <c r="G436" s="18">
        <v>1</v>
      </c>
      <c r="H436" s="19">
        <v>1</v>
      </c>
      <c r="I436" s="19"/>
      <c r="J436" s="19">
        <v>2500</v>
      </c>
      <c r="K436" s="19"/>
      <c r="L436" s="20">
        <f t="shared" si="68"/>
        <v>1</v>
      </c>
      <c r="M436" s="21">
        <f t="shared" si="62"/>
        <v>1</v>
      </c>
      <c r="N436" s="22">
        <f t="shared" si="63"/>
        <v>1</v>
      </c>
      <c r="O436" s="22">
        <f t="shared" si="64"/>
        <v>0</v>
      </c>
      <c r="P436" s="20">
        <f t="shared" si="66"/>
        <v>0</v>
      </c>
      <c r="Q436" s="23">
        <f t="shared" si="69"/>
        <v>2500</v>
      </c>
      <c r="R436" s="20">
        <f t="shared" si="70"/>
        <v>2500</v>
      </c>
      <c r="S436" s="20">
        <f t="shared" si="70"/>
        <v>2500</v>
      </c>
      <c r="T436" s="18">
        <f t="shared" si="67"/>
        <v>2500</v>
      </c>
      <c r="U436" s="24"/>
      <c r="V436" s="25"/>
    </row>
    <row r="437" spans="1:22" ht="24" customHeight="1">
      <c r="A437" s="26"/>
      <c r="B437" s="15"/>
      <c r="C437" s="16"/>
      <c r="D437" s="16">
        <v>434</v>
      </c>
      <c r="E437" s="16" t="s">
        <v>895</v>
      </c>
      <c r="F437" s="17" t="s">
        <v>24</v>
      </c>
      <c r="G437" s="18">
        <v>1</v>
      </c>
      <c r="H437" s="19">
        <v>1</v>
      </c>
      <c r="I437" s="19"/>
      <c r="J437" s="19">
        <v>3800</v>
      </c>
      <c r="K437" s="19"/>
      <c r="L437" s="20">
        <f t="shared" si="68"/>
        <v>1</v>
      </c>
      <c r="M437" s="21">
        <f t="shared" si="62"/>
        <v>1</v>
      </c>
      <c r="N437" s="22">
        <f t="shared" si="63"/>
        <v>1</v>
      </c>
      <c r="O437" s="22">
        <f t="shared" si="64"/>
        <v>0</v>
      </c>
      <c r="P437" s="20">
        <f t="shared" si="66"/>
        <v>0</v>
      </c>
      <c r="Q437" s="23">
        <f t="shared" si="69"/>
        <v>3800</v>
      </c>
      <c r="R437" s="20">
        <f t="shared" si="70"/>
        <v>3800</v>
      </c>
      <c r="S437" s="20">
        <f t="shared" si="70"/>
        <v>3800</v>
      </c>
      <c r="T437" s="18">
        <f t="shared" si="67"/>
        <v>3800</v>
      </c>
      <c r="U437" s="24"/>
      <c r="V437" s="25"/>
    </row>
    <row r="438" spans="1:22" ht="24" customHeight="1">
      <c r="A438" s="26"/>
      <c r="B438" s="15"/>
      <c r="C438" s="16"/>
      <c r="D438" s="16">
        <v>435</v>
      </c>
      <c r="E438" s="16" t="s">
        <v>53</v>
      </c>
      <c r="F438" s="17" t="s">
        <v>24</v>
      </c>
      <c r="G438" s="18">
        <v>1</v>
      </c>
      <c r="H438" s="19">
        <v>5</v>
      </c>
      <c r="I438" s="19"/>
      <c r="J438" s="19">
        <v>700</v>
      </c>
      <c r="K438" s="19"/>
      <c r="L438" s="20">
        <f t="shared" si="68"/>
        <v>5</v>
      </c>
      <c r="M438" s="21">
        <f t="shared" si="62"/>
        <v>5</v>
      </c>
      <c r="N438" s="22">
        <f t="shared" si="63"/>
        <v>5</v>
      </c>
      <c r="O438" s="22">
        <f t="shared" si="64"/>
        <v>0</v>
      </c>
      <c r="P438" s="20">
        <f t="shared" si="66"/>
        <v>0</v>
      </c>
      <c r="Q438" s="23">
        <f t="shared" si="69"/>
        <v>700</v>
      </c>
      <c r="R438" s="20">
        <f t="shared" si="70"/>
        <v>700</v>
      </c>
      <c r="S438" s="20">
        <f t="shared" si="70"/>
        <v>700</v>
      </c>
      <c r="T438" s="18">
        <f t="shared" si="67"/>
        <v>3500</v>
      </c>
      <c r="U438" s="24"/>
      <c r="V438" s="25"/>
    </row>
    <row r="439" spans="1:22" ht="24" customHeight="1">
      <c r="A439" s="26"/>
      <c r="B439" s="15"/>
      <c r="C439" s="16"/>
      <c r="D439" s="16">
        <v>436</v>
      </c>
      <c r="E439" s="16" t="s">
        <v>896</v>
      </c>
      <c r="F439" s="17" t="s">
        <v>24</v>
      </c>
      <c r="G439" s="18">
        <v>1</v>
      </c>
      <c r="H439" s="19">
        <v>3</v>
      </c>
      <c r="I439" s="19"/>
      <c r="J439" s="19">
        <v>1500</v>
      </c>
      <c r="K439" s="19"/>
      <c r="L439" s="20">
        <f t="shared" si="68"/>
        <v>3</v>
      </c>
      <c r="M439" s="21">
        <f t="shared" si="62"/>
        <v>3</v>
      </c>
      <c r="N439" s="22">
        <f t="shared" si="63"/>
        <v>3</v>
      </c>
      <c r="O439" s="22">
        <f t="shared" si="64"/>
        <v>0</v>
      </c>
      <c r="P439" s="20">
        <f t="shared" si="66"/>
        <v>0</v>
      </c>
      <c r="Q439" s="23">
        <f t="shared" si="69"/>
        <v>1500</v>
      </c>
      <c r="R439" s="20">
        <f t="shared" si="70"/>
        <v>1500</v>
      </c>
      <c r="S439" s="20">
        <f t="shared" si="70"/>
        <v>1500</v>
      </c>
      <c r="T439" s="18">
        <f t="shared" si="67"/>
        <v>4500</v>
      </c>
      <c r="U439" s="24"/>
      <c r="V439" s="25"/>
    </row>
    <row r="440" spans="1:22" ht="24" customHeight="1">
      <c r="A440" s="26"/>
      <c r="B440" s="15"/>
      <c r="C440" s="16"/>
      <c r="D440" s="16">
        <v>437</v>
      </c>
      <c r="E440" s="16" t="s">
        <v>468</v>
      </c>
      <c r="F440" s="17" t="s">
        <v>24</v>
      </c>
      <c r="G440" s="18">
        <v>1</v>
      </c>
      <c r="H440" s="19">
        <v>2</v>
      </c>
      <c r="I440" s="19"/>
      <c r="J440" s="19">
        <v>2400</v>
      </c>
      <c r="K440" s="19"/>
      <c r="L440" s="20">
        <f t="shared" si="68"/>
        <v>2</v>
      </c>
      <c r="M440" s="21">
        <f t="shared" si="62"/>
        <v>2</v>
      </c>
      <c r="N440" s="22">
        <f t="shared" si="63"/>
        <v>2</v>
      </c>
      <c r="O440" s="22">
        <f t="shared" si="64"/>
        <v>0</v>
      </c>
      <c r="P440" s="20">
        <f t="shared" si="66"/>
        <v>0</v>
      </c>
      <c r="Q440" s="23">
        <f t="shared" si="69"/>
        <v>2400</v>
      </c>
      <c r="R440" s="20">
        <f t="shared" si="70"/>
        <v>2400</v>
      </c>
      <c r="S440" s="20">
        <f t="shared" si="70"/>
        <v>2400</v>
      </c>
      <c r="T440" s="18">
        <f t="shared" si="67"/>
        <v>4800</v>
      </c>
      <c r="U440" s="24"/>
      <c r="V440" s="25"/>
    </row>
    <row r="441" spans="1:22" ht="24" customHeight="1">
      <c r="A441" s="26"/>
      <c r="B441" s="15"/>
      <c r="C441" s="16"/>
      <c r="D441" s="16">
        <v>438</v>
      </c>
      <c r="E441" s="43" t="s">
        <v>469</v>
      </c>
      <c r="F441" s="47" t="s">
        <v>24</v>
      </c>
      <c r="G441" s="48">
        <v>1</v>
      </c>
      <c r="H441" s="49">
        <v>1</v>
      </c>
      <c r="I441" s="49"/>
      <c r="J441" s="49">
        <v>1800</v>
      </c>
      <c r="K441" s="19"/>
      <c r="L441" s="20">
        <f t="shared" si="68"/>
        <v>1</v>
      </c>
      <c r="M441" s="21">
        <f t="shared" si="62"/>
        <v>1</v>
      </c>
      <c r="N441" s="22">
        <f t="shared" si="63"/>
        <v>1</v>
      </c>
      <c r="O441" s="22">
        <f t="shared" si="64"/>
        <v>0</v>
      </c>
      <c r="P441" s="20">
        <f t="shared" si="66"/>
        <v>0</v>
      </c>
      <c r="Q441" s="23">
        <f t="shared" si="69"/>
        <v>1800</v>
      </c>
      <c r="R441" s="20">
        <f t="shared" si="70"/>
        <v>1800</v>
      </c>
      <c r="S441" s="20">
        <f t="shared" si="70"/>
        <v>1800</v>
      </c>
      <c r="T441" s="18">
        <f t="shared" si="67"/>
        <v>1800</v>
      </c>
      <c r="U441" s="24" t="s">
        <v>152</v>
      </c>
      <c r="V441" s="25"/>
    </row>
    <row r="442" spans="1:22" ht="24" customHeight="1">
      <c r="A442" s="26"/>
      <c r="B442" s="15"/>
      <c r="C442" s="16"/>
      <c r="D442" s="16">
        <v>439</v>
      </c>
      <c r="E442" s="43" t="s">
        <v>470</v>
      </c>
      <c r="F442" s="47" t="s">
        <v>24</v>
      </c>
      <c r="G442" s="48">
        <v>1</v>
      </c>
      <c r="H442" s="49">
        <v>1</v>
      </c>
      <c r="I442" s="49"/>
      <c r="J442" s="49">
        <v>2200</v>
      </c>
      <c r="K442" s="19"/>
      <c r="L442" s="20">
        <f t="shared" si="68"/>
        <v>1</v>
      </c>
      <c r="M442" s="21">
        <f t="shared" si="62"/>
        <v>1</v>
      </c>
      <c r="N442" s="22">
        <f t="shared" si="63"/>
        <v>1</v>
      </c>
      <c r="O442" s="22">
        <f t="shared" si="64"/>
        <v>0</v>
      </c>
      <c r="P442" s="20">
        <f t="shared" si="66"/>
        <v>0</v>
      </c>
      <c r="Q442" s="23">
        <f t="shared" si="69"/>
        <v>2200</v>
      </c>
      <c r="R442" s="20">
        <f t="shared" si="70"/>
        <v>2200</v>
      </c>
      <c r="S442" s="20">
        <f t="shared" si="70"/>
        <v>2200</v>
      </c>
      <c r="T442" s="18">
        <f t="shared" si="67"/>
        <v>2200</v>
      </c>
      <c r="U442" s="24" t="s">
        <v>152</v>
      </c>
      <c r="V442" s="25"/>
    </row>
    <row r="443" spans="1:22" ht="24" customHeight="1">
      <c r="A443" s="26"/>
      <c r="B443" s="15"/>
      <c r="C443" s="16"/>
      <c r="D443" s="16">
        <v>440</v>
      </c>
      <c r="E443" s="16" t="s">
        <v>897</v>
      </c>
      <c r="F443" s="17" t="s">
        <v>24</v>
      </c>
      <c r="G443" s="18">
        <v>1</v>
      </c>
      <c r="H443" s="19">
        <v>1</v>
      </c>
      <c r="I443" s="19"/>
      <c r="J443" s="19">
        <v>1800</v>
      </c>
      <c r="K443" s="19"/>
      <c r="L443" s="20">
        <f t="shared" si="68"/>
        <v>1</v>
      </c>
      <c r="M443" s="21">
        <f t="shared" si="62"/>
        <v>1</v>
      </c>
      <c r="N443" s="22">
        <f t="shared" si="63"/>
        <v>1</v>
      </c>
      <c r="O443" s="22">
        <f t="shared" si="64"/>
        <v>0</v>
      </c>
      <c r="P443" s="20">
        <f t="shared" si="66"/>
        <v>0</v>
      </c>
      <c r="Q443" s="23">
        <f t="shared" si="69"/>
        <v>1800</v>
      </c>
      <c r="R443" s="20">
        <f t="shared" si="70"/>
        <v>1800</v>
      </c>
      <c r="S443" s="20">
        <f t="shared" si="70"/>
        <v>1800</v>
      </c>
      <c r="T443" s="18">
        <f t="shared" si="67"/>
        <v>1800</v>
      </c>
      <c r="U443" s="24"/>
      <c r="V443" s="25"/>
    </row>
    <row r="444" spans="1:22" ht="24" customHeight="1">
      <c r="A444" s="26"/>
      <c r="B444" s="15"/>
      <c r="C444" s="16"/>
      <c r="D444" s="16">
        <v>441</v>
      </c>
      <c r="E444" s="16" t="s">
        <v>898</v>
      </c>
      <c r="F444" s="17" t="s">
        <v>24</v>
      </c>
      <c r="G444" s="18">
        <v>1</v>
      </c>
      <c r="H444" s="19">
        <v>1</v>
      </c>
      <c r="I444" s="19"/>
      <c r="J444" s="19">
        <v>1800</v>
      </c>
      <c r="K444" s="19"/>
      <c r="L444" s="20">
        <f t="shared" si="68"/>
        <v>1</v>
      </c>
      <c r="M444" s="21">
        <f t="shared" si="62"/>
        <v>1</v>
      </c>
      <c r="N444" s="22">
        <f t="shared" si="63"/>
        <v>1</v>
      </c>
      <c r="O444" s="22">
        <f t="shared" si="64"/>
        <v>0</v>
      </c>
      <c r="P444" s="20">
        <f t="shared" si="66"/>
        <v>0</v>
      </c>
      <c r="Q444" s="23">
        <f t="shared" si="69"/>
        <v>1800</v>
      </c>
      <c r="R444" s="20">
        <f t="shared" si="70"/>
        <v>1800</v>
      </c>
      <c r="S444" s="20">
        <f t="shared" si="70"/>
        <v>1800</v>
      </c>
      <c r="T444" s="18">
        <f t="shared" si="67"/>
        <v>1800</v>
      </c>
      <c r="U444" s="24"/>
      <c r="V444" s="25"/>
    </row>
    <row r="445" spans="1:22" ht="24" customHeight="1">
      <c r="A445" s="26"/>
      <c r="B445" s="15"/>
      <c r="C445" s="16"/>
      <c r="D445" s="16">
        <v>442</v>
      </c>
      <c r="E445" s="16" t="s">
        <v>471</v>
      </c>
      <c r="F445" s="17" t="s">
        <v>24</v>
      </c>
      <c r="G445" s="18">
        <v>1</v>
      </c>
      <c r="H445" s="19">
        <v>2</v>
      </c>
      <c r="I445" s="19"/>
      <c r="J445" s="19">
        <v>2400</v>
      </c>
      <c r="K445" s="19"/>
      <c r="L445" s="20">
        <f t="shared" si="68"/>
        <v>2</v>
      </c>
      <c r="M445" s="21">
        <f t="shared" si="62"/>
        <v>2</v>
      </c>
      <c r="N445" s="22">
        <f t="shared" si="63"/>
        <v>2</v>
      </c>
      <c r="O445" s="22">
        <f t="shared" si="64"/>
        <v>0</v>
      </c>
      <c r="P445" s="20">
        <f t="shared" si="66"/>
        <v>0</v>
      </c>
      <c r="Q445" s="23">
        <f t="shared" si="69"/>
        <v>2400</v>
      </c>
      <c r="R445" s="20">
        <f t="shared" si="70"/>
        <v>2400</v>
      </c>
      <c r="S445" s="20">
        <f t="shared" si="70"/>
        <v>2400</v>
      </c>
      <c r="T445" s="18">
        <f t="shared" si="67"/>
        <v>4800</v>
      </c>
      <c r="U445" s="24"/>
      <c r="V445" s="25"/>
    </row>
    <row r="446" spans="1:22" ht="24" customHeight="1">
      <c r="A446" s="26"/>
      <c r="B446" s="15"/>
      <c r="C446" s="16"/>
      <c r="D446" s="43">
        <v>443</v>
      </c>
      <c r="E446" s="43" t="s">
        <v>472</v>
      </c>
      <c r="F446" s="47" t="s">
        <v>24</v>
      </c>
      <c r="G446" s="18">
        <v>1</v>
      </c>
      <c r="H446" s="19">
        <v>2</v>
      </c>
      <c r="I446" s="19"/>
      <c r="J446" s="19">
        <v>1800</v>
      </c>
      <c r="K446" s="19"/>
      <c r="L446" s="20">
        <f t="shared" si="68"/>
        <v>2</v>
      </c>
      <c r="M446" s="21">
        <f t="shared" si="62"/>
        <v>2</v>
      </c>
      <c r="N446" s="22">
        <f t="shared" si="63"/>
        <v>2</v>
      </c>
      <c r="O446" s="22">
        <f t="shared" si="64"/>
        <v>0</v>
      </c>
      <c r="P446" s="20">
        <f t="shared" si="66"/>
        <v>0</v>
      </c>
      <c r="Q446" s="23">
        <f t="shared" si="69"/>
        <v>1800</v>
      </c>
      <c r="R446" s="20">
        <f t="shared" si="70"/>
        <v>1800</v>
      </c>
      <c r="S446" s="20">
        <f t="shared" si="70"/>
        <v>1800</v>
      </c>
      <c r="T446" s="18">
        <f t="shared" si="67"/>
        <v>3600</v>
      </c>
      <c r="U446" s="24" t="s">
        <v>152</v>
      </c>
      <c r="V446" s="25"/>
    </row>
    <row r="447" spans="1:22" ht="24" customHeight="1">
      <c r="A447" s="26"/>
      <c r="B447" s="15"/>
      <c r="C447" s="16"/>
      <c r="D447" s="43">
        <v>444</v>
      </c>
      <c r="E447" s="43" t="s">
        <v>899</v>
      </c>
      <c r="F447" s="47" t="s">
        <v>24</v>
      </c>
      <c r="G447" s="18">
        <v>1</v>
      </c>
      <c r="H447" s="19">
        <v>1</v>
      </c>
      <c r="I447" s="19"/>
      <c r="J447" s="19">
        <v>2400</v>
      </c>
      <c r="K447" s="19"/>
      <c r="L447" s="20">
        <f t="shared" si="68"/>
        <v>1</v>
      </c>
      <c r="M447" s="21">
        <f t="shared" si="62"/>
        <v>1</v>
      </c>
      <c r="N447" s="22">
        <f t="shared" si="63"/>
        <v>1</v>
      </c>
      <c r="O447" s="22">
        <f t="shared" si="64"/>
        <v>0</v>
      </c>
      <c r="P447" s="20">
        <f t="shared" si="66"/>
        <v>0</v>
      </c>
      <c r="Q447" s="23">
        <f t="shared" si="69"/>
        <v>2400</v>
      </c>
      <c r="R447" s="20">
        <f t="shared" si="70"/>
        <v>2400</v>
      </c>
      <c r="S447" s="20">
        <f t="shared" si="70"/>
        <v>2400</v>
      </c>
      <c r="T447" s="18">
        <f t="shared" si="67"/>
        <v>2400</v>
      </c>
      <c r="U447" s="24" t="s">
        <v>152</v>
      </c>
      <c r="V447" s="25"/>
    </row>
    <row r="448" spans="1:22" ht="24" customHeight="1">
      <c r="A448" s="26" t="s">
        <v>473</v>
      </c>
      <c r="B448" s="15"/>
      <c r="C448" s="16"/>
      <c r="D448" s="16">
        <v>445</v>
      </c>
      <c r="E448" s="16" t="s">
        <v>28</v>
      </c>
      <c r="F448" s="17" t="s">
        <v>24</v>
      </c>
      <c r="G448" s="18">
        <v>1</v>
      </c>
      <c r="H448" s="19">
        <v>1</v>
      </c>
      <c r="I448" s="19"/>
      <c r="J448" s="19">
        <v>3800</v>
      </c>
      <c r="K448" s="19"/>
      <c r="L448" s="20">
        <f t="shared" si="68"/>
        <v>1</v>
      </c>
      <c r="M448" s="21">
        <f t="shared" si="62"/>
        <v>1</v>
      </c>
      <c r="N448" s="22">
        <f t="shared" si="63"/>
        <v>1</v>
      </c>
      <c r="O448" s="22">
        <f t="shared" si="64"/>
        <v>0</v>
      </c>
      <c r="P448" s="20">
        <f t="shared" si="66"/>
        <v>0</v>
      </c>
      <c r="Q448" s="23">
        <f t="shared" si="69"/>
        <v>3800</v>
      </c>
      <c r="R448" s="20">
        <f t="shared" si="70"/>
        <v>3800</v>
      </c>
      <c r="S448" s="20">
        <f t="shared" si="70"/>
        <v>3800</v>
      </c>
      <c r="T448" s="18">
        <f t="shared" si="67"/>
        <v>3800</v>
      </c>
      <c r="U448" s="24"/>
      <c r="V448" s="25"/>
    </row>
    <row r="449" spans="1:22" ht="24" customHeight="1">
      <c r="A449" s="26"/>
      <c r="B449" s="15"/>
      <c r="C449" s="16"/>
      <c r="D449" s="16">
        <v>446</v>
      </c>
      <c r="E449" s="16" t="s">
        <v>474</v>
      </c>
      <c r="F449" s="17" t="s">
        <v>24</v>
      </c>
      <c r="G449" s="18">
        <v>1</v>
      </c>
      <c r="H449" s="19">
        <v>1</v>
      </c>
      <c r="I449" s="19"/>
      <c r="J449" s="19">
        <v>4600</v>
      </c>
      <c r="K449" s="19"/>
      <c r="L449" s="20">
        <f t="shared" si="68"/>
        <v>1</v>
      </c>
      <c r="M449" s="21">
        <f t="shared" si="62"/>
        <v>1</v>
      </c>
      <c r="N449" s="22">
        <f t="shared" si="63"/>
        <v>1</v>
      </c>
      <c r="O449" s="22">
        <f t="shared" si="64"/>
        <v>0</v>
      </c>
      <c r="P449" s="20">
        <f t="shared" si="66"/>
        <v>0</v>
      </c>
      <c r="Q449" s="23">
        <f t="shared" si="69"/>
        <v>4600</v>
      </c>
      <c r="R449" s="20">
        <f t="shared" si="70"/>
        <v>4600</v>
      </c>
      <c r="S449" s="20">
        <f t="shared" si="70"/>
        <v>4600</v>
      </c>
      <c r="T449" s="18">
        <f t="shared" si="67"/>
        <v>4600</v>
      </c>
      <c r="U449" s="24"/>
      <c r="V449" s="25"/>
    </row>
    <row r="450" spans="1:22" ht="24" customHeight="1">
      <c r="A450" s="26"/>
      <c r="B450" s="15"/>
      <c r="C450" s="16"/>
      <c r="D450" s="16">
        <v>447</v>
      </c>
      <c r="E450" s="16" t="s">
        <v>475</v>
      </c>
      <c r="F450" s="17" t="s">
        <v>24</v>
      </c>
      <c r="G450" s="18">
        <v>1</v>
      </c>
      <c r="H450" s="19">
        <v>5</v>
      </c>
      <c r="I450" s="19"/>
      <c r="J450" s="19">
        <v>4500</v>
      </c>
      <c r="K450" s="19"/>
      <c r="L450" s="20">
        <f t="shared" si="68"/>
        <v>5</v>
      </c>
      <c r="M450" s="21">
        <f t="shared" si="62"/>
        <v>5</v>
      </c>
      <c r="N450" s="22">
        <f t="shared" si="63"/>
        <v>5</v>
      </c>
      <c r="O450" s="22">
        <f t="shared" si="64"/>
        <v>0</v>
      </c>
      <c r="P450" s="20">
        <f t="shared" si="66"/>
        <v>0</v>
      </c>
      <c r="Q450" s="23">
        <f t="shared" si="69"/>
        <v>4500</v>
      </c>
      <c r="R450" s="20">
        <f t="shared" si="70"/>
        <v>4500</v>
      </c>
      <c r="S450" s="20">
        <f t="shared" si="70"/>
        <v>4500</v>
      </c>
      <c r="T450" s="18">
        <f t="shared" si="67"/>
        <v>22500</v>
      </c>
      <c r="U450" s="24"/>
      <c r="V450" s="25"/>
    </row>
    <row r="451" spans="1:22" ht="24" customHeight="1">
      <c r="A451" s="26"/>
      <c r="B451" s="15"/>
      <c r="C451" s="16"/>
      <c r="D451" s="16">
        <v>448</v>
      </c>
      <c r="E451" s="16" t="s">
        <v>476</v>
      </c>
      <c r="F451" s="17" t="s">
        <v>24</v>
      </c>
      <c r="G451" s="18">
        <v>1</v>
      </c>
      <c r="H451" s="19">
        <v>3</v>
      </c>
      <c r="I451" s="19"/>
      <c r="J451" s="19">
        <v>1700</v>
      </c>
      <c r="K451" s="19"/>
      <c r="L451" s="20">
        <f t="shared" si="68"/>
        <v>3</v>
      </c>
      <c r="M451" s="21">
        <f t="shared" ref="M451:M514" si="71">IFERROR(L451/G451,"")</f>
        <v>3</v>
      </c>
      <c r="N451" s="22">
        <f t="shared" ref="N451:N514" si="72">IF(G451=1,L451,IF(G451&gt;1,IFERROR((M451-O451)*G451,""),""))</f>
        <v>3</v>
      </c>
      <c r="O451" s="22">
        <f t="shared" ref="O451:O514" si="73">IFERROR(IF(G451=1,0,IF(G451&gt;1,ROUNDDOWN(M451,0))),"")</f>
        <v>0</v>
      </c>
      <c r="P451" s="20">
        <f t="shared" si="66"/>
        <v>0</v>
      </c>
      <c r="Q451" s="23">
        <f t="shared" si="69"/>
        <v>1700</v>
      </c>
      <c r="R451" s="20">
        <f t="shared" si="70"/>
        <v>1700</v>
      </c>
      <c r="S451" s="20">
        <f t="shared" si="70"/>
        <v>1700</v>
      </c>
      <c r="T451" s="18">
        <f t="shared" si="67"/>
        <v>5100</v>
      </c>
      <c r="U451" s="24"/>
      <c r="V451" s="25"/>
    </row>
    <row r="452" spans="1:22" ht="24" customHeight="1">
      <c r="A452" s="26"/>
      <c r="B452" s="15"/>
      <c r="C452" s="16"/>
      <c r="D452" s="16">
        <v>449</v>
      </c>
      <c r="E452" s="16" t="s">
        <v>477</v>
      </c>
      <c r="F452" s="17" t="s">
        <v>24</v>
      </c>
      <c r="G452" s="18">
        <v>1</v>
      </c>
      <c r="H452" s="19">
        <v>1</v>
      </c>
      <c r="I452" s="19"/>
      <c r="J452" s="19">
        <v>1400</v>
      </c>
      <c r="K452" s="19"/>
      <c r="L452" s="20">
        <f t="shared" si="68"/>
        <v>1</v>
      </c>
      <c r="M452" s="21">
        <f t="shared" si="71"/>
        <v>1</v>
      </c>
      <c r="N452" s="22">
        <f t="shared" si="72"/>
        <v>1</v>
      </c>
      <c r="O452" s="22">
        <f t="shared" si="73"/>
        <v>0</v>
      </c>
      <c r="P452" s="20">
        <f t="shared" ref="P452:P515" si="74">IFERROR(K452/G452,"")</f>
        <v>0</v>
      </c>
      <c r="Q452" s="23">
        <f t="shared" si="69"/>
        <v>1400</v>
      </c>
      <c r="R452" s="20">
        <f t="shared" si="70"/>
        <v>1400</v>
      </c>
      <c r="S452" s="20">
        <f t="shared" si="70"/>
        <v>1400</v>
      </c>
      <c r="T452" s="18">
        <f t="shared" si="67"/>
        <v>1400</v>
      </c>
      <c r="U452" s="24"/>
      <c r="V452" s="25"/>
    </row>
    <row r="453" spans="1:22" ht="24" customHeight="1">
      <c r="A453" s="26"/>
      <c r="B453" s="15"/>
      <c r="C453" s="16"/>
      <c r="D453" s="16">
        <v>450</v>
      </c>
      <c r="E453" s="16" t="s">
        <v>478</v>
      </c>
      <c r="F453" s="17" t="s">
        <v>24</v>
      </c>
      <c r="G453" s="18">
        <v>1</v>
      </c>
      <c r="H453" s="19">
        <v>2</v>
      </c>
      <c r="I453" s="19"/>
      <c r="J453" s="19">
        <v>1200</v>
      </c>
      <c r="K453" s="19"/>
      <c r="L453" s="20">
        <f t="shared" si="68"/>
        <v>2</v>
      </c>
      <c r="M453" s="21">
        <f t="shared" si="71"/>
        <v>2</v>
      </c>
      <c r="N453" s="22">
        <f t="shared" si="72"/>
        <v>2</v>
      </c>
      <c r="O453" s="22">
        <f t="shared" si="73"/>
        <v>0</v>
      </c>
      <c r="P453" s="20">
        <f t="shared" si="74"/>
        <v>0</v>
      </c>
      <c r="Q453" s="23">
        <f t="shared" si="69"/>
        <v>1200</v>
      </c>
      <c r="R453" s="20">
        <f t="shared" si="70"/>
        <v>1200</v>
      </c>
      <c r="S453" s="20">
        <f t="shared" si="70"/>
        <v>1200</v>
      </c>
      <c r="T453" s="18">
        <f t="shared" ref="T453:T516" si="75">IFERROR(S453*I453+R453*H453,"")</f>
        <v>2400</v>
      </c>
      <c r="U453" s="24"/>
      <c r="V453" s="25"/>
    </row>
    <row r="454" spans="1:22" ht="24" customHeight="1">
      <c r="A454" s="26"/>
      <c r="B454" s="15"/>
      <c r="C454" s="16"/>
      <c r="D454" s="16">
        <v>451</v>
      </c>
      <c r="E454" s="16" t="s">
        <v>479</v>
      </c>
      <c r="F454" s="17" t="s">
        <v>24</v>
      </c>
      <c r="G454" s="18">
        <v>1</v>
      </c>
      <c r="H454" s="19">
        <v>3</v>
      </c>
      <c r="I454" s="19"/>
      <c r="J454" s="19">
        <v>1500</v>
      </c>
      <c r="K454" s="19"/>
      <c r="L454" s="20">
        <f t="shared" si="68"/>
        <v>3</v>
      </c>
      <c r="M454" s="21">
        <f t="shared" si="71"/>
        <v>3</v>
      </c>
      <c r="N454" s="22">
        <f t="shared" si="72"/>
        <v>3</v>
      </c>
      <c r="O454" s="22">
        <f t="shared" si="73"/>
        <v>0</v>
      </c>
      <c r="P454" s="20">
        <f t="shared" si="74"/>
        <v>0</v>
      </c>
      <c r="Q454" s="23">
        <f t="shared" si="69"/>
        <v>1500</v>
      </c>
      <c r="R454" s="20">
        <f t="shared" si="70"/>
        <v>1500</v>
      </c>
      <c r="S454" s="20">
        <f t="shared" si="70"/>
        <v>1500</v>
      </c>
      <c r="T454" s="18">
        <f t="shared" si="75"/>
        <v>4500</v>
      </c>
      <c r="U454" s="24"/>
      <c r="V454" s="25"/>
    </row>
    <row r="455" spans="1:22" ht="24" customHeight="1">
      <c r="A455" s="26"/>
      <c r="B455" s="15"/>
      <c r="C455" s="16"/>
      <c r="D455" s="16">
        <v>452</v>
      </c>
      <c r="E455" s="43" t="s">
        <v>480</v>
      </c>
      <c r="F455" s="17" t="s">
        <v>24</v>
      </c>
      <c r="G455" s="18">
        <v>1</v>
      </c>
      <c r="H455" s="19">
        <v>1</v>
      </c>
      <c r="I455" s="19"/>
      <c r="J455" s="19">
        <v>3800</v>
      </c>
      <c r="K455" s="19"/>
      <c r="L455" s="20">
        <f t="shared" si="68"/>
        <v>1</v>
      </c>
      <c r="M455" s="21">
        <f t="shared" si="71"/>
        <v>1</v>
      </c>
      <c r="N455" s="22">
        <f t="shared" si="72"/>
        <v>1</v>
      </c>
      <c r="O455" s="22">
        <f t="shared" si="73"/>
        <v>0</v>
      </c>
      <c r="P455" s="20">
        <f t="shared" si="74"/>
        <v>0</v>
      </c>
      <c r="Q455" s="23">
        <f t="shared" si="69"/>
        <v>3800</v>
      </c>
      <c r="R455" s="20">
        <f t="shared" si="70"/>
        <v>3800</v>
      </c>
      <c r="S455" s="20">
        <f t="shared" si="70"/>
        <v>3800</v>
      </c>
      <c r="T455" s="18">
        <f t="shared" si="75"/>
        <v>3800</v>
      </c>
      <c r="U455" s="24" t="s">
        <v>152</v>
      </c>
      <c r="V455" s="25"/>
    </row>
    <row r="456" spans="1:22" ht="24" customHeight="1">
      <c r="A456" s="26"/>
      <c r="B456" s="15"/>
      <c r="C456" s="16"/>
      <c r="D456" s="16">
        <v>453</v>
      </c>
      <c r="E456" s="43" t="s">
        <v>481</v>
      </c>
      <c r="F456" s="17" t="s">
        <v>24</v>
      </c>
      <c r="G456" s="18">
        <v>1</v>
      </c>
      <c r="H456" s="19">
        <v>1</v>
      </c>
      <c r="I456" s="19"/>
      <c r="J456" s="19">
        <v>3800</v>
      </c>
      <c r="K456" s="19"/>
      <c r="L456" s="20">
        <f t="shared" si="68"/>
        <v>1</v>
      </c>
      <c r="M456" s="21">
        <f t="shared" si="71"/>
        <v>1</v>
      </c>
      <c r="N456" s="22">
        <f t="shared" si="72"/>
        <v>1</v>
      </c>
      <c r="O456" s="22">
        <f t="shared" si="73"/>
        <v>0</v>
      </c>
      <c r="P456" s="20">
        <f t="shared" si="74"/>
        <v>0</v>
      </c>
      <c r="Q456" s="23">
        <f t="shared" si="69"/>
        <v>3800</v>
      </c>
      <c r="R456" s="20">
        <f t="shared" si="70"/>
        <v>3800</v>
      </c>
      <c r="S456" s="20">
        <f t="shared" si="70"/>
        <v>3800</v>
      </c>
      <c r="T456" s="18">
        <f t="shared" si="75"/>
        <v>3800</v>
      </c>
      <c r="U456" s="24" t="s">
        <v>152</v>
      </c>
      <c r="V456" s="25"/>
    </row>
    <row r="457" spans="1:22" ht="24" customHeight="1">
      <c r="A457" s="26"/>
      <c r="B457" s="15"/>
      <c r="C457" s="16"/>
      <c r="D457" s="16">
        <v>454</v>
      </c>
      <c r="E457" s="43" t="s">
        <v>482</v>
      </c>
      <c r="F457" s="17" t="s">
        <v>24</v>
      </c>
      <c r="G457" s="18">
        <v>1</v>
      </c>
      <c r="H457" s="19">
        <v>1</v>
      </c>
      <c r="I457" s="19"/>
      <c r="J457" s="19">
        <v>1400</v>
      </c>
      <c r="K457" s="19"/>
      <c r="L457" s="20">
        <f t="shared" si="68"/>
        <v>1</v>
      </c>
      <c r="M457" s="21">
        <f t="shared" si="71"/>
        <v>1</v>
      </c>
      <c r="N457" s="22">
        <f t="shared" si="72"/>
        <v>1</v>
      </c>
      <c r="O457" s="22">
        <f t="shared" si="73"/>
        <v>0</v>
      </c>
      <c r="P457" s="20">
        <f t="shared" si="74"/>
        <v>0</v>
      </c>
      <c r="Q457" s="23">
        <f t="shared" si="69"/>
        <v>1400</v>
      </c>
      <c r="R457" s="20">
        <f t="shared" si="70"/>
        <v>1400</v>
      </c>
      <c r="S457" s="20">
        <f t="shared" si="70"/>
        <v>1400</v>
      </c>
      <c r="T457" s="18">
        <f t="shared" si="75"/>
        <v>1400</v>
      </c>
      <c r="U457" s="24" t="s">
        <v>152</v>
      </c>
      <c r="V457" s="25"/>
    </row>
    <row r="458" spans="1:22" ht="24" customHeight="1">
      <c r="A458" s="26"/>
      <c r="B458" s="15"/>
      <c r="C458" s="16"/>
      <c r="D458" s="16">
        <v>455</v>
      </c>
      <c r="E458" s="43" t="s">
        <v>483</v>
      </c>
      <c r="F458" s="17" t="s">
        <v>24</v>
      </c>
      <c r="G458" s="18">
        <v>1</v>
      </c>
      <c r="H458" s="19">
        <v>1</v>
      </c>
      <c r="I458" s="19"/>
      <c r="J458" s="19">
        <v>2400</v>
      </c>
      <c r="K458" s="19"/>
      <c r="L458" s="20">
        <f t="shared" si="68"/>
        <v>1</v>
      </c>
      <c r="M458" s="21">
        <f t="shared" si="71"/>
        <v>1</v>
      </c>
      <c r="N458" s="22">
        <f t="shared" si="72"/>
        <v>1</v>
      </c>
      <c r="O458" s="22">
        <f t="shared" si="73"/>
        <v>0</v>
      </c>
      <c r="P458" s="20">
        <f t="shared" si="74"/>
        <v>0</v>
      </c>
      <c r="Q458" s="23">
        <f t="shared" si="69"/>
        <v>2400</v>
      </c>
      <c r="R458" s="20">
        <f t="shared" si="70"/>
        <v>2400</v>
      </c>
      <c r="S458" s="20">
        <f t="shared" si="70"/>
        <v>2400</v>
      </c>
      <c r="T458" s="18">
        <f t="shared" si="75"/>
        <v>2400</v>
      </c>
      <c r="U458" s="24" t="s">
        <v>152</v>
      </c>
      <c r="V458" s="25"/>
    </row>
    <row r="459" spans="1:22" ht="24" customHeight="1">
      <c r="A459" s="26"/>
      <c r="B459" s="15"/>
      <c r="C459" s="16"/>
      <c r="D459" s="16">
        <v>456</v>
      </c>
      <c r="E459" s="16" t="s">
        <v>137</v>
      </c>
      <c r="F459" s="17" t="s">
        <v>24</v>
      </c>
      <c r="G459" s="18">
        <v>1</v>
      </c>
      <c r="H459" s="19">
        <v>1</v>
      </c>
      <c r="I459" s="19"/>
      <c r="J459" s="19">
        <v>2400</v>
      </c>
      <c r="K459" s="19"/>
      <c r="L459" s="20">
        <f t="shared" si="68"/>
        <v>1</v>
      </c>
      <c r="M459" s="21">
        <f t="shared" si="71"/>
        <v>1</v>
      </c>
      <c r="N459" s="22">
        <f t="shared" si="72"/>
        <v>1</v>
      </c>
      <c r="O459" s="22">
        <f t="shared" si="73"/>
        <v>0</v>
      </c>
      <c r="P459" s="20">
        <f t="shared" si="74"/>
        <v>0</v>
      </c>
      <c r="Q459" s="23">
        <f t="shared" si="69"/>
        <v>2400</v>
      </c>
      <c r="R459" s="20">
        <f t="shared" si="70"/>
        <v>2400</v>
      </c>
      <c r="S459" s="20">
        <f t="shared" si="70"/>
        <v>2400</v>
      </c>
      <c r="T459" s="18">
        <f t="shared" si="75"/>
        <v>2400</v>
      </c>
      <c r="U459" s="24" t="s">
        <v>152</v>
      </c>
      <c r="V459" s="25"/>
    </row>
    <row r="460" spans="1:22" ht="24" customHeight="1">
      <c r="A460" s="26"/>
      <c r="B460" s="15"/>
      <c r="C460" s="16"/>
      <c r="D460" s="16">
        <v>457</v>
      </c>
      <c r="E460" s="43" t="s">
        <v>136</v>
      </c>
      <c r="F460" s="17" t="s">
        <v>24</v>
      </c>
      <c r="G460" s="18">
        <v>1</v>
      </c>
      <c r="H460" s="19">
        <v>2</v>
      </c>
      <c r="I460" s="19"/>
      <c r="J460" s="19">
        <v>2400</v>
      </c>
      <c r="K460" s="19"/>
      <c r="L460" s="20">
        <f t="shared" si="68"/>
        <v>2</v>
      </c>
      <c r="M460" s="21">
        <f t="shared" si="71"/>
        <v>2</v>
      </c>
      <c r="N460" s="22">
        <f t="shared" si="72"/>
        <v>2</v>
      </c>
      <c r="O460" s="22">
        <f t="shared" si="73"/>
        <v>0</v>
      </c>
      <c r="P460" s="20">
        <f t="shared" si="74"/>
        <v>0</v>
      </c>
      <c r="Q460" s="23">
        <f t="shared" si="69"/>
        <v>2400</v>
      </c>
      <c r="R460" s="20">
        <f t="shared" si="70"/>
        <v>2400</v>
      </c>
      <c r="S460" s="20">
        <f t="shared" si="70"/>
        <v>2400</v>
      </c>
      <c r="T460" s="18">
        <f t="shared" si="75"/>
        <v>4800</v>
      </c>
      <c r="U460" s="24"/>
      <c r="V460" s="25"/>
    </row>
    <row r="461" spans="1:22" ht="24" customHeight="1">
      <c r="A461" s="26"/>
      <c r="B461" s="15"/>
      <c r="C461" s="16"/>
      <c r="D461" s="16">
        <v>458</v>
      </c>
      <c r="E461" s="16" t="s">
        <v>484</v>
      </c>
      <c r="F461" s="17" t="s">
        <v>24</v>
      </c>
      <c r="G461" s="18">
        <v>1</v>
      </c>
      <c r="H461" s="19">
        <v>1</v>
      </c>
      <c r="I461" s="19"/>
      <c r="J461" s="19">
        <v>2000</v>
      </c>
      <c r="K461" s="19"/>
      <c r="L461" s="20">
        <f t="shared" si="68"/>
        <v>1</v>
      </c>
      <c r="M461" s="21">
        <f t="shared" si="71"/>
        <v>1</v>
      </c>
      <c r="N461" s="22">
        <f t="shared" si="72"/>
        <v>1</v>
      </c>
      <c r="O461" s="22">
        <f t="shared" si="73"/>
        <v>0</v>
      </c>
      <c r="P461" s="20">
        <f t="shared" si="74"/>
        <v>0</v>
      </c>
      <c r="Q461" s="23">
        <f t="shared" si="69"/>
        <v>2000</v>
      </c>
      <c r="R461" s="20">
        <f t="shared" si="70"/>
        <v>2000</v>
      </c>
      <c r="S461" s="20">
        <f t="shared" si="70"/>
        <v>2000</v>
      </c>
      <c r="T461" s="18">
        <f t="shared" si="75"/>
        <v>2000</v>
      </c>
      <c r="U461" s="24" t="s">
        <v>152</v>
      </c>
      <c r="V461" s="25"/>
    </row>
    <row r="462" spans="1:22" ht="24" customHeight="1">
      <c r="A462" s="26"/>
      <c r="B462" s="15"/>
      <c r="C462" s="16"/>
      <c r="D462" s="16">
        <v>459</v>
      </c>
      <c r="E462" s="16" t="s">
        <v>485</v>
      </c>
      <c r="F462" s="17" t="s">
        <v>24</v>
      </c>
      <c r="G462" s="18">
        <v>1</v>
      </c>
      <c r="H462" s="19">
        <v>1</v>
      </c>
      <c r="I462" s="19"/>
      <c r="J462" s="19">
        <v>1500</v>
      </c>
      <c r="K462" s="19"/>
      <c r="L462" s="20">
        <f t="shared" si="68"/>
        <v>1</v>
      </c>
      <c r="M462" s="21">
        <f t="shared" si="71"/>
        <v>1</v>
      </c>
      <c r="N462" s="22">
        <f t="shared" si="72"/>
        <v>1</v>
      </c>
      <c r="O462" s="22">
        <f t="shared" si="73"/>
        <v>0</v>
      </c>
      <c r="P462" s="20">
        <f t="shared" si="74"/>
        <v>0</v>
      </c>
      <c r="Q462" s="23">
        <f t="shared" si="69"/>
        <v>1500</v>
      </c>
      <c r="R462" s="20">
        <f t="shared" si="70"/>
        <v>1500</v>
      </c>
      <c r="S462" s="20">
        <f t="shared" si="70"/>
        <v>1500</v>
      </c>
      <c r="T462" s="18">
        <f t="shared" si="75"/>
        <v>1500</v>
      </c>
      <c r="U462" s="24"/>
      <c r="V462" s="25"/>
    </row>
    <row r="463" spans="1:22" ht="24" customHeight="1">
      <c r="A463" s="26"/>
      <c r="B463" s="15"/>
      <c r="C463" s="16"/>
      <c r="D463" s="16">
        <v>460</v>
      </c>
      <c r="E463" s="43" t="s">
        <v>486</v>
      </c>
      <c r="F463" s="17" t="s">
        <v>24</v>
      </c>
      <c r="G463" s="18">
        <v>1</v>
      </c>
      <c r="H463" s="19">
        <v>1</v>
      </c>
      <c r="I463" s="19"/>
      <c r="J463" s="19">
        <v>1200</v>
      </c>
      <c r="K463" s="19"/>
      <c r="L463" s="20">
        <f t="shared" si="68"/>
        <v>1</v>
      </c>
      <c r="M463" s="21">
        <f t="shared" si="71"/>
        <v>1</v>
      </c>
      <c r="N463" s="22">
        <f t="shared" si="72"/>
        <v>1</v>
      </c>
      <c r="O463" s="22">
        <f t="shared" si="73"/>
        <v>0</v>
      </c>
      <c r="P463" s="20">
        <f t="shared" si="74"/>
        <v>0</v>
      </c>
      <c r="Q463" s="23">
        <f t="shared" si="69"/>
        <v>1200</v>
      </c>
      <c r="R463" s="20">
        <f t="shared" si="70"/>
        <v>1200</v>
      </c>
      <c r="S463" s="20">
        <f t="shared" si="70"/>
        <v>1200</v>
      </c>
      <c r="T463" s="18">
        <f t="shared" si="75"/>
        <v>1200</v>
      </c>
      <c r="U463" s="24" t="s">
        <v>152</v>
      </c>
      <c r="V463" s="25"/>
    </row>
    <row r="464" spans="1:22" ht="24" customHeight="1">
      <c r="A464" s="26"/>
      <c r="B464" s="15"/>
      <c r="C464" s="16"/>
      <c r="D464" s="16">
        <v>461</v>
      </c>
      <c r="E464" s="16" t="s">
        <v>487</v>
      </c>
      <c r="F464" s="17" t="s">
        <v>24</v>
      </c>
      <c r="G464" s="18">
        <v>1</v>
      </c>
      <c r="H464" s="19">
        <v>1</v>
      </c>
      <c r="I464" s="19"/>
      <c r="J464" s="19">
        <v>1800</v>
      </c>
      <c r="K464" s="19"/>
      <c r="L464" s="20">
        <f t="shared" si="68"/>
        <v>1</v>
      </c>
      <c r="M464" s="21">
        <f t="shared" si="71"/>
        <v>1</v>
      </c>
      <c r="N464" s="22">
        <f t="shared" si="72"/>
        <v>1</v>
      </c>
      <c r="O464" s="22">
        <f t="shared" si="73"/>
        <v>0</v>
      </c>
      <c r="P464" s="20">
        <f t="shared" si="74"/>
        <v>0</v>
      </c>
      <c r="Q464" s="23">
        <f t="shared" si="69"/>
        <v>1800</v>
      </c>
      <c r="R464" s="20">
        <f t="shared" si="70"/>
        <v>1800</v>
      </c>
      <c r="S464" s="20">
        <f t="shared" si="70"/>
        <v>1800</v>
      </c>
      <c r="T464" s="18">
        <f t="shared" si="75"/>
        <v>1800</v>
      </c>
      <c r="U464" s="24"/>
      <c r="V464" s="25"/>
    </row>
    <row r="465" spans="1:22" ht="24" customHeight="1">
      <c r="A465" s="26"/>
      <c r="B465" s="15"/>
      <c r="C465" s="16"/>
      <c r="D465" s="16">
        <v>462</v>
      </c>
      <c r="E465" s="16" t="s">
        <v>139</v>
      </c>
      <c r="F465" s="17" t="s">
        <v>24</v>
      </c>
      <c r="G465" s="18">
        <v>1</v>
      </c>
      <c r="H465" s="19">
        <v>1</v>
      </c>
      <c r="I465" s="19"/>
      <c r="J465" s="19">
        <v>1200</v>
      </c>
      <c r="K465" s="19"/>
      <c r="L465" s="20">
        <f t="shared" si="68"/>
        <v>1</v>
      </c>
      <c r="M465" s="21">
        <f t="shared" si="71"/>
        <v>1</v>
      </c>
      <c r="N465" s="22">
        <f t="shared" si="72"/>
        <v>1</v>
      </c>
      <c r="O465" s="22">
        <f t="shared" si="73"/>
        <v>0</v>
      </c>
      <c r="P465" s="20">
        <f t="shared" si="74"/>
        <v>0</v>
      </c>
      <c r="Q465" s="23">
        <f t="shared" si="69"/>
        <v>1200</v>
      </c>
      <c r="R465" s="20">
        <f t="shared" si="70"/>
        <v>1200</v>
      </c>
      <c r="S465" s="20">
        <f t="shared" si="70"/>
        <v>1200</v>
      </c>
      <c r="T465" s="18">
        <f t="shared" si="75"/>
        <v>1200</v>
      </c>
      <c r="U465" s="24"/>
      <c r="V465" s="25"/>
    </row>
    <row r="466" spans="1:22" ht="24" customHeight="1">
      <c r="A466" s="26"/>
      <c r="B466" s="15"/>
      <c r="C466" s="16"/>
      <c r="D466" s="16">
        <v>463</v>
      </c>
      <c r="E466" s="43" t="s">
        <v>900</v>
      </c>
      <c r="F466" s="17" t="s">
        <v>24</v>
      </c>
      <c r="G466" s="18">
        <v>1</v>
      </c>
      <c r="H466" s="19">
        <v>3</v>
      </c>
      <c r="I466" s="19"/>
      <c r="J466" s="19">
        <v>1800</v>
      </c>
      <c r="K466" s="19"/>
      <c r="L466" s="20">
        <f t="shared" si="68"/>
        <v>3</v>
      </c>
      <c r="M466" s="21">
        <f t="shared" si="71"/>
        <v>3</v>
      </c>
      <c r="N466" s="22">
        <f t="shared" si="72"/>
        <v>3</v>
      </c>
      <c r="O466" s="22">
        <f t="shared" si="73"/>
        <v>0</v>
      </c>
      <c r="P466" s="20">
        <f t="shared" si="74"/>
        <v>0</v>
      </c>
      <c r="Q466" s="23">
        <f t="shared" si="69"/>
        <v>1800</v>
      </c>
      <c r="R466" s="20">
        <f t="shared" si="70"/>
        <v>1800</v>
      </c>
      <c r="S466" s="20">
        <f t="shared" si="70"/>
        <v>1800</v>
      </c>
      <c r="T466" s="18">
        <f t="shared" si="75"/>
        <v>5400</v>
      </c>
      <c r="U466" s="24" t="s">
        <v>152</v>
      </c>
      <c r="V466" s="25"/>
    </row>
    <row r="467" spans="1:22" ht="24" customHeight="1">
      <c r="A467" s="26"/>
      <c r="B467" s="15"/>
      <c r="C467" s="16"/>
      <c r="D467" s="16">
        <v>464</v>
      </c>
      <c r="E467" s="16" t="s">
        <v>488</v>
      </c>
      <c r="F467" s="17" t="s">
        <v>24</v>
      </c>
      <c r="G467" s="18">
        <v>1</v>
      </c>
      <c r="H467" s="19">
        <v>1</v>
      </c>
      <c r="I467" s="19"/>
      <c r="J467" s="19">
        <v>2200</v>
      </c>
      <c r="K467" s="19"/>
      <c r="L467" s="20">
        <f t="shared" si="68"/>
        <v>1</v>
      </c>
      <c r="M467" s="21">
        <f t="shared" si="71"/>
        <v>1</v>
      </c>
      <c r="N467" s="22">
        <f t="shared" si="72"/>
        <v>1</v>
      </c>
      <c r="O467" s="22">
        <f t="shared" si="73"/>
        <v>0</v>
      </c>
      <c r="P467" s="20">
        <f t="shared" si="74"/>
        <v>0</v>
      </c>
      <c r="Q467" s="23">
        <f t="shared" si="69"/>
        <v>2200</v>
      </c>
      <c r="R467" s="20">
        <f t="shared" si="70"/>
        <v>2200</v>
      </c>
      <c r="S467" s="20">
        <f t="shared" si="70"/>
        <v>2200</v>
      </c>
      <c r="T467" s="18">
        <f t="shared" si="75"/>
        <v>2200</v>
      </c>
      <c r="U467" s="24"/>
      <c r="V467" s="25"/>
    </row>
    <row r="468" spans="1:22" ht="24" customHeight="1">
      <c r="A468" s="26"/>
      <c r="B468" s="15"/>
      <c r="C468" s="16"/>
      <c r="D468" s="16">
        <v>465</v>
      </c>
      <c r="E468" s="16" t="s">
        <v>489</v>
      </c>
      <c r="F468" s="17" t="s">
        <v>24</v>
      </c>
      <c r="G468" s="18">
        <v>1</v>
      </c>
      <c r="H468" s="19">
        <v>1</v>
      </c>
      <c r="I468" s="19"/>
      <c r="J468" s="19">
        <v>2500</v>
      </c>
      <c r="K468" s="19"/>
      <c r="L468" s="20">
        <f t="shared" si="68"/>
        <v>1</v>
      </c>
      <c r="M468" s="21">
        <f t="shared" si="71"/>
        <v>1</v>
      </c>
      <c r="N468" s="22">
        <f t="shared" si="72"/>
        <v>1</v>
      </c>
      <c r="O468" s="22">
        <f t="shared" si="73"/>
        <v>0</v>
      </c>
      <c r="P468" s="20">
        <f t="shared" si="74"/>
        <v>0</v>
      </c>
      <c r="Q468" s="23">
        <f t="shared" si="69"/>
        <v>2500</v>
      </c>
      <c r="R468" s="20">
        <f t="shared" si="70"/>
        <v>2500</v>
      </c>
      <c r="S468" s="20">
        <f t="shared" si="70"/>
        <v>2500</v>
      </c>
      <c r="T468" s="18">
        <f t="shared" si="75"/>
        <v>2500</v>
      </c>
      <c r="U468" s="24"/>
      <c r="V468" s="25"/>
    </row>
    <row r="469" spans="1:22" ht="24" customHeight="1">
      <c r="A469" s="26"/>
      <c r="B469" s="15"/>
      <c r="C469" s="16"/>
      <c r="D469" s="16">
        <v>466</v>
      </c>
      <c r="E469" s="16" t="s">
        <v>901</v>
      </c>
      <c r="F469" s="17" t="s">
        <v>24</v>
      </c>
      <c r="G469" s="18">
        <v>1</v>
      </c>
      <c r="H469" s="19">
        <v>1</v>
      </c>
      <c r="I469" s="19"/>
      <c r="J469" s="19">
        <v>1800</v>
      </c>
      <c r="K469" s="19"/>
      <c r="L469" s="20">
        <f t="shared" si="68"/>
        <v>1</v>
      </c>
      <c r="M469" s="21">
        <f t="shared" si="71"/>
        <v>1</v>
      </c>
      <c r="N469" s="22">
        <f t="shared" si="72"/>
        <v>1</v>
      </c>
      <c r="O469" s="22">
        <f t="shared" si="73"/>
        <v>0</v>
      </c>
      <c r="P469" s="20">
        <f t="shared" si="74"/>
        <v>0</v>
      </c>
      <c r="Q469" s="23">
        <f t="shared" si="69"/>
        <v>1800</v>
      </c>
      <c r="R469" s="20">
        <f t="shared" si="70"/>
        <v>1800</v>
      </c>
      <c r="S469" s="20">
        <f t="shared" si="70"/>
        <v>1800</v>
      </c>
      <c r="T469" s="18">
        <f t="shared" si="75"/>
        <v>1800</v>
      </c>
      <c r="U469" s="24"/>
      <c r="V469" s="25"/>
    </row>
    <row r="470" spans="1:22" ht="24" customHeight="1">
      <c r="A470" s="26"/>
      <c r="B470" s="15"/>
      <c r="C470" s="16"/>
      <c r="D470" s="16">
        <v>467</v>
      </c>
      <c r="E470" s="16" t="s">
        <v>490</v>
      </c>
      <c r="F470" s="17" t="s">
        <v>24</v>
      </c>
      <c r="G470" s="18">
        <v>1</v>
      </c>
      <c r="H470" s="19">
        <v>1</v>
      </c>
      <c r="I470" s="19"/>
      <c r="J470" s="19">
        <v>2800</v>
      </c>
      <c r="K470" s="19"/>
      <c r="L470" s="20">
        <f t="shared" si="68"/>
        <v>1</v>
      </c>
      <c r="M470" s="21">
        <f t="shared" si="71"/>
        <v>1</v>
      </c>
      <c r="N470" s="22">
        <f t="shared" si="72"/>
        <v>1</v>
      </c>
      <c r="O470" s="22">
        <f t="shared" si="73"/>
        <v>0</v>
      </c>
      <c r="P470" s="20">
        <f t="shared" si="74"/>
        <v>0</v>
      </c>
      <c r="Q470" s="23">
        <f t="shared" si="69"/>
        <v>2800</v>
      </c>
      <c r="R470" s="20">
        <f t="shared" si="70"/>
        <v>2800</v>
      </c>
      <c r="S470" s="20">
        <f t="shared" si="70"/>
        <v>2800</v>
      </c>
      <c r="T470" s="18">
        <f t="shared" si="75"/>
        <v>2800</v>
      </c>
      <c r="U470" s="24"/>
      <c r="V470" s="25"/>
    </row>
    <row r="471" spans="1:22" ht="24" customHeight="1">
      <c r="A471" s="26"/>
      <c r="B471" s="15"/>
      <c r="C471" s="16"/>
      <c r="D471" s="16">
        <v>468</v>
      </c>
      <c r="E471" s="45" t="s">
        <v>45</v>
      </c>
      <c r="F471" s="17" t="s">
        <v>24</v>
      </c>
      <c r="G471" s="18">
        <v>1</v>
      </c>
      <c r="H471" s="19">
        <v>1</v>
      </c>
      <c r="I471" s="19"/>
      <c r="J471" s="19">
        <v>2000</v>
      </c>
      <c r="K471" s="19"/>
      <c r="L471" s="20">
        <f t="shared" si="68"/>
        <v>1</v>
      </c>
      <c r="M471" s="21">
        <f t="shared" si="71"/>
        <v>1</v>
      </c>
      <c r="N471" s="22">
        <f t="shared" si="72"/>
        <v>1</v>
      </c>
      <c r="O471" s="22">
        <f t="shared" si="73"/>
        <v>0</v>
      </c>
      <c r="P471" s="20">
        <f t="shared" si="74"/>
        <v>0</v>
      </c>
      <c r="Q471" s="23">
        <f t="shared" si="69"/>
        <v>2000</v>
      </c>
      <c r="R471" s="20">
        <f t="shared" si="70"/>
        <v>2000</v>
      </c>
      <c r="S471" s="20">
        <f t="shared" si="70"/>
        <v>2000</v>
      </c>
      <c r="T471" s="18">
        <f t="shared" si="75"/>
        <v>2000</v>
      </c>
      <c r="U471" s="24"/>
      <c r="V471" s="25"/>
    </row>
    <row r="472" spans="1:22" ht="24" customHeight="1">
      <c r="A472" s="26"/>
      <c r="B472" s="15"/>
      <c r="C472" s="16"/>
      <c r="D472" s="16">
        <v>469</v>
      </c>
      <c r="E472" s="44" t="s">
        <v>908</v>
      </c>
      <c r="F472" s="17" t="s">
        <v>24</v>
      </c>
      <c r="G472" s="18">
        <v>1</v>
      </c>
      <c r="H472" s="19">
        <v>2</v>
      </c>
      <c r="I472" s="19"/>
      <c r="J472" s="19">
        <v>1500</v>
      </c>
      <c r="K472" s="19"/>
      <c r="L472" s="20">
        <f t="shared" si="68"/>
        <v>2</v>
      </c>
      <c r="M472" s="21">
        <f t="shared" si="71"/>
        <v>2</v>
      </c>
      <c r="N472" s="22">
        <f t="shared" si="72"/>
        <v>2</v>
      </c>
      <c r="O472" s="22">
        <f t="shared" si="73"/>
        <v>0</v>
      </c>
      <c r="P472" s="20">
        <f t="shared" si="74"/>
        <v>0</v>
      </c>
      <c r="Q472" s="23">
        <f t="shared" si="69"/>
        <v>1500</v>
      </c>
      <c r="R472" s="20">
        <f t="shared" si="70"/>
        <v>1500</v>
      </c>
      <c r="S472" s="20">
        <f t="shared" si="70"/>
        <v>1500</v>
      </c>
      <c r="T472" s="18">
        <f t="shared" si="75"/>
        <v>3000</v>
      </c>
      <c r="U472" s="24"/>
      <c r="V472" s="25"/>
    </row>
    <row r="473" spans="1:22" ht="24" customHeight="1">
      <c r="A473" s="26"/>
      <c r="B473" s="15"/>
      <c r="C473" s="16"/>
      <c r="D473" s="16">
        <v>470</v>
      </c>
      <c r="E473" s="16" t="s">
        <v>909</v>
      </c>
      <c r="F473" s="17" t="s">
        <v>24</v>
      </c>
      <c r="G473" s="18">
        <v>1</v>
      </c>
      <c r="H473" s="19">
        <v>1</v>
      </c>
      <c r="I473" s="19"/>
      <c r="J473" s="19">
        <v>1800</v>
      </c>
      <c r="K473" s="19"/>
      <c r="L473" s="20">
        <f t="shared" si="68"/>
        <v>1</v>
      </c>
      <c r="M473" s="21">
        <f t="shared" si="71"/>
        <v>1</v>
      </c>
      <c r="N473" s="22">
        <f t="shared" si="72"/>
        <v>1</v>
      </c>
      <c r="O473" s="22">
        <f t="shared" si="73"/>
        <v>0</v>
      </c>
      <c r="P473" s="20">
        <f t="shared" si="74"/>
        <v>0</v>
      </c>
      <c r="Q473" s="23">
        <f t="shared" si="69"/>
        <v>1800</v>
      </c>
      <c r="R473" s="20">
        <f t="shared" si="70"/>
        <v>1800</v>
      </c>
      <c r="S473" s="20">
        <f t="shared" si="70"/>
        <v>1800</v>
      </c>
      <c r="T473" s="18">
        <f t="shared" si="75"/>
        <v>1800</v>
      </c>
      <c r="U473" s="24"/>
      <c r="V473" s="25"/>
    </row>
    <row r="474" spans="1:22" ht="24" customHeight="1">
      <c r="A474" s="26"/>
      <c r="B474" s="15"/>
      <c r="C474" s="16"/>
      <c r="D474" s="16">
        <v>471</v>
      </c>
      <c r="E474" s="16" t="s">
        <v>902</v>
      </c>
      <c r="F474" s="17" t="s">
        <v>24</v>
      </c>
      <c r="G474" s="18">
        <v>1</v>
      </c>
      <c r="H474" s="19">
        <v>1</v>
      </c>
      <c r="I474" s="19"/>
      <c r="J474" s="19">
        <v>1800</v>
      </c>
      <c r="K474" s="19"/>
      <c r="L474" s="20">
        <f t="shared" si="68"/>
        <v>1</v>
      </c>
      <c r="M474" s="21">
        <f t="shared" si="71"/>
        <v>1</v>
      </c>
      <c r="N474" s="22">
        <f t="shared" si="72"/>
        <v>1</v>
      </c>
      <c r="O474" s="22">
        <f t="shared" si="73"/>
        <v>0</v>
      </c>
      <c r="P474" s="20">
        <f t="shared" si="74"/>
        <v>0</v>
      </c>
      <c r="Q474" s="23">
        <f t="shared" si="69"/>
        <v>1800</v>
      </c>
      <c r="R474" s="20">
        <f t="shared" si="70"/>
        <v>1800</v>
      </c>
      <c r="S474" s="20">
        <f t="shared" si="70"/>
        <v>1800</v>
      </c>
      <c r="T474" s="18">
        <f t="shared" si="75"/>
        <v>1800</v>
      </c>
      <c r="U474" s="24"/>
      <c r="V474" s="25"/>
    </row>
    <row r="475" spans="1:22" ht="24" customHeight="1">
      <c r="A475" s="26"/>
      <c r="B475" s="15"/>
      <c r="C475" s="16"/>
      <c r="D475" s="16">
        <v>472</v>
      </c>
      <c r="E475" s="16" t="s">
        <v>907</v>
      </c>
      <c r="F475" s="17" t="s">
        <v>24</v>
      </c>
      <c r="G475" s="18">
        <v>1</v>
      </c>
      <c r="H475" s="19">
        <v>1</v>
      </c>
      <c r="I475" s="19"/>
      <c r="J475" s="19">
        <v>2000</v>
      </c>
      <c r="K475" s="19"/>
      <c r="L475" s="20">
        <f t="shared" si="68"/>
        <v>1</v>
      </c>
      <c r="M475" s="21">
        <f t="shared" si="71"/>
        <v>1</v>
      </c>
      <c r="N475" s="22">
        <f t="shared" si="72"/>
        <v>1</v>
      </c>
      <c r="O475" s="22">
        <f t="shared" si="73"/>
        <v>0</v>
      </c>
      <c r="P475" s="20">
        <f t="shared" si="74"/>
        <v>0</v>
      </c>
      <c r="Q475" s="23">
        <f t="shared" si="69"/>
        <v>2000</v>
      </c>
      <c r="R475" s="20">
        <f t="shared" si="70"/>
        <v>2000</v>
      </c>
      <c r="S475" s="20">
        <f t="shared" si="70"/>
        <v>2000</v>
      </c>
      <c r="T475" s="18">
        <f t="shared" si="75"/>
        <v>2000</v>
      </c>
      <c r="U475" s="24"/>
      <c r="V475" s="25"/>
    </row>
    <row r="476" spans="1:22" ht="24" customHeight="1">
      <c r="A476" s="26"/>
      <c r="B476" s="15"/>
      <c r="C476" s="16"/>
      <c r="D476" s="16">
        <v>473</v>
      </c>
      <c r="E476" s="16" t="s">
        <v>906</v>
      </c>
      <c r="F476" s="17" t="s">
        <v>24</v>
      </c>
      <c r="G476" s="18">
        <v>1</v>
      </c>
      <c r="H476" s="19">
        <v>1</v>
      </c>
      <c r="I476" s="19"/>
      <c r="J476" s="19">
        <v>2400</v>
      </c>
      <c r="K476" s="19"/>
      <c r="L476" s="20">
        <f t="shared" si="68"/>
        <v>1</v>
      </c>
      <c r="M476" s="21">
        <f t="shared" si="71"/>
        <v>1</v>
      </c>
      <c r="N476" s="22">
        <f t="shared" si="72"/>
        <v>1</v>
      </c>
      <c r="O476" s="22">
        <f t="shared" si="73"/>
        <v>0</v>
      </c>
      <c r="P476" s="20">
        <f t="shared" si="74"/>
        <v>0</v>
      </c>
      <c r="Q476" s="23">
        <f t="shared" si="69"/>
        <v>2400</v>
      </c>
      <c r="R476" s="20">
        <f t="shared" si="70"/>
        <v>2400</v>
      </c>
      <c r="S476" s="20">
        <f t="shared" si="70"/>
        <v>2400</v>
      </c>
      <c r="T476" s="18">
        <f t="shared" si="75"/>
        <v>2400</v>
      </c>
      <c r="U476" s="24"/>
      <c r="V476" s="25"/>
    </row>
    <row r="477" spans="1:22" ht="24" customHeight="1">
      <c r="A477" s="26"/>
      <c r="B477" s="15"/>
      <c r="C477" s="16"/>
      <c r="D477" s="16">
        <v>474</v>
      </c>
      <c r="E477" s="16" t="s">
        <v>903</v>
      </c>
      <c r="F477" s="17" t="s">
        <v>24</v>
      </c>
      <c r="G477" s="18">
        <v>1</v>
      </c>
      <c r="H477" s="19">
        <v>1</v>
      </c>
      <c r="I477" s="19"/>
      <c r="J477" s="19">
        <v>2600</v>
      </c>
      <c r="K477" s="19"/>
      <c r="L477" s="20">
        <f t="shared" ref="L477:L510" si="76">I477*G477+H477</f>
        <v>1</v>
      </c>
      <c r="M477" s="21">
        <f t="shared" si="71"/>
        <v>1</v>
      </c>
      <c r="N477" s="22">
        <f t="shared" si="72"/>
        <v>1</v>
      </c>
      <c r="O477" s="22">
        <f t="shared" si="73"/>
        <v>0</v>
      </c>
      <c r="P477" s="20">
        <f t="shared" si="74"/>
        <v>0</v>
      </c>
      <c r="Q477" s="23">
        <f t="shared" ref="Q477:Q540" si="77">IFERROR(J477*G477,"")</f>
        <v>2600</v>
      </c>
      <c r="R477" s="20">
        <f t="shared" si="70"/>
        <v>2600</v>
      </c>
      <c r="S477" s="20">
        <f t="shared" si="70"/>
        <v>2600</v>
      </c>
      <c r="T477" s="18">
        <f t="shared" si="75"/>
        <v>2600</v>
      </c>
      <c r="U477" s="24"/>
      <c r="V477" s="25"/>
    </row>
    <row r="478" spans="1:22" ht="24" customHeight="1">
      <c r="A478" s="26"/>
      <c r="B478" s="15"/>
      <c r="C478" s="16"/>
      <c r="D478" s="16">
        <v>475</v>
      </c>
      <c r="E478" s="16" t="s">
        <v>905</v>
      </c>
      <c r="F478" s="17" t="s">
        <v>24</v>
      </c>
      <c r="G478" s="18">
        <v>1</v>
      </c>
      <c r="H478" s="19">
        <v>1</v>
      </c>
      <c r="I478" s="19"/>
      <c r="J478" s="19">
        <v>2400</v>
      </c>
      <c r="K478" s="19"/>
      <c r="L478" s="20">
        <f t="shared" si="76"/>
        <v>1</v>
      </c>
      <c r="M478" s="21">
        <f t="shared" si="71"/>
        <v>1</v>
      </c>
      <c r="N478" s="22">
        <f t="shared" si="72"/>
        <v>1</v>
      </c>
      <c r="O478" s="22">
        <f t="shared" si="73"/>
        <v>0</v>
      </c>
      <c r="P478" s="20">
        <f t="shared" si="74"/>
        <v>0</v>
      </c>
      <c r="Q478" s="23">
        <f t="shared" si="77"/>
        <v>2400</v>
      </c>
      <c r="R478" s="20">
        <f t="shared" si="70"/>
        <v>2400</v>
      </c>
      <c r="S478" s="20">
        <f t="shared" si="70"/>
        <v>2400</v>
      </c>
      <c r="T478" s="18">
        <f t="shared" si="75"/>
        <v>2400</v>
      </c>
      <c r="U478" s="24"/>
      <c r="V478" s="25"/>
    </row>
    <row r="479" spans="1:22" ht="24" customHeight="1">
      <c r="A479" s="26"/>
      <c r="B479" s="15"/>
      <c r="C479" s="16"/>
      <c r="D479" s="16">
        <v>476</v>
      </c>
      <c r="E479" s="16" t="s">
        <v>904</v>
      </c>
      <c r="F479" s="17" t="s">
        <v>24</v>
      </c>
      <c r="G479" s="18">
        <v>1</v>
      </c>
      <c r="H479" s="19">
        <v>1</v>
      </c>
      <c r="I479" s="19"/>
      <c r="J479" s="19">
        <v>3200</v>
      </c>
      <c r="K479" s="19"/>
      <c r="L479" s="20">
        <f t="shared" si="76"/>
        <v>1</v>
      </c>
      <c r="M479" s="21">
        <f t="shared" si="71"/>
        <v>1</v>
      </c>
      <c r="N479" s="22">
        <f t="shared" si="72"/>
        <v>1</v>
      </c>
      <c r="O479" s="22">
        <f t="shared" si="73"/>
        <v>0</v>
      </c>
      <c r="P479" s="20">
        <f t="shared" si="74"/>
        <v>0</v>
      </c>
      <c r="Q479" s="23">
        <f t="shared" si="77"/>
        <v>3200</v>
      </c>
      <c r="R479" s="20">
        <f t="shared" si="70"/>
        <v>3200</v>
      </c>
      <c r="S479" s="20">
        <f t="shared" si="70"/>
        <v>3200</v>
      </c>
      <c r="T479" s="18">
        <f t="shared" si="75"/>
        <v>3200</v>
      </c>
      <c r="U479" s="24"/>
      <c r="V479" s="25"/>
    </row>
    <row r="480" spans="1:22" ht="24" customHeight="1">
      <c r="A480" s="26"/>
      <c r="B480" s="15"/>
      <c r="C480" s="16"/>
      <c r="D480" s="16">
        <v>477</v>
      </c>
      <c r="E480" s="16" t="s">
        <v>910</v>
      </c>
      <c r="F480" s="17" t="s">
        <v>24</v>
      </c>
      <c r="G480" s="18">
        <v>1</v>
      </c>
      <c r="H480" s="19">
        <v>1</v>
      </c>
      <c r="I480" s="19"/>
      <c r="J480" s="19">
        <v>2000</v>
      </c>
      <c r="K480" s="19"/>
      <c r="L480" s="20">
        <f t="shared" si="76"/>
        <v>1</v>
      </c>
      <c r="M480" s="21">
        <f t="shared" si="71"/>
        <v>1</v>
      </c>
      <c r="N480" s="22">
        <f t="shared" si="72"/>
        <v>1</v>
      </c>
      <c r="O480" s="22">
        <f t="shared" si="73"/>
        <v>0</v>
      </c>
      <c r="P480" s="20">
        <f t="shared" si="74"/>
        <v>0</v>
      </c>
      <c r="Q480" s="23">
        <f t="shared" si="77"/>
        <v>2000</v>
      </c>
      <c r="R480" s="20">
        <f t="shared" si="70"/>
        <v>2000</v>
      </c>
      <c r="S480" s="20">
        <f t="shared" si="70"/>
        <v>2000</v>
      </c>
      <c r="T480" s="18">
        <f t="shared" si="75"/>
        <v>2000</v>
      </c>
      <c r="U480" s="24"/>
      <c r="V480" s="25"/>
    </row>
    <row r="481" spans="1:22" ht="24" customHeight="1">
      <c r="A481" s="26"/>
      <c r="B481" s="15"/>
      <c r="C481" s="16"/>
      <c r="D481" s="16">
        <v>478</v>
      </c>
      <c r="E481" s="16" t="s">
        <v>916</v>
      </c>
      <c r="F481" s="17" t="s">
        <v>24</v>
      </c>
      <c r="G481" s="18">
        <v>1</v>
      </c>
      <c r="H481" s="19">
        <v>1</v>
      </c>
      <c r="I481" s="19"/>
      <c r="J481" s="19">
        <v>800</v>
      </c>
      <c r="K481" s="19"/>
      <c r="L481" s="20">
        <f t="shared" si="76"/>
        <v>1</v>
      </c>
      <c r="M481" s="21">
        <f t="shared" si="71"/>
        <v>1</v>
      </c>
      <c r="N481" s="22">
        <f t="shared" si="72"/>
        <v>1</v>
      </c>
      <c r="O481" s="22">
        <f t="shared" si="73"/>
        <v>0</v>
      </c>
      <c r="P481" s="20">
        <f t="shared" si="74"/>
        <v>0</v>
      </c>
      <c r="Q481" s="23">
        <f t="shared" si="77"/>
        <v>800</v>
      </c>
      <c r="R481" s="20">
        <f t="shared" si="70"/>
        <v>800</v>
      </c>
      <c r="S481" s="20">
        <f t="shared" si="70"/>
        <v>800</v>
      </c>
      <c r="T481" s="18">
        <f t="shared" si="75"/>
        <v>800</v>
      </c>
      <c r="U481" s="24"/>
      <c r="V481" s="25"/>
    </row>
    <row r="482" spans="1:22" ht="24" customHeight="1">
      <c r="A482" s="26"/>
      <c r="B482" s="15"/>
      <c r="C482" s="16"/>
      <c r="D482" s="16">
        <v>479</v>
      </c>
      <c r="E482" s="16" t="s">
        <v>911</v>
      </c>
      <c r="F482" s="17" t="s">
        <v>24</v>
      </c>
      <c r="G482" s="18">
        <v>1</v>
      </c>
      <c r="H482" s="19">
        <v>1</v>
      </c>
      <c r="I482" s="19"/>
      <c r="J482" s="19">
        <v>2000</v>
      </c>
      <c r="K482" s="19"/>
      <c r="L482" s="20">
        <f t="shared" si="76"/>
        <v>1</v>
      </c>
      <c r="M482" s="21">
        <f t="shared" si="71"/>
        <v>1</v>
      </c>
      <c r="N482" s="22">
        <f t="shared" si="72"/>
        <v>1</v>
      </c>
      <c r="O482" s="22">
        <f t="shared" si="73"/>
        <v>0</v>
      </c>
      <c r="P482" s="20">
        <f t="shared" si="74"/>
        <v>0</v>
      </c>
      <c r="Q482" s="23">
        <f t="shared" si="77"/>
        <v>2000</v>
      </c>
      <c r="R482" s="20">
        <f t="shared" si="70"/>
        <v>2000</v>
      </c>
      <c r="S482" s="20">
        <f t="shared" si="70"/>
        <v>2000</v>
      </c>
      <c r="T482" s="18">
        <f t="shared" si="75"/>
        <v>2000</v>
      </c>
      <c r="U482" s="24"/>
      <c r="V482" s="25"/>
    </row>
    <row r="483" spans="1:22" ht="24" customHeight="1">
      <c r="A483" s="26"/>
      <c r="B483" s="15"/>
      <c r="C483" s="16"/>
      <c r="D483" s="16">
        <v>480</v>
      </c>
      <c r="E483" s="16" t="s">
        <v>917</v>
      </c>
      <c r="F483" s="17" t="s">
        <v>24</v>
      </c>
      <c r="G483" s="18">
        <v>1</v>
      </c>
      <c r="H483" s="19">
        <v>1</v>
      </c>
      <c r="I483" s="19"/>
      <c r="J483" s="19">
        <v>2200</v>
      </c>
      <c r="K483" s="19"/>
      <c r="L483" s="20">
        <f t="shared" si="76"/>
        <v>1</v>
      </c>
      <c r="M483" s="21">
        <f t="shared" si="71"/>
        <v>1</v>
      </c>
      <c r="N483" s="22">
        <f t="shared" si="72"/>
        <v>1</v>
      </c>
      <c r="O483" s="22">
        <f t="shared" si="73"/>
        <v>0</v>
      </c>
      <c r="P483" s="20">
        <f t="shared" si="74"/>
        <v>0</v>
      </c>
      <c r="Q483" s="23">
        <f t="shared" si="77"/>
        <v>2200</v>
      </c>
      <c r="R483" s="20">
        <f t="shared" si="70"/>
        <v>2200</v>
      </c>
      <c r="S483" s="20">
        <f t="shared" si="70"/>
        <v>2200</v>
      </c>
      <c r="T483" s="18">
        <f t="shared" si="75"/>
        <v>2200</v>
      </c>
      <c r="U483" s="24"/>
      <c r="V483" s="25"/>
    </row>
    <row r="484" spans="1:22" ht="24" customHeight="1">
      <c r="A484" s="26"/>
      <c r="B484" s="15"/>
      <c r="C484" s="16"/>
      <c r="D484" s="16">
        <v>481</v>
      </c>
      <c r="E484" s="16" t="s">
        <v>912</v>
      </c>
      <c r="F484" s="17" t="s">
        <v>24</v>
      </c>
      <c r="G484" s="18">
        <v>1</v>
      </c>
      <c r="H484" s="19">
        <v>1</v>
      </c>
      <c r="I484" s="19"/>
      <c r="J484" s="19">
        <v>1500</v>
      </c>
      <c r="K484" s="19"/>
      <c r="L484" s="20">
        <f t="shared" si="76"/>
        <v>1</v>
      </c>
      <c r="M484" s="21">
        <f t="shared" si="71"/>
        <v>1</v>
      </c>
      <c r="N484" s="22">
        <f t="shared" si="72"/>
        <v>1</v>
      </c>
      <c r="O484" s="22">
        <f t="shared" si="73"/>
        <v>0</v>
      </c>
      <c r="P484" s="20">
        <f t="shared" si="74"/>
        <v>0</v>
      </c>
      <c r="Q484" s="23">
        <f t="shared" si="77"/>
        <v>1500</v>
      </c>
      <c r="R484" s="20">
        <f t="shared" si="70"/>
        <v>1500</v>
      </c>
      <c r="S484" s="20">
        <f t="shared" si="70"/>
        <v>1500</v>
      </c>
      <c r="T484" s="18">
        <f t="shared" si="75"/>
        <v>1500</v>
      </c>
      <c r="U484" s="24"/>
      <c r="V484" s="25"/>
    </row>
    <row r="485" spans="1:22" ht="24" customHeight="1">
      <c r="A485" s="26"/>
      <c r="B485" s="15"/>
      <c r="C485" s="16"/>
      <c r="D485" s="16">
        <v>482</v>
      </c>
      <c r="E485" s="16" t="s">
        <v>913</v>
      </c>
      <c r="F485" s="17" t="s">
        <v>24</v>
      </c>
      <c r="G485" s="18">
        <v>1</v>
      </c>
      <c r="H485" s="19">
        <v>1</v>
      </c>
      <c r="I485" s="19"/>
      <c r="J485" s="19">
        <v>1200</v>
      </c>
      <c r="K485" s="19"/>
      <c r="L485" s="20">
        <f t="shared" si="76"/>
        <v>1</v>
      </c>
      <c r="M485" s="21">
        <f t="shared" si="71"/>
        <v>1</v>
      </c>
      <c r="N485" s="22">
        <f t="shared" si="72"/>
        <v>1</v>
      </c>
      <c r="O485" s="22">
        <f t="shared" si="73"/>
        <v>0</v>
      </c>
      <c r="P485" s="20">
        <f t="shared" si="74"/>
        <v>0</v>
      </c>
      <c r="Q485" s="23">
        <f t="shared" si="77"/>
        <v>1200</v>
      </c>
      <c r="R485" s="20">
        <f t="shared" si="70"/>
        <v>1200</v>
      </c>
      <c r="S485" s="20">
        <f t="shared" si="70"/>
        <v>1200</v>
      </c>
      <c r="T485" s="18">
        <f t="shared" si="75"/>
        <v>1200</v>
      </c>
      <c r="U485" s="24"/>
      <c r="V485" s="25"/>
    </row>
    <row r="486" spans="1:22" ht="24" customHeight="1">
      <c r="A486" s="26"/>
      <c r="B486" s="15"/>
      <c r="C486" s="16"/>
      <c r="D486" s="16">
        <v>483</v>
      </c>
      <c r="E486" s="16" t="s">
        <v>914</v>
      </c>
      <c r="F486" s="17" t="s">
        <v>24</v>
      </c>
      <c r="G486" s="18">
        <v>1</v>
      </c>
      <c r="H486" s="19">
        <v>1</v>
      </c>
      <c r="I486" s="19"/>
      <c r="J486" s="19">
        <v>2200</v>
      </c>
      <c r="K486" s="19"/>
      <c r="L486" s="20">
        <f t="shared" si="76"/>
        <v>1</v>
      </c>
      <c r="M486" s="21">
        <f t="shared" si="71"/>
        <v>1</v>
      </c>
      <c r="N486" s="22">
        <f t="shared" si="72"/>
        <v>1</v>
      </c>
      <c r="O486" s="22">
        <f t="shared" si="73"/>
        <v>0</v>
      </c>
      <c r="P486" s="20">
        <f t="shared" si="74"/>
        <v>0</v>
      </c>
      <c r="Q486" s="23">
        <f t="shared" si="77"/>
        <v>2200</v>
      </c>
      <c r="R486" s="20">
        <f t="shared" si="70"/>
        <v>2200</v>
      </c>
      <c r="S486" s="20">
        <f t="shared" si="70"/>
        <v>2200</v>
      </c>
      <c r="T486" s="18">
        <f t="shared" si="75"/>
        <v>2200</v>
      </c>
      <c r="U486" s="24"/>
      <c r="V486" s="25"/>
    </row>
    <row r="487" spans="1:22" ht="24" customHeight="1">
      <c r="A487" s="26"/>
      <c r="B487" s="15"/>
      <c r="C487" s="16"/>
      <c r="D487" s="16">
        <v>484</v>
      </c>
      <c r="E487" s="16" t="s">
        <v>915</v>
      </c>
      <c r="F487" s="17" t="s">
        <v>24</v>
      </c>
      <c r="G487" s="18">
        <v>1</v>
      </c>
      <c r="H487" s="19">
        <v>1</v>
      </c>
      <c r="I487" s="19"/>
      <c r="J487" s="19">
        <v>800</v>
      </c>
      <c r="K487" s="19"/>
      <c r="L487" s="20">
        <f t="shared" si="76"/>
        <v>1</v>
      </c>
      <c r="M487" s="21">
        <f t="shared" si="71"/>
        <v>1</v>
      </c>
      <c r="N487" s="22">
        <f t="shared" si="72"/>
        <v>1</v>
      </c>
      <c r="O487" s="22">
        <f t="shared" si="73"/>
        <v>0</v>
      </c>
      <c r="P487" s="20">
        <f t="shared" si="74"/>
        <v>0</v>
      </c>
      <c r="Q487" s="23">
        <f t="shared" si="77"/>
        <v>800</v>
      </c>
      <c r="R487" s="20">
        <f t="shared" si="70"/>
        <v>800</v>
      </c>
      <c r="S487" s="20">
        <f t="shared" si="70"/>
        <v>800</v>
      </c>
      <c r="T487" s="18">
        <f t="shared" si="75"/>
        <v>800</v>
      </c>
      <c r="U487" s="24"/>
      <c r="V487" s="25"/>
    </row>
    <row r="488" spans="1:22" ht="24" customHeight="1">
      <c r="A488" s="26"/>
      <c r="B488" s="15"/>
      <c r="C488" s="16"/>
      <c r="D488" s="16">
        <v>485</v>
      </c>
      <c r="E488" s="16" t="s">
        <v>51</v>
      </c>
      <c r="F488" s="17" t="s">
        <v>24</v>
      </c>
      <c r="G488" s="18">
        <v>1</v>
      </c>
      <c r="H488" s="19">
        <v>1</v>
      </c>
      <c r="I488" s="19"/>
      <c r="J488" s="19">
        <v>1200</v>
      </c>
      <c r="K488" s="19"/>
      <c r="L488" s="20">
        <f t="shared" si="76"/>
        <v>1</v>
      </c>
      <c r="M488" s="21">
        <f t="shared" si="71"/>
        <v>1</v>
      </c>
      <c r="N488" s="22">
        <f t="shared" si="72"/>
        <v>1</v>
      </c>
      <c r="O488" s="22">
        <f t="shared" si="73"/>
        <v>0</v>
      </c>
      <c r="P488" s="20">
        <f t="shared" si="74"/>
        <v>0</v>
      </c>
      <c r="Q488" s="23">
        <f t="shared" si="77"/>
        <v>1200</v>
      </c>
      <c r="R488" s="20">
        <f t="shared" si="70"/>
        <v>1200</v>
      </c>
      <c r="S488" s="20">
        <f t="shared" si="70"/>
        <v>1200</v>
      </c>
      <c r="T488" s="18">
        <f t="shared" si="75"/>
        <v>1200</v>
      </c>
      <c r="U488" s="24"/>
      <c r="V488" s="25"/>
    </row>
    <row r="489" spans="1:22" ht="24" customHeight="1">
      <c r="A489" s="26"/>
      <c r="B489" s="15"/>
      <c r="C489" s="16"/>
      <c r="D489" s="16">
        <v>486</v>
      </c>
      <c r="E489" s="16" t="s">
        <v>918</v>
      </c>
      <c r="F489" s="17" t="s">
        <v>24</v>
      </c>
      <c r="G489" s="18">
        <v>1</v>
      </c>
      <c r="H489" s="19">
        <v>1</v>
      </c>
      <c r="I489" s="19"/>
      <c r="J489" s="19">
        <v>5200</v>
      </c>
      <c r="K489" s="19"/>
      <c r="L489" s="20">
        <f t="shared" si="76"/>
        <v>1</v>
      </c>
      <c r="M489" s="21">
        <f t="shared" si="71"/>
        <v>1</v>
      </c>
      <c r="N489" s="22">
        <f t="shared" si="72"/>
        <v>1</v>
      </c>
      <c r="O489" s="22">
        <f t="shared" si="73"/>
        <v>0</v>
      </c>
      <c r="P489" s="20">
        <f t="shared" si="74"/>
        <v>0</v>
      </c>
      <c r="Q489" s="23">
        <f t="shared" si="77"/>
        <v>5200</v>
      </c>
      <c r="R489" s="20">
        <f t="shared" si="70"/>
        <v>5200</v>
      </c>
      <c r="S489" s="20">
        <f t="shared" si="70"/>
        <v>5200</v>
      </c>
      <c r="T489" s="18">
        <f t="shared" si="75"/>
        <v>5200</v>
      </c>
      <c r="U489" s="24"/>
      <c r="V489" s="25"/>
    </row>
    <row r="490" spans="1:22" ht="24" customHeight="1">
      <c r="A490" s="26"/>
      <c r="B490" s="15"/>
      <c r="C490" s="16"/>
      <c r="D490" s="16">
        <v>487</v>
      </c>
      <c r="E490" s="16" t="s">
        <v>491</v>
      </c>
      <c r="F490" s="17" t="s">
        <v>24</v>
      </c>
      <c r="G490" s="18">
        <v>1</v>
      </c>
      <c r="H490" s="19">
        <v>1</v>
      </c>
      <c r="I490" s="19"/>
      <c r="J490" s="19">
        <v>1500</v>
      </c>
      <c r="K490" s="19"/>
      <c r="L490" s="20">
        <f t="shared" si="76"/>
        <v>1</v>
      </c>
      <c r="M490" s="21">
        <f t="shared" si="71"/>
        <v>1</v>
      </c>
      <c r="N490" s="22">
        <f t="shared" si="72"/>
        <v>1</v>
      </c>
      <c r="O490" s="22">
        <f t="shared" si="73"/>
        <v>0</v>
      </c>
      <c r="P490" s="20">
        <f t="shared" si="74"/>
        <v>0</v>
      </c>
      <c r="Q490" s="23">
        <f t="shared" si="77"/>
        <v>1500</v>
      </c>
      <c r="R490" s="20">
        <f t="shared" si="70"/>
        <v>1500</v>
      </c>
      <c r="S490" s="20">
        <f t="shared" si="70"/>
        <v>1500</v>
      </c>
      <c r="T490" s="18">
        <f t="shared" si="75"/>
        <v>1500</v>
      </c>
      <c r="U490" s="24"/>
      <c r="V490" s="25"/>
    </row>
    <row r="491" spans="1:22" ht="24" customHeight="1">
      <c r="A491" s="26"/>
      <c r="B491" s="15"/>
      <c r="C491" s="16"/>
      <c r="D491" s="16">
        <v>488</v>
      </c>
      <c r="E491" s="16" t="s">
        <v>919</v>
      </c>
      <c r="F491" s="17" t="s">
        <v>24</v>
      </c>
      <c r="G491" s="18">
        <v>1</v>
      </c>
      <c r="H491" s="19">
        <v>1</v>
      </c>
      <c r="I491" s="19"/>
      <c r="J491" s="19">
        <v>1700</v>
      </c>
      <c r="K491" s="19"/>
      <c r="L491" s="20">
        <f t="shared" si="76"/>
        <v>1</v>
      </c>
      <c r="M491" s="21">
        <f t="shared" si="71"/>
        <v>1</v>
      </c>
      <c r="N491" s="22">
        <f t="shared" si="72"/>
        <v>1</v>
      </c>
      <c r="O491" s="22">
        <f t="shared" si="73"/>
        <v>0</v>
      </c>
      <c r="P491" s="20">
        <f t="shared" si="74"/>
        <v>0</v>
      </c>
      <c r="Q491" s="23">
        <f t="shared" si="77"/>
        <v>1700</v>
      </c>
      <c r="R491" s="20">
        <f t="shared" si="70"/>
        <v>1700</v>
      </c>
      <c r="S491" s="20">
        <f t="shared" si="70"/>
        <v>1700</v>
      </c>
      <c r="T491" s="18">
        <f t="shared" si="75"/>
        <v>1700</v>
      </c>
      <c r="U491" s="24"/>
      <c r="V491" s="25"/>
    </row>
    <row r="492" spans="1:22" ht="24" customHeight="1">
      <c r="A492" s="26"/>
      <c r="B492" s="15"/>
      <c r="C492" s="16"/>
      <c r="D492" s="16">
        <v>489</v>
      </c>
      <c r="E492" s="16" t="s">
        <v>920</v>
      </c>
      <c r="F492" s="17" t="s">
        <v>24</v>
      </c>
      <c r="G492" s="18">
        <v>1</v>
      </c>
      <c r="H492" s="19">
        <v>1</v>
      </c>
      <c r="I492" s="19"/>
      <c r="J492" s="19">
        <v>1500</v>
      </c>
      <c r="K492" s="19"/>
      <c r="L492" s="20">
        <f t="shared" si="76"/>
        <v>1</v>
      </c>
      <c r="M492" s="21">
        <f t="shared" si="71"/>
        <v>1</v>
      </c>
      <c r="N492" s="22">
        <f t="shared" si="72"/>
        <v>1</v>
      </c>
      <c r="O492" s="22">
        <f t="shared" si="73"/>
        <v>0</v>
      </c>
      <c r="P492" s="20">
        <f t="shared" si="74"/>
        <v>0</v>
      </c>
      <c r="Q492" s="23">
        <f t="shared" si="77"/>
        <v>1500</v>
      </c>
      <c r="R492" s="20">
        <f t="shared" si="70"/>
        <v>1500</v>
      </c>
      <c r="S492" s="20">
        <f t="shared" si="70"/>
        <v>1500</v>
      </c>
      <c r="T492" s="18">
        <f t="shared" si="75"/>
        <v>1500</v>
      </c>
      <c r="U492" s="24"/>
      <c r="V492" s="25"/>
    </row>
    <row r="493" spans="1:22" ht="24" customHeight="1">
      <c r="A493" s="26"/>
      <c r="B493" s="15"/>
      <c r="C493" s="16"/>
      <c r="D493" s="16">
        <v>490</v>
      </c>
      <c r="E493" s="16" t="s">
        <v>492</v>
      </c>
      <c r="F493" s="17" t="s">
        <v>24</v>
      </c>
      <c r="G493" s="18">
        <v>1</v>
      </c>
      <c r="H493" s="19">
        <v>4</v>
      </c>
      <c r="I493" s="19"/>
      <c r="J493" s="19">
        <v>1000</v>
      </c>
      <c r="K493" s="19"/>
      <c r="L493" s="20">
        <f t="shared" si="76"/>
        <v>4</v>
      </c>
      <c r="M493" s="21">
        <f t="shared" si="71"/>
        <v>4</v>
      </c>
      <c r="N493" s="22">
        <f t="shared" si="72"/>
        <v>4</v>
      </c>
      <c r="O493" s="22">
        <f t="shared" si="73"/>
        <v>0</v>
      </c>
      <c r="P493" s="20">
        <f t="shared" si="74"/>
        <v>0</v>
      </c>
      <c r="Q493" s="23">
        <f t="shared" si="77"/>
        <v>1000</v>
      </c>
      <c r="R493" s="20">
        <f t="shared" si="70"/>
        <v>1000</v>
      </c>
      <c r="S493" s="20">
        <f t="shared" si="70"/>
        <v>1000</v>
      </c>
      <c r="T493" s="18">
        <f t="shared" si="75"/>
        <v>4000</v>
      </c>
      <c r="U493" s="24"/>
      <c r="V493" s="25"/>
    </row>
    <row r="494" spans="1:22" ht="24" customHeight="1">
      <c r="A494" s="26"/>
      <c r="B494" s="15"/>
      <c r="C494" s="16"/>
      <c r="D494" s="16">
        <v>491</v>
      </c>
      <c r="E494" s="16" t="s">
        <v>493</v>
      </c>
      <c r="F494" s="17" t="s">
        <v>24</v>
      </c>
      <c r="G494" s="18">
        <v>1</v>
      </c>
      <c r="H494" s="19">
        <v>1</v>
      </c>
      <c r="I494" s="19"/>
      <c r="J494" s="19">
        <v>800</v>
      </c>
      <c r="K494" s="19"/>
      <c r="L494" s="20">
        <f t="shared" si="76"/>
        <v>1</v>
      </c>
      <c r="M494" s="21">
        <f t="shared" si="71"/>
        <v>1</v>
      </c>
      <c r="N494" s="22">
        <f t="shared" si="72"/>
        <v>1</v>
      </c>
      <c r="O494" s="22">
        <f t="shared" si="73"/>
        <v>0</v>
      </c>
      <c r="P494" s="20">
        <f t="shared" si="74"/>
        <v>0</v>
      </c>
      <c r="Q494" s="23">
        <f t="shared" si="77"/>
        <v>800</v>
      </c>
      <c r="R494" s="20">
        <f t="shared" si="70"/>
        <v>800</v>
      </c>
      <c r="S494" s="20">
        <f t="shared" si="70"/>
        <v>800</v>
      </c>
      <c r="T494" s="18">
        <f t="shared" si="75"/>
        <v>800</v>
      </c>
      <c r="U494" s="24"/>
      <c r="V494" s="25"/>
    </row>
    <row r="495" spans="1:22" ht="24" customHeight="1">
      <c r="A495" s="26"/>
      <c r="B495" s="15"/>
      <c r="C495" s="16"/>
      <c r="D495" s="16">
        <v>492</v>
      </c>
      <c r="E495" s="16" t="s">
        <v>494</v>
      </c>
      <c r="F495" s="17" t="s">
        <v>24</v>
      </c>
      <c r="G495" s="18">
        <v>1</v>
      </c>
      <c r="H495" s="19">
        <v>1</v>
      </c>
      <c r="I495" s="19"/>
      <c r="J495" s="19">
        <v>800</v>
      </c>
      <c r="K495" s="19"/>
      <c r="L495" s="20">
        <f t="shared" si="76"/>
        <v>1</v>
      </c>
      <c r="M495" s="21">
        <f t="shared" si="71"/>
        <v>1</v>
      </c>
      <c r="N495" s="22">
        <f t="shared" si="72"/>
        <v>1</v>
      </c>
      <c r="O495" s="22">
        <f t="shared" si="73"/>
        <v>0</v>
      </c>
      <c r="P495" s="20">
        <f t="shared" si="74"/>
        <v>0</v>
      </c>
      <c r="Q495" s="23">
        <f t="shared" si="77"/>
        <v>800</v>
      </c>
      <c r="R495" s="20">
        <f t="shared" ref="R495:S558" si="78">IFERROR(IF(J495&gt;0,J495,IF(J495&lt;0,P495,IF(J495=0,P495))),"")</f>
        <v>800</v>
      </c>
      <c r="S495" s="20">
        <f t="shared" si="78"/>
        <v>800</v>
      </c>
      <c r="T495" s="18">
        <f t="shared" si="75"/>
        <v>800</v>
      </c>
      <c r="U495" s="24"/>
      <c r="V495" s="25"/>
    </row>
    <row r="496" spans="1:22" ht="24" customHeight="1">
      <c r="A496" s="26"/>
      <c r="B496" s="15"/>
      <c r="C496" s="16"/>
      <c r="D496" s="16">
        <v>493</v>
      </c>
      <c r="E496" s="16" t="s">
        <v>495</v>
      </c>
      <c r="F496" s="17" t="s">
        <v>24</v>
      </c>
      <c r="G496" s="18">
        <v>1</v>
      </c>
      <c r="H496" s="19">
        <v>2</v>
      </c>
      <c r="I496" s="19"/>
      <c r="J496" s="19">
        <v>800</v>
      </c>
      <c r="K496" s="19"/>
      <c r="L496" s="20">
        <f t="shared" si="76"/>
        <v>2</v>
      </c>
      <c r="M496" s="21">
        <f t="shared" si="71"/>
        <v>2</v>
      </c>
      <c r="N496" s="22">
        <f t="shared" si="72"/>
        <v>2</v>
      </c>
      <c r="O496" s="22">
        <f t="shared" si="73"/>
        <v>0</v>
      </c>
      <c r="P496" s="20">
        <f t="shared" si="74"/>
        <v>0</v>
      </c>
      <c r="Q496" s="23">
        <f t="shared" si="77"/>
        <v>800</v>
      </c>
      <c r="R496" s="20">
        <f t="shared" si="78"/>
        <v>800</v>
      </c>
      <c r="S496" s="20">
        <f t="shared" si="78"/>
        <v>800</v>
      </c>
      <c r="T496" s="18">
        <f t="shared" si="75"/>
        <v>1600</v>
      </c>
      <c r="U496" s="24"/>
      <c r="V496" s="25"/>
    </row>
    <row r="497" spans="1:22" ht="24" customHeight="1">
      <c r="A497" s="26"/>
      <c r="B497" s="15"/>
      <c r="C497" s="16"/>
      <c r="D497" s="16">
        <v>494</v>
      </c>
      <c r="E497" s="16" t="s">
        <v>496</v>
      </c>
      <c r="F497" s="17" t="s">
        <v>24</v>
      </c>
      <c r="G497" s="18">
        <v>1</v>
      </c>
      <c r="H497" s="19">
        <v>1</v>
      </c>
      <c r="I497" s="19"/>
      <c r="J497" s="19">
        <v>1000</v>
      </c>
      <c r="K497" s="19"/>
      <c r="L497" s="20">
        <f t="shared" si="76"/>
        <v>1</v>
      </c>
      <c r="M497" s="21">
        <f t="shared" si="71"/>
        <v>1</v>
      </c>
      <c r="N497" s="22">
        <f t="shared" si="72"/>
        <v>1</v>
      </c>
      <c r="O497" s="22">
        <f t="shared" si="73"/>
        <v>0</v>
      </c>
      <c r="P497" s="20">
        <f t="shared" si="74"/>
        <v>0</v>
      </c>
      <c r="Q497" s="23">
        <f t="shared" si="77"/>
        <v>1000</v>
      </c>
      <c r="R497" s="20">
        <f t="shared" si="78"/>
        <v>1000</v>
      </c>
      <c r="S497" s="20">
        <f t="shared" si="78"/>
        <v>1000</v>
      </c>
      <c r="T497" s="18">
        <f t="shared" si="75"/>
        <v>1000</v>
      </c>
      <c r="U497" s="24"/>
      <c r="V497" s="25"/>
    </row>
    <row r="498" spans="1:22" ht="24" customHeight="1">
      <c r="A498" s="26"/>
      <c r="B498" s="15"/>
      <c r="C498" s="16"/>
      <c r="D498" s="16">
        <v>495</v>
      </c>
      <c r="E498" s="16" t="s">
        <v>497</v>
      </c>
      <c r="F498" s="17" t="s">
        <v>24</v>
      </c>
      <c r="G498" s="18">
        <v>1</v>
      </c>
      <c r="H498" s="19">
        <v>1</v>
      </c>
      <c r="I498" s="19"/>
      <c r="J498" s="19">
        <v>800</v>
      </c>
      <c r="K498" s="19"/>
      <c r="L498" s="20">
        <f t="shared" si="76"/>
        <v>1</v>
      </c>
      <c r="M498" s="21">
        <f t="shared" si="71"/>
        <v>1</v>
      </c>
      <c r="N498" s="22">
        <f t="shared" si="72"/>
        <v>1</v>
      </c>
      <c r="O498" s="22">
        <f t="shared" si="73"/>
        <v>0</v>
      </c>
      <c r="P498" s="20">
        <f t="shared" si="74"/>
        <v>0</v>
      </c>
      <c r="Q498" s="23">
        <f t="shared" si="77"/>
        <v>800</v>
      </c>
      <c r="R498" s="20">
        <f t="shared" si="78"/>
        <v>800</v>
      </c>
      <c r="S498" s="20">
        <f t="shared" si="78"/>
        <v>800</v>
      </c>
      <c r="T498" s="18">
        <f t="shared" si="75"/>
        <v>800</v>
      </c>
      <c r="U498" s="24"/>
      <c r="V498" s="25"/>
    </row>
    <row r="499" spans="1:22" ht="24" customHeight="1">
      <c r="A499" s="26"/>
      <c r="B499" s="15"/>
      <c r="C499" s="16"/>
      <c r="D499" s="16">
        <v>496</v>
      </c>
      <c r="E499" s="16" t="s">
        <v>498</v>
      </c>
      <c r="F499" s="17" t="s">
        <v>24</v>
      </c>
      <c r="G499" s="18">
        <v>1</v>
      </c>
      <c r="H499" s="19">
        <v>1</v>
      </c>
      <c r="I499" s="19"/>
      <c r="J499" s="19">
        <v>1200</v>
      </c>
      <c r="K499" s="19"/>
      <c r="L499" s="20">
        <f t="shared" si="76"/>
        <v>1</v>
      </c>
      <c r="M499" s="21">
        <f t="shared" si="71"/>
        <v>1</v>
      </c>
      <c r="N499" s="22">
        <f t="shared" si="72"/>
        <v>1</v>
      </c>
      <c r="O499" s="22">
        <f t="shared" si="73"/>
        <v>0</v>
      </c>
      <c r="P499" s="20">
        <f t="shared" si="74"/>
        <v>0</v>
      </c>
      <c r="Q499" s="23">
        <f t="shared" si="77"/>
        <v>1200</v>
      </c>
      <c r="R499" s="20">
        <f t="shared" si="78"/>
        <v>1200</v>
      </c>
      <c r="S499" s="20">
        <f t="shared" si="78"/>
        <v>1200</v>
      </c>
      <c r="T499" s="18">
        <f t="shared" si="75"/>
        <v>1200</v>
      </c>
      <c r="U499" s="24"/>
      <c r="V499" s="25"/>
    </row>
    <row r="500" spans="1:22" ht="24" customHeight="1">
      <c r="A500" s="26"/>
      <c r="B500" s="15"/>
      <c r="C500" s="16"/>
      <c r="D500" s="16">
        <v>497</v>
      </c>
      <c r="E500" s="16" t="s">
        <v>147</v>
      </c>
      <c r="F500" s="17" t="s">
        <v>24</v>
      </c>
      <c r="G500" s="18">
        <v>1</v>
      </c>
      <c r="H500" s="19">
        <v>4</v>
      </c>
      <c r="I500" s="19"/>
      <c r="J500" s="19">
        <v>1500</v>
      </c>
      <c r="K500" s="19"/>
      <c r="L500" s="20">
        <f t="shared" si="76"/>
        <v>4</v>
      </c>
      <c r="M500" s="21">
        <f t="shared" si="71"/>
        <v>4</v>
      </c>
      <c r="N500" s="22">
        <f t="shared" si="72"/>
        <v>4</v>
      </c>
      <c r="O500" s="22">
        <f t="shared" si="73"/>
        <v>0</v>
      </c>
      <c r="P500" s="20">
        <f t="shared" si="74"/>
        <v>0</v>
      </c>
      <c r="Q500" s="23">
        <f t="shared" si="77"/>
        <v>1500</v>
      </c>
      <c r="R500" s="20">
        <f t="shared" si="78"/>
        <v>1500</v>
      </c>
      <c r="S500" s="20">
        <f t="shared" si="78"/>
        <v>1500</v>
      </c>
      <c r="T500" s="18">
        <f t="shared" si="75"/>
        <v>6000</v>
      </c>
      <c r="U500" s="24"/>
      <c r="V500" s="25"/>
    </row>
    <row r="501" spans="1:22" ht="24" customHeight="1">
      <c r="A501" s="26"/>
      <c r="B501" s="15"/>
      <c r="C501" s="16"/>
      <c r="D501" s="16">
        <v>498</v>
      </c>
      <c r="E501" s="16" t="s">
        <v>499</v>
      </c>
      <c r="F501" s="17" t="s">
        <v>24</v>
      </c>
      <c r="G501" s="18">
        <v>1</v>
      </c>
      <c r="H501" s="19">
        <v>5</v>
      </c>
      <c r="I501" s="19"/>
      <c r="J501" s="19">
        <v>800</v>
      </c>
      <c r="K501" s="19"/>
      <c r="L501" s="20">
        <f t="shared" si="76"/>
        <v>5</v>
      </c>
      <c r="M501" s="21">
        <f t="shared" si="71"/>
        <v>5</v>
      </c>
      <c r="N501" s="22">
        <f t="shared" si="72"/>
        <v>5</v>
      </c>
      <c r="O501" s="22">
        <f t="shared" si="73"/>
        <v>0</v>
      </c>
      <c r="P501" s="20">
        <f t="shared" si="74"/>
        <v>0</v>
      </c>
      <c r="Q501" s="23">
        <f t="shared" si="77"/>
        <v>800</v>
      </c>
      <c r="R501" s="20">
        <f t="shared" si="78"/>
        <v>800</v>
      </c>
      <c r="S501" s="20">
        <f t="shared" si="78"/>
        <v>800</v>
      </c>
      <c r="T501" s="18">
        <f t="shared" si="75"/>
        <v>4000</v>
      </c>
      <c r="U501" s="24"/>
      <c r="V501" s="25"/>
    </row>
    <row r="502" spans="1:22" ht="24" customHeight="1">
      <c r="A502" s="26"/>
      <c r="B502" s="15"/>
      <c r="C502" s="16"/>
      <c r="D502" s="16">
        <v>499</v>
      </c>
      <c r="E502" s="16" t="s">
        <v>500</v>
      </c>
      <c r="F502" s="17" t="s">
        <v>24</v>
      </c>
      <c r="G502" s="18">
        <v>1</v>
      </c>
      <c r="H502" s="19">
        <v>6</v>
      </c>
      <c r="I502" s="19"/>
      <c r="J502" s="19">
        <v>800</v>
      </c>
      <c r="K502" s="19"/>
      <c r="L502" s="20">
        <f t="shared" si="76"/>
        <v>6</v>
      </c>
      <c r="M502" s="21">
        <f t="shared" si="71"/>
        <v>6</v>
      </c>
      <c r="N502" s="22">
        <f t="shared" si="72"/>
        <v>6</v>
      </c>
      <c r="O502" s="22">
        <f t="shared" si="73"/>
        <v>0</v>
      </c>
      <c r="P502" s="20">
        <f t="shared" si="74"/>
        <v>0</v>
      </c>
      <c r="Q502" s="23">
        <f t="shared" si="77"/>
        <v>800</v>
      </c>
      <c r="R502" s="20">
        <f t="shared" si="78"/>
        <v>800</v>
      </c>
      <c r="S502" s="20">
        <f t="shared" si="78"/>
        <v>800</v>
      </c>
      <c r="T502" s="18">
        <f t="shared" si="75"/>
        <v>4800</v>
      </c>
      <c r="U502" s="24"/>
      <c r="V502" s="25"/>
    </row>
    <row r="503" spans="1:22" ht="24" customHeight="1">
      <c r="A503" s="26"/>
      <c r="B503" s="15"/>
      <c r="C503" s="16"/>
      <c r="D503" s="16">
        <v>500</v>
      </c>
      <c r="E503" s="16" t="s">
        <v>501</v>
      </c>
      <c r="F503" s="17" t="s">
        <v>24</v>
      </c>
      <c r="G503" s="18">
        <v>1</v>
      </c>
      <c r="H503" s="19">
        <v>1</v>
      </c>
      <c r="I503" s="19"/>
      <c r="J503" s="19">
        <v>800</v>
      </c>
      <c r="K503" s="19"/>
      <c r="L503" s="20">
        <f t="shared" si="76"/>
        <v>1</v>
      </c>
      <c r="M503" s="21">
        <f t="shared" si="71"/>
        <v>1</v>
      </c>
      <c r="N503" s="22">
        <f t="shared" si="72"/>
        <v>1</v>
      </c>
      <c r="O503" s="22">
        <f t="shared" si="73"/>
        <v>0</v>
      </c>
      <c r="P503" s="20">
        <f t="shared" si="74"/>
        <v>0</v>
      </c>
      <c r="Q503" s="23">
        <f t="shared" si="77"/>
        <v>800</v>
      </c>
      <c r="R503" s="20">
        <f t="shared" si="78"/>
        <v>800</v>
      </c>
      <c r="S503" s="20">
        <f t="shared" si="78"/>
        <v>800</v>
      </c>
      <c r="T503" s="18">
        <f t="shared" si="75"/>
        <v>800</v>
      </c>
      <c r="U503" s="24"/>
      <c r="V503" s="25"/>
    </row>
    <row r="504" spans="1:22" ht="24" customHeight="1">
      <c r="A504" s="26"/>
      <c r="B504" s="15"/>
      <c r="C504" s="16"/>
      <c r="D504" s="16">
        <v>501</v>
      </c>
      <c r="E504" s="16" t="s">
        <v>502</v>
      </c>
      <c r="F504" s="17" t="s">
        <v>24</v>
      </c>
      <c r="G504" s="18">
        <v>1</v>
      </c>
      <c r="H504" s="19">
        <v>1</v>
      </c>
      <c r="I504" s="19"/>
      <c r="J504" s="19">
        <v>1000</v>
      </c>
      <c r="K504" s="19"/>
      <c r="L504" s="20">
        <f t="shared" si="76"/>
        <v>1</v>
      </c>
      <c r="M504" s="21">
        <f t="shared" si="71"/>
        <v>1</v>
      </c>
      <c r="N504" s="22">
        <f t="shared" si="72"/>
        <v>1</v>
      </c>
      <c r="O504" s="22">
        <f t="shared" si="73"/>
        <v>0</v>
      </c>
      <c r="P504" s="20">
        <f t="shared" si="74"/>
        <v>0</v>
      </c>
      <c r="Q504" s="23">
        <f t="shared" si="77"/>
        <v>1000</v>
      </c>
      <c r="R504" s="20">
        <f t="shared" si="78"/>
        <v>1000</v>
      </c>
      <c r="S504" s="20">
        <f t="shared" si="78"/>
        <v>1000</v>
      </c>
      <c r="T504" s="18">
        <f t="shared" si="75"/>
        <v>1000</v>
      </c>
      <c r="U504" s="24"/>
      <c r="V504" s="25"/>
    </row>
    <row r="505" spans="1:22" ht="24.75" customHeight="1">
      <c r="A505" s="26"/>
      <c r="B505" s="15"/>
      <c r="C505" s="16"/>
      <c r="D505" s="16">
        <v>502</v>
      </c>
      <c r="E505" s="16" t="s">
        <v>503</v>
      </c>
      <c r="F505" s="17" t="s">
        <v>24</v>
      </c>
      <c r="G505" s="18">
        <v>1</v>
      </c>
      <c r="H505" s="19">
        <v>1</v>
      </c>
      <c r="I505" s="19"/>
      <c r="J505" s="19">
        <v>1000</v>
      </c>
      <c r="K505" s="19"/>
      <c r="L505" s="20">
        <f t="shared" si="76"/>
        <v>1</v>
      </c>
      <c r="M505" s="21">
        <f t="shared" si="71"/>
        <v>1</v>
      </c>
      <c r="N505" s="22">
        <f t="shared" si="72"/>
        <v>1</v>
      </c>
      <c r="O505" s="22">
        <f t="shared" si="73"/>
        <v>0</v>
      </c>
      <c r="P505" s="20">
        <f t="shared" si="74"/>
        <v>0</v>
      </c>
      <c r="Q505" s="23">
        <f t="shared" si="77"/>
        <v>1000</v>
      </c>
      <c r="R505" s="20">
        <f t="shared" si="78"/>
        <v>1000</v>
      </c>
      <c r="S505" s="20">
        <f t="shared" si="78"/>
        <v>1000</v>
      </c>
      <c r="T505" s="18">
        <f t="shared" si="75"/>
        <v>1000</v>
      </c>
      <c r="U505" s="24"/>
      <c r="V505" s="25"/>
    </row>
    <row r="506" spans="1:22" ht="24.75" customHeight="1">
      <c r="A506" s="26"/>
      <c r="B506" s="15"/>
      <c r="C506" s="16"/>
      <c r="D506" s="16">
        <v>503</v>
      </c>
      <c r="E506" s="16" t="s">
        <v>52</v>
      </c>
      <c r="F506" s="17" t="s">
        <v>24</v>
      </c>
      <c r="G506" s="18">
        <v>1</v>
      </c>
      <c r="H506" s="19">
        <v>1</v>
      </c>
      <c r="I506" s="19"/>
      <c r="J506" s="19">
        <v>1200</v>
      </c>
      <c r="K506" s="19"/>
      <c r="L506" s="20">
        <f t="shared" si="76"/>
        <v>1</v>
      </c>
      <c r="M506" s="21">
        <f t="shared" si="71"/>
        <v>1</v>
      </c>
      <c r="N506" s="22">
        <f t="shared" si="72"/>
        <v>1</v>
      </c>
      <c r="O506" s="22">
        <f t="shared" si="73"/>
        <v>0</v>
      </c>
      <c r="P506" s="20">
        <f t="shared" si="74"/>
        <v>0</v>
      </c>
      <c r="Q506" s="23">
        <f t="shared" si="77"/>
        <v>1200</v>
      </c>
      <c r="R506" s="20">
        <f t="shared" si="78"/>
        <v>1200</v>
      </c>
      <c r="S506" s="20">
        <f t="shared" si="78"/>
        <v>1200</v>
      </c>
      <c r="T506" s="18">
        <f t="shared" si="75"/>
        <v>1200</v>
      </c>
      <c r="U506" s="24"/>
      <c r="V506" s="25"/>
    </row>
    <row r="507" spans="1:22" ht="24.75" customHeight="1">
      <c r="A507" s="26"/>
      <c r="B507" s="15"/>
      <c r="C507" s="16"/>
      <c r="D507" s="16">
        <v>504</v>
      </c>
      <c r="E507" s="16" t="s">
        <v>505</v>
      </c>
      <c r="F507" s="17" t="s">
        <v>24</v>
      </c>
      <c r="G507" s="18">
        <v>1</v>
      </c>
      <c r="H507" s="19">
        <v>7</v>
      </c>
      <c r="I507" s="19"/>
      <c r="J507" s="19">
        <v>700</v>
      </c>
      <c r="K507" s="19"/>
      <c r="L507" s="20">
        <f t="shared" si="76"/>
        <v>7</v>
      </c>
      <c r="M507" s="21">
        <f t="shared" si="71"/>
        <v>7</v>
      </c>
      <c r="N507" s="22">
        <f t="shared" si="72"/>
        <v>7</v>
      </c>
      <c r="O507" s="22">
        <f t="shared" si="73"/>
        <v>0</v>
      </c>
      <c r="P507" s="20">
        <f t="shared" si="74"/>
        <v>0</v>
      </c>
      <c r="Q507" s="23">
        <f t="shared" si="77"/>
        <v>700</v>
      </c>
      <c r="R507" s="20">
        <f t="shared" si="78"/>
        <v>700</v>
      </c>
      <c r="S507" s="20">
        <f t="shared" si="78"/>
        <v>700</v>
      </c>
      <c r="T507" s="18">
        <f t="shared" si="75"/>
        <v>4900</v>
      </c>
      <c r="U507" s="24"/>
      <c r="V507" s="25"/>
    </row>
    <row r="508" spans="1:22" ht="24.75" customHeight="1">
      <c r="A508" s="26"/>
      <c r="B508" s="15"/>
      <c r="C508" s="16"/>
      <c r="D508" s="16">
        <v>505</v>
      </c>
      <c r="E508" s="16" t="s">
        <v>504</v>
      </c>
      <c r="F508" s="17" t="s">
        <v>24</v>
      </c>
      <c r="G508" s="18">
        <v>1</v>
      </c>
      <c r="H508" s="19">
        <v>7</v>
      </c>
      <c r="I508" s="19"/>
      <c r="J508" s="19">
        <v>850</v>
      </c>
      <c r="K508" s="19"/>
      <c r="L508" s="20">
        <f t="shared" si="76"/>
        <v>7</v>
      </c>
      <c r="M508" s="21">
        <f t="shared" si="71"/>
        <v>7</v>
      </c>
      <c r="N508" s="22">
        <f t="shared" si="72"/>
        <v>7</v>
      </c>
      <c r="O508" s="22">
        <f t="shared" si="73"/>
        <v>0</v>
      </c>
      <c r="P508" s="20">
        <f t="shared" si="74"/>
        <v>0</v>
      </c>
      <c r="Q508" s="23">
        <f t="shared" si="77"/>
        <v>850</v>
      </c>
      <c r="R508" s="20">
        <f t="shared" si="78"/>
        <v>850</v>
      </c>
      <c r="S508" s="20">
        <f t="shared" si="78"/>
        <v>850</v>
      </c>
      <c r="T508" s="18">
        <f t="shared" si="75"/>
        <v>5950</v>
      </c>
      <c r="U508" s="24"/>
      <c r="V508" s="25"/>
    </row>
    <row r="509" spans="1:22" ht="24.75" customHeight="1">
      <c r="A509" s="26"/>
      <c r="B509" s="15"/>
      <c r="C509" s="16"/>
      <c r="D509" s="16">
        <v>506</v>
      </c>
      <c r="E509" s="16" t="s">
        <v>506</v>
      </c>
      <c r="F509" s="17" t="s">
        <v>24</v>
      </c>
      <c r="G509" s="18">
        <v>1</v>
      </c>
      <c r="H509" s="19">
        <v>1</v>
      </c>
      <c r="I509" s="19"/>
      <c r="J509" s="19">
        <v>800</v>
      </c>
      <c r="K509" s="19"/>
      <c r="L509" s="20">
        <f t="shared" si="76"/>
        <v>1</v>
      </c>
      <c r="M509" s="21">
        <f t="shared" si="71"/>
        <v>1</v>
      </c>
      <c r="N509" s="22">
        <f t="shared" si="72"/>
        <v>1</v>
      </c>
      <c r="O509" s="22">
        <f t="shared" si="73"/>
        <v>0</v>
      </c>
      <c r="P509" s="20">
        <f t="shared" si="74"/>
        <v>0</v>
      </c>
      <c r="Q509" s="23">
        <f t="shared" si="77"/>
        <v>800</v>
      </c>
      <c r="R509" s="20">
        <f t="shared" si="78"/>
        <v>800</v>
      </c>
      <c r="S509" s="20">
        <f t="shared" si="78"/>
        <v>800</v>
      </c>
      <c r="T509" s="18">
        <f t="shared" si="75"/>
        <v>800</v>
      </c>
      <c r="U509" s="24"/>
      <c r="V509" s="25"/>
    </row>
    <row r="510" spans="1:22" ht="24" customHeight="1">
      <c r="A510" s="26"/>
      <c r="B510" s="15"/>
      <c r="C510" s="16"/>
      <c r="D510" s="16">
        <v>507</v>
      </c>
      <c r="E510" s="16" t="s">
        <v>507</v>
      </c>
      <c r="F510" s="17" t="s">
        <v>24</v>
      </c>
      <c r="G510" s="18">
        <v>1</v>
      </c>
      <c r="H510" s="19">
        <v>1</v>
      </c>
      <c r="I510" s="19"/>
      <c r="J510" s="19">
        <v>1900</v>
      </c>
      <c r="K510" s="19"/>
      <c r="L510" s="20">
        <f t="shared" si="76"/>
        <v>1</v>
      </c>
      <c r="M510" s="21">
        <f t="shared" si="71"/>
        <v>1</v>
      </c>
      <c r="N510" s="22">
        <f t="shared" si="72"/>
        <v>1</v>
      </c>
      <c r="O510" s="22">
        <f t="shared" si="73"/>
        <v>0</v>
      </c>
      <c r="P510" s="20">
        <f t="shared" si="74"/>
        <v>0</v>
      </c>
      <c r="Q510" s="23">
        <f t="shared" si="77"/>
        <v>1900</v>
      </c>
      <c r="R510" s="20">
        <f t="shared" si="78"/>
        <v>1900</v>
      </c>
      <c r="S510" s="20">
        <f t="shared" si="78"/>
        <v>1900</v>
      </c>
      <c r="T510" s="18">
        <f t="shared" si="75"/>
        <v>1900</v>
      </c>
      <c r="U510" s="24"/>
      <c r="V510" s="25"/>
    </row>
    <row r="511" spans="1:22" ht="24" customHeight="1">
      <c r="A511" s="26"/>
      <c r="B511" s="15"/>
      <c r="C511" s="16"/>
      <c r="D511" s="16">
        <v>508</v>
      </c>
      <c r="E511" s="16" t="s">
        <v>508</v>
      </c>
      <c r="F511" s="17" t="s">
        <v>24</v>
      </c>
      <c r="G511" s="18">
        <v>1</v>
      </c>
      <c r="H511" s="19">
        <v>1</v>
      </c>
      <c r="I511" s="19"/>
      <c r="J511" s="19">
        <v>1800</v>
      </c>
      <c r="K511" s="19"/>
      <c r="M511" s="21">
        <f t="shared" si="71"/>
        <v>0</v>
      </c>
      <c r="N511" s="22">
        <f t="shared" si="72"/>
        <v>0</v>
      </c>
      <c r="O511" s="22">
        <f t="shared" si="73"/>
        <v>0</v>
      </c>
      <c r="P511" s="20">
        <f t="shared" si="74"/>
        <v>0</v>
      </c>
      <c r="Q511" s="23">
        <f t="shared" si="77"/>
        <v>1800</v>
      </c>
      <c r="R511" s="20">
        <f t="shared" si="78"/>
        <v>1800</v>
      </c>
      <c r="S511" s="20">
        <f t="shared" si="78"/>
        <v>1800</v>
      </c>
      <c r="T511" s="18">
        <f t="shared" si="75"/>
        <v>1800</v>
      </c>
      <c r="U511" s="24"/>
      <c r="V511" s="25"/>
    </row>
    <row r="512" spans="1:22" ht="24" customHeight="1">
      <c r="A512" s="26"/>
      <c r="B512" s="15"/>
      <c r="C512" s="16"/>
      <c r="D512" s="16">
        <v>509</v>
      </c>
      <c r="E512" s="16" t="s">
        <v>509</v>
      </c>
      <c r="F512" s="17" t="s">
        <v>24</v>
      </c>
      <c r="G512" s="18">
        <v>1</v>
      </c>
      <c r="H512" s="19">
        <v>2</v>
      </c>
      <c r="I512" s="19"/>
      <c r="J512" s="19">
        <v>650</v>
      </c>
      <c r="K512" s="19"/>
      <c r="L512" s="20">
        <f t="shared" ref="L512:L677" si="79">I512*G512+H512</f>
        <v>2</v>
      </c>
      <c r="M512" s="21">
        <f t="shared" si="71"/>
        <v>2</v>
      </c>
      <c r="N512" s="22">
        <f t="shared" si="72"/>
        <v>2</v>
      </c>
      <c r="O512" s="22">
        <f t="shared" si="73"/>
        <v>0</v>
      </c>
      <c r="P512" s="20">
        <f t="shared" si="74"/>
        <v>0</v>
      </c>
      <c r="Q512" s="23">
        <f t="shared" si="77"/>
        <v>650</v>
      </c>
      <c r="R512" s="20">
        <f t="shared" si="78"/>
        <v>650</v>
      </c>
      <c r="S512" s="20">
        <f t="shared" si="78"/>
        <v>650</v>
      </c>
      <c r="T512" s="18">
        <f t="shared" si="75"/>
        <v>1300</v>
      </c>
      <c r="U512" s="24"/>
      <c r="V512" s="25"/>
    </row>
    <row r="513" spans="1:22" ht="24" customHeight="1">
      <c r="A513" s="26"/>
      <c r="B513" s="15"/>
      <c r="C513" s="16"/>
      <c r="D513" s="16">
        <v>510</v>
      </c>
      <c r="E513" s="16" t="s">
        <v>510</v>
      </c>
      <c r="F513" s="17" t="s">
        <v>24</v>
      </c>
      <c r="G513" s="18">
        <v>1</v>
      </c>
      <c r="H513" s="19">
        <v>3</v>
      </c>
      <c r="I513" s="19"/>
      <c r="J513" s="19">
        <v>650</v>
      </c>
      <c r="K513" s="20">
        <f>I511*G511+H511</f>
        <v>1</v>
      </c>
      <c r="L513" s="20">
        <f t="shared" si="79"/>
        <v>3</v>
      </c>
      <c r="M513" s="21">
        <f t="shared" si="71"/>
        <v>3</v>
      </c>
      <c r="N513" s="22">
        <f t="shared" si="72"/>
        <v>3</v>
      </c>
      <c r="O513" s="22">
        <f t="shared" si="73"/>
        <v>0</v>
      </c>
      <c r="P513" s="20">
        <f t="shared" si="74"/>
        <v>1</v>
      </c>
      <c r="Q513" s="23">
        <f t="shared" si="77"/>
        <v>650</v>
      </c>
      <c r="R513" s="20">
        <f t="shared" si="78"/>
        <v>650</v>
      </c>
      <c r="S513" s="20">
        <f t="shared" si="78"/>
        <v>1</v>
      </c>
      <c r="T513" s="18">
        <f t="shared" si="75"/>
        <v>1950</v>
      </c>
      <c r="U513" s="24"/>
      <c r="V513" s="25"/>
    </row>
    <row r="514" spans="1:22" ht="24" customHeight="1">
      <c r="A514" s="26"/>
      <c r="B514" s="15"/>
      <c r="C514" s="16"/>
      <c r="D514" s="16">
        <v>511</v>
      </c>
      <c r="E514" s="16" t="s">
        <v>446</v>
      </c>
      <c r="F514" s="17" t="s">
        <v>24</v>
      </c>
      <c r="G514" s="18">
        <v>1</v>
      </c>
      <c r="H514" s="19">
        <v>1</v>
      </c>
      <c r="I514" s="19"/>
      <c r="J514" s="19">
        <v>1200</v>
      </c>
      <c r="K514" s="19"/>
      <c r="L514" s="20">
        <f t="shared" si="79"/>
        <v>1</v>
      </c>
      <c r="M514" s="21">
        <f t="shared" si="71"/>
        <v>1</v>
      </c>
      <c r="N514" s="22">
        <f t="shared" si="72"/>
        <v>1</v>
      </c>
      <c r="O514" s="22">
        <f t="shared" si="73"/>
        <v>0</v>
      </c>
      <c r="P514" s="20">
        <f t="shared" si="74"/>
        <v>0</v>
      </c>
      <c r="Q514" s="23">
        <f t="shared" si="77"/>
        <v>1200</v>
      </c>
      <c r="R514" s="20">
        <f t="shared" si="78"/>
        <v>1200</v>
      </c>
      <c r="S514" s="20">
        <f t="shared" si="78"/>
        <v>1200</v>
      </c>
      <c r="T514" s="18">
        <f t="shared" si="75"/>
        <v>1200</v>
      </c>
      <c r="U514" s="24"/>
      <c r="V514" s="25"/>
    </row>
    <row r="515" spans="1:22" ht="24" customHeight="1">
      <c r="A515" s="26"/>
      <c r="B515" s="15"/>
      <c r="C515" s="16"/>
      <c r="D515" s="16">
        <v>512</v>
      </c>
      <c r="E515" s="16" t="s">
        <v>511</v>
      </c>
      <c r="F515" s="17" t="s">
        <v>24</v>
      </c>
      <c r="G515" s="18">
        <v>1</v>
      </c>
      <c r="H515" s="19">
        <v>6</v>
      </c>
      <c r="I515" s="19"/>
      <c r="J515" s="19">
        <v>320</v>
      </c>
      <c r="K515" s="19"/>
      <c r="L515" s="20">
        <f t="shared" si="79"/>
        <v>6</v>
      </c>
      <c r="M515" s="21">
        <f t="shared" ref="M515:M578" si="80">IFERROR(L515/G515,"")</f>
        <v>6</v>
      </c>
      <c r="N515" s="22">
        <f t="shared" ref="N515:N578" si="81">IF(G515=1,L515,IF(G515&gt;1,IFERROR((M515-O515)*G515,""),""))</f>
        <v>6</v>
      </c>
      <c r="O515" s="22">
        <f t="shared" ref="O515:O578" si="82">IFERROR(IF(G515=1,0,IF(G515&gt;1,ROUNDDOWN(M515,0))),"")</f>
        <v>0</v>
      </c>
      <c r="P515" s="20">
        <f t="shared" si="74"/>
        <v>0</v>
      </c>
      <c r="Q515" s="23">
        <f t="shared" si="77"/>
        <v>320</v>
      </c>
      <c r="R515" s="20">
        <f t="shared" si="78"/>
        <v>320</v>
      </c>
      <c r="S515" s="20">
        <f t="shared" si="78"/>
        <v>320</v>
      </c>
      <c r="T515" s="18">
        <f t="shared" si="75"/>
        <v>1920</v>
      </c>
      <c r="U515" s="24"/>
      <c r="V515" s="25"/>
    </row>
    <row r="516" spans="1:22" ht="24" customHeight="1">
      <c r="A516" s="26"/>
      <c r="B516" s="15"/>
      <c r="C516" s="16"/>
      <c r="D516" s="16">
        <v>513</v>
      </c>
      <c r="E516" s="16" t="s">
        <v>512</v>
      </c>
      <c r="F516" s="17" t="s">
        <v>24</v>
      </c>
      <c r="G516" s="18">
        <v>1</v>
      </c>
      <c r="H516" s="19">
        <v>8</v>
      </c>
      <c r="I516" s="19"/>
      <c r="J516" s="19">
        <v>260</v>
      </c>
      <c r="K516" s="19"/>
      <c r="L516" s="20">
        <f t="shared" si="79"/>
        <v>8</v>
      </c>
      <c r="M516" s="21">
        <f t="shared" si="80"/>
        <v>8</v>
      </c>
      <c r="N516" s="22">
        <f t="shared" si="81"/>
        <v>8</v>
      </c>
      <c r="O516" s="22">
        <f t="shared" si="82"/>
        <v>0</v>
      </c>
      <c r="P516" s="20">
        <f t="shared" ref="P516:P579" si="83">IFERROR(K516/G516,"")</f>
        <v>0</v>
      </c>
      <c r="Q516" s="23">
        <f t="shared" si="77"/>
        <v>260</v>
      </c>
      <c r="R516" s="20">
        <f t="shared" si="78"/>
        <v>260</v>
      </c>
      <c r="S516" s="20">
        <f t="shared" si="78"/>
        <v>260</v>
      </c>
      <c r="T516" s="18">
        <f t="shared" si="75"/>
        <v>2080</v>
      </c>
      <c r="U516" s="24"/>
      <c r="V516" s="25"/>
    </row>
    <row r="517" spans="1:22" ht="24" customHeight="1">
      <c r="A517" s="26"/>
      <c r="B517" s="15"/>
      <c r="C517" s="16"/>
      <c r="D517" s="16">
        <v>514</v>
      </c>
      <c r="E517" s="16" t="s">
        <v>513</v>
      </c>
      <c r="F517" s="17" t="s">
        <v>24</v>
      </c>
      <c r="G517" s="18">
        <v>1</v>
      </c>
      <c r="H517" s="19">
        <v>4</v>
      </c>
      <c r="I517" s="19"/>
      <c r="J517" s="19">
        <v>650</v>
      </c>
      <c r="K517" s="19"/>
      <c r="L517" s="20">
        <f t="shared" si="79"/>
        <v>4</v>
      </c>
      <c r="M517" s="21">
        <f t="shared" si="80"/>
        <v>4</v>
      </c>
      <c r="N517" s="22">
        <f t="shared" si="81"/>
        <v>4</v>
      </c>
      <c r="O517" s="22">
        <f t="shared" si="82"/>
        <v>0</v>
      </c>
      <c r="P517" s="20">
        <f t="shared" si="83"/>
        <v>0</v>
      </c>
      <c r="Q517" s="23">
        <f t="shared" si="77"/>
        <v>650</v>
      </c>
      <c r="R517" s="20">
        <f t="shared" si="78"/>
        <v>650</v>
      </c>
      <c r="S517" s="20">
        <f t="shared" si="78"/>
        <v>650</v>
      </c>
      <c r="T517" s="18">
        <f t="shared" ref="T517:T580" si="84">IFERROR(S517*I517+R517*H517,"")</f>
        <v>2600</v>
      </c>
      <c r="U517" s="24"/>
      <c r="V517" s="25"/>
    </row>
    <row r="518" spans="1:22" ht="24" customHeight="1">
      <c r="A518" s="26"/>
      <c r="B518" s="15"/>
      <c r="C518" s="16"/>
      <c r="D518" s="16">
        <v>515</v>
      </c>
      <c r="E518" s="16" t="s">
        <v>514</v>
      </c>
      <c r="F518" s="17" t="s">
        <v>24</v>
      </c>
      <c r="G518" s="18">
        <v>1</v>
      </c>
      <c r="H518" s="19">
        <v>2</v>
      </c>
      <c r="I518" s="19"/>
      <c r="J518" s="19">
        <v>350</v>
      </c>
      <c r="K518" s="19"/>
      <c r="L518" s="20">
        <f t="shared" si="79"/>
        <v>2</v>
      </c>
      <c r="M518" s="21">
        <f t="shared" si="80"/>
        <v>2</v>
      </c>
      <c r="N518" s="22">
        <f t="shared" si="81"/>
        <v>2</v>
      </c>
      <c r="O518" s="22">
        <f t="shared" si="82"/>
        <v>0</v>
      </c>
      <c r="P518" s="20">
        <f t="shared" si="83"/>
        <v>0</v>
      </c>
      <c r="Q518" s="23">
        <f t="shared" si="77"/>
        <v>350</v>
      </c>
      <c r="R518" s="20">
        <f t="shared" si="78"/>
        <v>350</v>
      </c>
      <c r="S518" s="20">
        <f t="shared" si="78"/>
        <v>350</v>
      </c>
      <c r="T518" s="18">
        <f t="shared" si="84"/>
        <v>700</v>
      </c>
      <c r="U518" s="24"/>
      <c r="V518" s="25"/>
    </row>
    <row r="519" spans="1:22" ht="24" customHeight="1">
      <c r="A519" s="26"/>
      <c r="B519" s="15"/>
      <c r="C519" s="16"/>
      <c r="D519" s="16">
        <v>516</v>
      </c>
      <c r="E519" s="16" t="s">
        <v>515</v>
      </c>
      <c r="F519" s="17" t="s">
        <v>24</v>
      </c>
      <c r="G519" s="18">
        <v>1</v>
      </c>
      <c r="H519" s="19">
        <v>4</v>
      </c>
      <c r="I519" s="19"/>
      <c r="J519" s="19">
        <v>1200</v>
      </c>
      <c r="K519" s="19"/>
      <c r="L519" s="20">
        <f t="shared" si="79"/>
        <v>4</v>
      </c>
      <c r="M519" s="21">
        <f t="shared" si="80"/>
        <v>4</v>
      </c>
      <c r="N519" s="22">
        <f t="shared" si="81"/>
        <v>4</v>
      </c>
      <c r="O519" s="22">
        <f t="shared" si="82"/>
        <v>0</v>
      </c>
      <c r="P519" s="20">
        <f t="shared" si="83"/>
        <v>0</v>
      </c>
      <c r="Q519" s="23">
        <f t="shared" si="77"/>
        <v>1200</v>
      </c>
      <c r="R519" s="20">
        <f t="shared" si="78"/>
        <v>1200</v>
      </c>
      <c r="S519" s="20">
        <f t="shared" si="78"/>
        <v>1200</v>
      </c>
      <c r="T519" s="18">
        <f t="shared" si="84"/>
        <v>4800</v>
      </c>
      <c r="U519" s="24"/>
      <c r="V519" s="25"/>
    </row>
    <row r="520" spans="1:22" ht="24" customHeight="1">
      <c r="A520" s="26"/>
      <c r="B520" s="15"/>
      <c r="C520" s="16"/>
      <c r="D520" s="16">
        <v>517</v>
      </c>
      <c r="E520" s="16" t="s">
        <v>516</v>
      </c>
      <c r="F520" s="17" t="s">
        <v>24</v>
      </c>
      <c r="G520" s="18">
        <v>1</v>
      </c>
      <c r="H520" s="19">
        <v>1</v>
      </c>
      <c r="I520" s="19"/>
      <c r="J520" s="19">
        <v>500</v>
      </c>
      <c r="K520" s="19"/>
      <c r="L520" s="20">
        <f t="shared" si="79"/>
        <v>1</v>
      </c>
      <c r="M520" s="21">
        <f t="shared" si="80"/>
        <v>1</v>
      </c>
      <c r="N520" s="22">
        <f t="shared" si="81"/>
        <v>1</v>
      </c>
      <c r="O520" s="22">
        <f t="shared" si="82"/>
        <v>0</v>
      </c>
      <c r="P520" s="20">
        <f t="shared" si="83"/>
        <v>0</v>
      </c>
      <c r="Q520" s="23">
        <f t="shared" si="77"/>
        <v>500</v>
      </c>
      <c r="R520" s="20">
        <f t="shared" si="78"/>
        <v>500</v>
      </c>
      <c r="S520" s="20">
        <f t="shared" si="78"/>
        <v>500</v>
      </c>
      <c r="T520" s="18">
        <f t="shared" si="84"/>
        <v>500</v>
      </c>
      <c r="U520" s="24"/>
      <c r="V520" s="25"/>
    </row>
    <row r="521" spans="1:22" ht="24" customHeight="1">
      <c r="A521" s="26"/>
      <c r="B521" s="15"/>
      <c r="C521" s="16"/>
      <c r="D521" s="16">
        <v>518</v>
      </c>
      <c r="E521" s="46" t="s">
        <v>517</v>
      </c>
      <c r="F521" s="17" t="s">
        <v>24</v>
      </c>
      <c r="G521" s="18">
        <v>1</v>
      </c>
      <c r="H521" s="19">
        <v>3</v>
      </c>
      <c r="I521" s="19"/>
      <c r="J521" s="19">
        <v>420</v>
      </c>
      <c r="K521" s="19"/>
      <c r="L521" s="20">
        <f t="shared" si="79"/>
        <v>3</v>
      </c>
      <c r="M521" s="21">
        <f t="shared" si="80"/>
        <v>3</v>
      </c>
      <c r="N521" s="22">
        <f t="shared" si="81"/>
        <v>3</v>
      </c>
      <c r="O521" s="22">
        <f t="shared" si="82"/>
        <v>0</v>
      </c>
      <c r="P521" s="20">
        <f t="shared" si="83"/>
        <v>0</v>
      </c>
      <c r="Q521" s="23">
        <f t="shared" si="77"/>
        <v>420</v>
      </c>
      <c r="R521" s="20">
        <f t="shared" si="78"/>
        <v>420</v>
      </c>
      <c r="S521" s="20">
        <f t="shared" si="78"/>
        <v>420</v>
      </c>
      <c r="T521" s="18">
        <f t="shared" si="84"/>
        <v>1260</v>
      </c>
      <c r="U521" s="24" t="s">
        <v>152</v>
      </c>
      <c r="V521" s="25"/>
    </row>
    <row r="522" spans="1:22" ht="24" customHeight="1">
      <c r="A522" s="26"/>
      <c r="B522" s="15"/>
      <c r="C522" s="16"/>
      <c r="D522" s="16">
        <v>519</v>
      </c>
      <c r="E522" s="46" t="s">
        <v>518</v>
      </c>
      <c r="F522" s="17" t="s">
        <v>24</v>
      </c>
      <c r="G522" s="18">
        <v>1</v>
      </c>
      <c r="H522" s="19">
        <v>4</v>
      </c>
      <c r="I522" s="19"/>
      <c r="J522" s="19">
        <v>317</v>
      </c>
      <c r="K522" s="19"/>
      <c r="L522" s="20">
        <f t="shared" si="79"/>
        <v>4</v>
      </c>
      <c r="M522" s="21">
        <f t="shared" si="80"/>
        <v>4</v>
      </c>
      <c r="N522" s="22">
        <f t="shared" si="81"/>
        <v>4</v>
      </c>
      <c r="O522" s="22">
        <f t="shared" si="82"/>
        <v>0</v>
      </c>
      <c r="P522" s="20">
        <f t="shared" si="83"/>
        <v>0</v>
      </c>
      <c r="Q522" s="23">
        <f t="shared" si="77"/>
        <v>317</v>
      </c>
      <c r="R522" s="20">
        <f t="shared" si="78"/>
        <v>317</v>
      </c>
      <c r="S522" s="20">
        <f t="shared" si="78"/>
        <v>317</v>
      </c>
      <c r="T522" s="18">
        <f t="shared" si="84"/>
        <v>1268</v>
      </c>
      <c r="U522" s="24" t="s">
        <v>152</v>
      </c>
      <c r="V522" s="25"/>
    </row>
    <row r="523" spans="1:22" ht="24" customHeight="1">
      <c r="A523" s="26"/>
      <c r="B523" s="15"/>
      <c r="C523" s="16"/>
      <c r="D523" s="16">
        <v>520</v>
      </c>
      <c r="E523" s="46" t="s">
        <v>519</v>
      </c>
      <c r="F523" s="17" t="s">
        <v>24</v>
      </c>
      <c r="G523" s="18">
        <v>1</v>
      </c>
      <c r="H523" s="19">
        <v>1</v>
      </c>
      <c r="I523" s="19"/>
      <c r="J523" s="19">
        <v>420</v>
      </c>
      <c r="K523" s="19"/>
      <c r="L523" s="20">
        <f t="shared" si="79"/>
        <v>1</v>
      </c>
      <c r="M523" s="21">
        <f t="shared" si="80"/>
        <v>1</v>
      </c>
      <c r="N523" s="22">
        <f t="shared" si="81"/>
        <v>1</v>
      </c>
      <c r="O523" s="22">
        <f t="shared" si="82"/>
        <v>0</v>
      </c>
      <c r="P523" s="20">
        <f t="shared" si="83"/>
        <v>0</v>
      </c>
      <c r="Q523" s="23">
        <f t="shared" si="77"/>
        <v>420</v>
      </c>
      <c r="R523" s="20">
        <f t="shared" si="78"/>
        <v>420</v>
      </c>
      <c r="S523" s="20">
        <f t="shared" si="78"/>
        <v>420</v>
      </c>
      <c r="T523" s="18">
        <f t="shared" si="84"/>
        <v>420</v>
      </c>
      <c r="U523" s="24" t="s">
        <v>152</v>
      </c>
      <c r="V523" s="25"/>
    </row>
    <row r="524" spans="1:22" ht="24" customHeight="1">
      <c r="A524" s="26"/>
      <c r="B524" s="15"/>
      <c r="C524" s="16"/>
      <c r="D524" s="16">
        <v>521</v>
      </c>
      <c r="E524" s="16" t="s">
        <v>520</v>
      </c>
      <c r="F524" s="17" t="s">
        <v>24</v>
      </c>
      <c r="G524" s="18">
        <v>1</v>
      </c>
      <c r="H524" s="19">
        <v>2</v>
      </c>
      <c r="I524" s="19"/>
      <c r="J524" s="19">
        <v>3200</v>
      </c>
      <c r="K524" s="19"/>
      <c r="L524" s="20">
        <f t="shared" si="79"/>
        <v>2</v>
      </c>
      <c r="M524" s="21">
        <f t="shared" si="80"/>
        <v>2</v>
      </c>
      <c r="N524" s="22">
        <f t="shared" si="81"/>
        <v>2</v>
      </c>
      <c r="O524" s="22">
        <f t="shared" si="82"/>
        <v>0</v>
      </c>
      <c r="P524" s="20">
        <f t="shared" si="83"/>
        <v>0</v>
      </c>
      <c r="Q524" s="23">
        <f t="shared" si="77"/>
        <v>3200</v>
      </c>
      <c r="R524" s="20">
        <f t="shared" si="78"/>
        <v>3200</v>
      </c>
      <c r="S524" s="20">
        <f t="shared" si="78"/>
        <v>3200</v>
      </c>
      <c r="T524" s="18">
        <f t="shared" si="84"/>
        <v>6400</v>
      </c>
      <c r="U524" s="24"/>
      <c r="V524" s="25"/>
    </row>
    <row r="525" spans="1:22" ht="24" customHeight="1">
      <c r="A525" s="26"/>
      <c r="B525" s="15"/>
      <c r="C525" s="16"/>
      <c r="D525" s="16">
        <v>522</v>
      </c>
      <c r="E525" s="16" t="s">
        <v>521</v>
      </c>
      <c r="F525" s="17" t="s">
        <v>24</v>
      </c>
      <c r="G525" s="18">
        <v>1</v>
      </c>
      <c r="H525" s="19">
        <v>1</v>
      </c>
      <c r="I525" s="19"/>
      <c r="J525" s="19">
        <v>2300</v>
      </c>
      <c r="K525" s="19"/>
      <c r="L525" s="20">
        <f t="shared" si="79"/>
        <v>1</v>
      </c>
      <c r="M525" s="21">
        <f t="shared" si="80"/>
        <v>1</v>
      </c>
      <c r="N525" s="22">
        <f t="shared" si="81"/>
        <v>1</v>
      </c>
      <c r="O525" s="22">
        <f t="shared" si="82"/>
        <v>0</v>
      </c>
      <c r="P525" s="20">
        <f t="shared" si="83"/>
        <v>0</v>
      </c>
      <c r="Q525" s="23">
        <f t="shared" si="77"/>
        <v>2300</v>
      </c>
      <c r="R525" s="20">
        <f t="shared" si="78"/>
        <v>2300</v>
      </c>
      <c r="S525" s="20">
        <f t="shared" si="78"/>
        <v>2300</v>
      </c>
      <c r="T525" s="18">
        <f t="shared" si="84"/>
        <v>2300</v>
      </c>
      <c r="U525" s="24"/>
      <c r="V525" s="25"/>
    </row>
    <row r="526" spans="1:22" ht="24" customHeight="1">
      <c r="A526" s="26"/>
      <c r="B526" s="15"/>
      <c r="C526" s="16"/>
      <c r="D526" s="16">
        <v>523</v>
      </c>
      <c r="E526" s="16" t="s">
        <v>522</v>
      </c>
      <c r="F526" s="17" t="s">
        <v>24</v>
      </c>
      <c r="G526" s="18">
        <v>1</v>
      </c>
      <c r="H526" s="19">
        <v>1</v>
      </c>
      <c r="I526" s="19"/>
      <c r="J526" s="19">
        <v>2350</v>
      </c>
      <c r="K526" s="19"/>
      <c r="L526" s="20">
        <f t="shared" si="79"/>
        <v>1</v>
      </c>
      <c r="M526" s="21">
        <f t="shared" si="80"/>
        <v>1</v>
      </c>
      <c r="N526" s="22">
        <f t="shared" si="81"/>
        <v>1</v>
      </c>
      <c r="O526" s="22">
        <f t="shared" si="82"/>
        <v>0</v>
      </c>
      <c r="P526" s="20">
        <f t="shared" si="83"/>
        <v>0</v>
      </c>
      <c r="Q526" s="23">
        <f t="shared" si="77"/>
        <v>2350</v>
      </c>
      <c r="R526" s="20">
        <f t="shared" si="78"/>
        <v>2350</v>
      </c>
      <c r="S526" s="20">
        <f t="shared" si="78"/>
        <v>2350</v>
      </c>
      <c r="T526" s="18">
        <f t="shared" si="84"/>
        <v>2350</v>
      </c>
      <c r="U526" s="24"/>
      <c r="V526" s="25"/>
    </row>
    <row r="527" spans="1:22" ht="24" customHeight="1">
      <c r="A527" s="26"/>
      <c r="B527" s="15"/>
      <c r="C527" s="16"/>
      <c r="D527" s="16">
        <v>524</v>
      </c>
      <c r="E527" s="16" t="s">
        <v>523</v>
      </c>
      <c r="F527" s="17" t="s">
        <v>24</v>
      </c>
      <c r="G527" s="18">
        <v>1</v>
      </c>
      <c r="H527" s="19">
        <v>1</v>
      </c>
      <c r="I527" s="19"/>
      <c r="J527" s="19">
        <v>2400</v>
      </c>
      <c r="K527" s="19"/>
      <c r="L527" s="20">
        <f t="shared" si="79"/>
        <v>1</v>
      </c>
      <c r="M527" s="21">
        <f t="shared" si="80"/>
        <v>1</v>
      </c>
      <c r="N527" s="22">
        <f t="shared" si="81"/>
        <v>1</v>
      </c>
      <c r="O527" s="22">
        <f t="shared" si="82"/>
        <v>0</v>
      </c>
      <c r="P527" s="20">
        <f t="shared" si="83"/>
        <v>0</v>
      </c>
      <c r="Q527" s="23">
        <f t="shared" si="77"/>
        <v>2400</v>
      </c>
      <c r="R527" s="20">
        <f t="shared" si="78"/>
        <v>2400</v>
      </c>
      <c r="S527" s="20">
        <f t="shared" si="78"/>
        <v>2400</v>
      </c>
      <c r="T527" s="18">
        <f t="shared" si="84"/>
        <v>2400</v>
      </c>
      <c r="U527" s="24"/>
      <c r="V527" s="25"/>
    </row>
    <row r="528" spans="1:22" ht="24" customHeight="1">
      <c r="A528" s="26"/>
      <c r="B528" s="15"/>
      <c r="C528" s="16"/>
      <c r="D528" s="16">
        <v>525</v>
      </c>
      <c r="E528" s="16" t="s">
        <v>524</v>
      </c>
      <c r="F528" s="17" t="s">
        <v>24</v>
      </c>
      <c r="G528" s="18">
        <v>1</v>
      </c>
      <c r="H528" s="19">
        <v>2</v>
      </c>
      <c r="I528" s="19"/>
      <c r="J528" s="19">
        <v>2380</v>
      </c>
      <c r="K528" s="19"/>
      <c r="L528" s="20">
        <f t="shared" si="79"/>
        <v>2</v>
      </c>
      <c r="M528" s="21">
        <f t="shared" si="80"/>
        <v>2</v>
      </c>
      <c r="N528" s="22">
        <f t="shared" si="81"/>
        <v>2</v>
      </c>
      <c r="O528" s="22">
        <f t="shared" si="82"/>
        <v>0</v>
      </c>
      <c r="P528" s="20">
        <f t="shared" si="83"/>
        <v>0</v>
      </c>
      <c r="Q528" s="23">
        <f t="shared" si="77"/>
        <v>2380</v>
      </c>
      <c r="R528" s="20">
        <f t="shared" si="78"/>
        <v>2380</v>
      </c>
      <c r="S528" s="20">
        <f t="shared" si="78"/>
        <v>2380</v>
      </c>
      <c r="T528" s="18">
        <f t="shared" si="84"/>
        <v>4760</v>
      </c>
      <c r="U528" s="24"/>
      <c r="V528" s="25"/>
    </row>
    <row r="529" spans="1:22" ht="24" customHeight="1">
      <c r="A529" s="26"/>
      <c r="B529" s="15"/>
      <c r="C529" s="16"/>
      <c r="D529" s="16">
        <v>526</v>
      </c>
      <c r="E529" s="16" t="s">
        <v>525</v>
      </c>
      <c r="F529" s="17" t="s">
        <v>24</v>
      </c>
      <c r="G529" s="18">
        <v>1</v>
      </c>
      <c r="H529" s="19">
        <v>1</v>
      </c>
      <c r="I529" s="19"/>
      <c r="J529" s="19">
        <v>2320</v>
      </c>
      <c r="K529" s="19"/>
      <c r="L529" s="20">
        <f t="shared" si="79"/>
        <v>1</v>
      </c>
      <c r="M529" s="21">
        <f t="shared" si="80"/>
        <v>1</v>
      </c>
      <c r="N529" s="22">
        <f t="shared" si="81"/>
        <v>1</v>
      </c>
      <c r="O529" s="22">
        <f t="shared" si="82"/>
        <v>0</v>
      </c>
      <c r="P529" s="20">
        <f t="shared" si="83"/>
        <v>0</v>
      </c>
      <c r="Q529" s="23">
        <f t="shared" si="77"/>
        <v>2320</v>
      </c>
      <c r="R529" s="20">
        <f t="shared" si="78"/>
        <v>2320</v>
      </c>
      <c r="S529" s="20">
        <f t="shared" si="78"/>
        <v>2320</v>
      </c>
      <c r="T529" s="18">
        <f t="shared" si="84"/>
        <v>2320</v>
      </c>
      <c r="U529" s="24"/>
      <c r="V529" s="25"/>
    </row>
    <row r="530" spans="1:22" ht="24" customHeight="1">
      <c r="A530" s="26"/>
      <c r="B530" s="15"/>
      <c r="C530" s="16"/>
      <c r="D530" s="16">
        <v>527</v>
      </c>
      <c r="E530" s="16" t="s">
        <v>526</v>
      </c>
      <c r="F530" s="17" t="s">
        <v>24</v>
      </c>
      <c r="G530" s="18">
        <v>1</v>
      </c>
      <c r="H530" s="19">
        <v>1</v>
      </c>
      <c r="I530" s="19"/>
      <c r="J530" s="19">
        <v>2500</v>
      </c>
      <c r="K530" s="19"/>
      <c r="L530" s="20">
        <f t="shared" si="79"/>
        <v>1</v>
      </c>
      <c r="M530" s="21">
        <f t="shared" si="80"/>
        <v>1</v>
      </c>
      <c r="N530" s="22">
        <f t="shared" si="81"/>
        <v>1</v>
      </c>
      <c r="O530" s="22">
        <f t="shared" si="82"/>
        <v>0</v>
      </c>
      <c r="P530" s="20">
        <f t="shared" si="83"/>
        <v>0</v>
      </c>
      <c r="Q530" s="23">
        <f t="shared" si="77"/>
        <v>2500</v>
      </c>
      <c r="R530" s="20">
        <f t="shared" si="78"/>
        <v>2500</v>
      </c>
      <c r="S530" s="20">
        <f t="shared" si="78"/>
        <v>2500</v>
      </c>
      <c r="T530" s="18">
        <f t="shared" si="84"/>
        <v>2500</v>
      </c>
      <c r="U530" s="24"/>
      <c r="V530" s="25"/>
    </row>
    <row r="531" spans="1:22" ht="24" customHeight="1">
      <c r="A531" s="26"/>
      <c r="B531" s="15"/>
      <c r="C531" s="16"/>
      <c r="D531" s="16">
        <v>528</v>
      </c>
      <c r="E531" s="16" t="s">
        <v>527</v>
      </c>
      <c r="F531" s="17" t="s">
        <v>24</v>
      </c>
      <c r="G531" s="18">
        <v>1</v>
      </c>
      <c r="H531" s="19">
        <v>1</v>
      </c>
      <c r="I531" s="19"/>
      <c r="J531" s="19">
        <v>2850</v>
      </c>
      <c r="K531" s="19"/>
      <c r="L531" s="20">
        <f t="shared" si="79"/>
        <v>1</v>
      </c>
      <c r="M531" s="21">
        <f t="shared" si="80"/>
        <v>1</v>
      </c>
      <c r="N531" s="22">
        <f t="shared" si="81"/>
        <v>1</v>
      </c>
      <c r="O531" s="22">
        <f t="shared" si="82"/>
        <v>0</v>
      </c>
      <c r="P531" s="20">
        <f t="shared" si="83"/>
        <v>0</v>
      </c>
      <c r="Q531" s="23">
        <f t="shared" si="77"/>
        <v>2850</v>
      </c>
      <c r="R531" s="20">
        <f t="shared" si="78"/>
        <v>2850</v>
      </c>
      <c r="S531" s="20">
        <f t="shared" si="78"/>
        <v>2850</v>
      </c>
      <c r="T531" s="18">
        <f t="shared" si="84"/>
        <v>2850</v>
      </c>
      <c r="U531" s="24"/>
      <c r="V531" s="25"/>
    </row>
    <row r="532" spans="1:22" ht="24" customHeight="1">
      <c r="A532" s="26"/>
      <c r="B532" s="15"/>
      <c r="C532" s="16"/>
      <c r="D532" s="16">
        <v>529</v>
      </c>
      <c r="E532" s="16" t="s">
        <v>528</v>
      </c>
      <c r="F532" s="17" t="s">
        <v>24</v>
      </c>
      <c r="G532" s="18">
        <v>1</v>
      </c>
      <c r="H532" s="19">
        <v>1</v>
      </c>
      <c r="I532" s="19"/>
      <c r="J532" s="19">
        <v>2300</v>
      </c>
      <c r="K532" s="19"/>
      <c r="L532" s="20">
        <f t="shared" si="79"/>
        <v>1</v>
      </c>
      <c r="M532" s="21">
        <f t="shared" si="80"/>
        <v>1</v>
      </c>
      <c r="N532" s="22">
        <f t="shared" si="81"/>
        <v>1</v>
      </c>
      <c r="O532" s="22">
        <f t="shared" si="82"/>
        <v>0</v>
      </c>
      <c r="P532" s="20">
        <f t="shared" si="83"/>
        <v>0</v>
      </c>
      <c r="Q532" s="23">
        <f t="shared" si="77"/>
        <v>2300</v>
      </c>
      <c r="R532" s="20">
        <f t="shared" si="78"/>
        <v>2300</v>
      </c>
      <c r="S532" s="20">
        <f t="shared" si="78"/>
        <v>2300</v>
      </c>
      <c r="T532" s="18">
        <f t="shared" si="84"/>
        <v>2300</v>
      </c>
      <c r="U532" s="24"/>
      <c r="V532" s="25"/>
    </row>
    <row r="533" spans="1:22" ht="24" customHeight="1">
      <c r="A533" s="26"/>
      <c r="B533" s="15"/>
      <c r="C533" s="16"/>
      <c r="D533" s="16">
        <v>530</v>
      </c>
      <c r="E533" s="16" t="s">
        <v>529</v>
      </c>
      <c r="F533" s="17" t="s">
        <v>24</v>
      </c>
      <c r="G533" s="18">
        <v>1</v>
      </c>
      <c r="H533" s="19">
        <v>1</v>
      </c>
      <c r="I533" s="19"/>
      <c r="J533" s="19">
        <v>2000</v>
      </c>
      <c r="K533" s="19"/>
      <c r="L533" s="20">
        <f t="shared" si="79"/>
        <v>1</v>
      </c>
      <c r="M533" s="21">
        <f t="shared" si="80"/>
        <v>1</v>
      </c>
      <c r="N533" s="22">
        <f t="shared" si="81"/>
        <v>1</v>
      </c>
      <c r="O533" s="22">
        <f t="shared" si="82"/>
        <v>0</v>
      </c>
      <c r="P533" s="20">
        <f t="shared" si="83"/>
        <v>0</v>
      </c>
      <c r="Q533" s="23">
        <f t="shared" si="77"/>
        <v>2000</v>
      </c>
      <c r="R533" s="20">
        <f t="shared" si="78"/>
        <v>2000</v>
      </c>
      <c r="S533" s="20">
        <f t="shared" si="78"/>
        <v>2000</v>
      </c>
      <c r="T533" s="18">
        <f t="shared" si="84"/>
        <v>2000</v>
      </c>
      <c r="U533" s="24"/>
      <c r="V533" s="25"/>
    </row>
    <row r="534" spans="1:22" ht="24" customHeight="1">
      <c r="A534" s="26"/>
      <c r="B534" s="15"/>
      <c r="C534" s="16"/>
      <c r="D534" s="16">
        <v>531</v>
      </c>
      <c r="E534" s="16" t="s">
        <v>530</v>
      </c>
      <c r="F534" s="17" t="s">
        <v>24</v>
      </c>
      <c r="G534" s="18">
        <v>1</v>
      </c>
      <c r="H534" s="19">
        <v>13</v>
      </c>
      <c r="I534" s="19"/>
      <c r="J534" s="19">
        <v>250</v>
      </c>
      <c r="K534" s="19"/>
      <c r="L534" s="20">
        <f t="shared" si="79"/>
        <v>13</v>
      </c>
      <c r="M534" s="21">
        <f t="shared" si="80"/>
        <v>13</v>
      </c>
      <c r="N534" s="22">
        <f t="shared" si="81"/>
        <v>13</v>
      </c>
      <c r="O534" s="22">
        <f t="shared" si="82"/>
        <v>0</v>
      </c>
      <c r="P534" s="20">
        <f t="shared" si="83"/>
        <v>0</v>
      </c>
      <c r="Q534" s="23">
        <f t="shared" si="77"/>
        <v>250</v>
      </c>
      <c r="R534" s="20">
        <f t="shared" si="78"/>
        <v>250</v>
      </c>
      <c r="S534" s="20">
        <f t="shared" si="78"/>
        <v>250</v>
      </c>
      <c r="T534" s="18">
        <f t="shared" si="84"/>
        <v>3250</v>
      </c>
      <c r="U534" s="24"/>
      <c r="V534" s="25"/>
    </row>
    <row r="535" spans="1:22" ht="24" customHeight="1">
      <c r="A535" s="26"/>
      <c r="B535" s="15"/>
      <c r="C535" s="16"/>
      <c r="D535" s="16">
        <v>532</v>
      </c>
      <c r="E535" s="16" t="s">
        <v>531</v>
      </c>
      <c r="F535" s="17" t="s">
        <v>24</v>
      </c>
      <c r="G535" s="18">
        <v>1</v>
      </c>
      <c r="H535" s="19">
        <v>5</v>
      </c>
      <c r="I535" s="19"/>
      <c r="J535" s="19">
        <v>500</v>
      </c>
      <c r="K535" s="19"/>
      <c r="L535" s="20">
        <f t="shared" si="79"/>
        <v>5</v>
      </c>
      <c r="M535" s="21">
        <f t="shared" si="80"/>
        <v>5</v>
      </c>
      <c r="N535" s="22">
        <f t="shared" si="81"/>
        <v>5</v>
      </c>
      <c r="O535" s="22">
        <f t="shared" si="82"/>
        <v>0</v>
      </c>
      <c r="P535" s="20">
        <f t="shared" si="83"/>
        <v>0</v>
      </c>
      <c r="Q535" s="23">
        <f t="shared" si="77"/>
        <v>500</v>
      </c>
      <c r="R535" s="20">
        <f t="shared" si="78"/>
        <v>500</v>
      </c>
      <c r="S535" s="20">
        <f t="shared" si="78"/>
        <v>500</v>
      </c>
      <c r="T535" s="18">
        <f t="shared" si="84"/>
        <v>2500</v>
      </c>
      <c r="U535" s="24"/>
      <c r="V535" s="25"/>
    </row>
    <row r="536" spans="1:22" ht="24" customHeight="1">
      <c r="A536" s="26"/>
      <c r="B536" s="15"/>
      <c r="C536" s="16"/>
      <c r="D536" s="16">
        <v>533</v>
      </c>
      <c r="E536" s="3" t="s">
        <v>532</v>
      </c>
      <c r="F536" s="17" t="s">
        <v>24</v>
      </c>
      <c r="G536" s="18">
        <v>1</v>
      </c>
      <c r="H536" s="19">
        <v>1</v>
      </c>
      <c r="I536" s="19"/>
      <c r="J536" s="19">
        <v>400</v>
      </c>
      <c r="K536" s="19"/>
      <c r="L536" s="20">
        <f t="shared" si="79"/>
        <v>1</v>
      </c>
      <c r="M536" s="21">
        <f t="shared" si="80"/>
        <v>1</v>
      </c>
      <c r="N536" s="22">
        <f t="shared" si="81"/>
        <v>1</v>
      </c>
      <c r="O536" s="22">
        <f t="shared" si="82"/>
        <v>0</v>
      </c>
      <c r="P536" s="20">
        <f t="shared" si="83"/>
        <v>0</v>
      </c>
      <c r="Q536" s="23">
        <f t="shared" si="77"/>
        <v>400</v>
      </c>
      <c r="R536" s="20">
        <f t="shared" si="78"/>
        <v>400</v>
      </c>
      <c r="S536" s="20">
        <f t="shared" si="78"/>
        <v>400</v>
      </c>
      <c r="T536" s="18">
        <f t="shared" si="84"/>
        <v>400</v>
      </c>
      <c r="U536" s="24"/>
      <c r="V536" s="25"/>
    </row>
    <row r="537" spans="1:22" ht="24" customHeight="1">
      <c r="A537" s="26"/>
      <c r="B537" s="15"/>
      <c r="C537" s="16"/>
      <c r="D537" s="16">
        <v>534</v>
      </c>
      <c r="E537" s="16" t="s">
        <v>533</v>
      </c>
      <c r="F537" s="17" t="s">
        <v>24</v>
      </c>
      <c r="G537" s="18">
        <v>1</v>
      </c>
      <c r="H537" s="19">
        <v>1</v>
      </c>
      <c r="I537" s="19"/>
      <c r="J537" s="19">
        <v>700</v>
      </c>
      <c r="K537" s="19"/>
      <c r="L537" s="20">
        <f t="shared" si="79"/>
        <v>1</v>
      </c>
      <c r="M537" s="21">
        <f t="shared" si="80"/>
        <v>1</v>
      </c>
      <c r="N537" s="22">
        <f t="shared" si="81"/>
        <v>1</v>
      </c>
      <c r="O537" s="22">
        <f t="shared" si="82"/>
        <v>0</v>
      </c>
      <c r="P537" s="20">
        <f t="shared" si="83"/>
        <v>0</v>
      </c>
      <c r="Q537" s="23">
        <f t="shared" si="77"/>
        <v>700</v>
      </c>
      <c r="R537" s="20">
        <f t="shared" si="78"/>
        <v>700</v>
      </c>
      <c r="S537" s="20">
        <f t="shared" si="78"/>
        <v>700</v>
      </c>
      <c r="T537" s="18">
        <f t="shared" si="84"/>
        <v>700</v>
      </c>
      <c r="U537" s="24"/>
      <c r="V537" s="25"/>
    </row>
    <row r="538" spans="1:22" ht="24" customHeight="1">
      <c r="A538" s="26"/>
      <c r="B538" s="15"/>
      <c r="C538" s="16"/>
      <c r="D538" s="16">
        <v>535</v>
      </c>
      <c r="E538" s="16" t="s">
        <v>534</v>
      </c>
      <c r="F538" s="17" t="s">
        <v>24</v>
      </c>
      <c r="G538" s="18">
        <v>1</v>
      </c>
      <c r="H538" s="19">
        <v>1</v>
      </c>
      <c r="I538" s="19"/>
      <c r="J538" s="19">
        <v>450</v>
      </c>
      <c r="K538" s="19"/>
      <c r="L538" s="20">
        <f t="shared" si="79"/>
        <v>1</v>
      </c>
      <c r="M538" s="21">
        <f t="shared" si="80"/>
        <v>1</v>
      </c>
      <c r="N538" s="22">
        <f t="shared" si="81"/>
        <v>1</v>
      </c>
      <c r="O538" s="22">
        <f t="shared" si="82"/>
        <v>0</v>
      </c>
      <c r="P538" s="20">
        <f t="shared" si="83"/>
        <v>0</v>
      </c>
      <c r="Q538" s="23">
        <f t="shared" si="77"/>
        <v>450</v>
      </c>
      <c r="R538" s="20">
        <f t="shared" si="78"/>
        <v>450</v>
      </c>
      <c r="S538" s="20">
        <f t="shared" si="78"/>
        <v>450</v>
      </c>
      <c r="T538" s="18">
        <f t="shared" si="84"/>
        <v>450</v>
      </c>
      <c r="U538" s="24"/>
      <c r="V538" s="25"/>
    </row>
    <row r="539" spans="1:22" ht="24" customHeight="1">
      <c r="A539" s="26"/>
      <c r="B539" s="15"/>
      <c r="C539" s="16"/>
      <c r="D539" s="16">
        <v>536</v>
      </c>
      <c r="E539" s="16" t="s">
        <v>535</v>
      </c>
      <c r="F539" s="17" t="s">
        <v>24</v>
      </c>
      <c r="G539" s="18">
        <v>1</v>
      </c>
      <c r="H539" s="19">
        <v>1</v>
      </c>
      <c r="I539" s="19"/>
      <c r="J539" s="19">
        <v>450</v>
      </c>
      <c r="K539" s="19"/>
      <c r="L539" s="20">
        <f t="shared" si="79"/>
        <v>1</v>
      </c>
      <c r="M539" s="21">
        <f t="shared" si="80"/>
        <v>1</v>
      </c>
      <c r="N539" s="22">
        <f t="shared" si="81"/>
        <v>1</v>
      </c>
      <c r="O539" s="22">
        <f t="shared" si="82"/>
        <v>0</v>
      </c>
      <c r="P539" s="20">
        <f t="shared" si="83"/>
        <v>0</v>
      </c>
      <c r="Q539" s="23">
        <f t="shared" si="77"/>
        <v>450</v>
      </c>
      <c r="R539" s="20">
        <f t="shared" si="78"/>
        <v>450</v>
      </c>
      <c r="S539" s="20">
        <f t="shared" si="78"/>
        <v>450</v>
      </c>
      <c r="T539" s="18">
        <f t="shared" si="84"/>
        <v>450</v>
      </c>
      <c r="U539" s="24"/>
      <c r="V539" s="25"/>
    </row>
    <row r="540" spans="1:22" ht="24" customHeight="1">
      <c r="A540" s="26"/>
      <c r="B540" s="15"/>
      <c r="C540" s="15"/>
      <c r="D540" s="16">
        <v>537</v>
      </c>
      <c r="E540" s="16" t="s">
        <v>536</v>
      </c>
      <c r="F540" s="16" t="s">
        <v>24</v>
      </c>
      <c r="G540" s="17">
        <v>1</v>
      </c>
      <c r="H540" s="18">
        <v>4</v>
      </c>
      <c r="I540" s="19"/>
      <c r="J540" s="19">
        <v>250</v>
      </c>
      <c r="K540" s="19"/>
      <c r="L540" s="19">
        <f t="shared" si="79"/>
        <v>4</v>
      </c>
      <c r="M540" s="21">
        <f t="shared" si="80"/>
        <v>4</v>
      </c>
      <c r="N540" s="22">
        <f t="shared" si="81"/>
        <v>4</v>
      </c>
      <c r="O540" s="22">
        <f t="shared" si="82"/>
        <v>0</v>
      </c>
      <c r="P540" s="20">
        <f t="shared" si="83"/>
        <v>0</v>
      </c>
      <c r="Q540" s="23">
        <f t="shared" si="77"/>
        <v>250</v>
      </c>
      <c r="R540" s="20">
        <f t="shared" si="78"/>
        <v>250</v>
      </c>
      <c r="S540" s="20">
        <f t="shared" si="78"/>
        <v>250</v>
      </c>
      <c r="T540" s="18">
        <f t="shared" si="84"/>
        <v>1000</v>
      </c>
      <c r="U540" s="18"/>
      <c r="V540" s="25"/>
    </row>
    <row r="541" spans="1:22" ht="24" customHeight="1">
      <c r="A541" s="26"/>
      <c r="B541" s="15"/>
      <c r="C541" s="15"/>
      <c r="D541" s="16">
        <v>538</v>
      </c>
      <c r="E541" s="16" t="s">
        <v>537</v>
      </c>
      <c r="F541" s="16" t="s">
        <v>24</v>
      </c>
      <c r="G541" s="17">
        <v>1</v>
      </c>
      <c r="H541" s="18">
        <v>7</v>
      </c>
      <c r="I541" s="19"/>
      <c r="J541" s="19">
        <v>350</v>
      </c>
      <c r="K541" s="19"/>
      <c r="L541" s="19">
        <f t="shared" si="79"/>
        <v>7</v>
      </c>
      <c r="M541" s="21">
        <f t="shared" si="80"/>
        <v>7</v>
      </c>
      <c r="N541" s="22">
        <f t="shared" si="81"/>
        <v>7</v>
      </c>
      <c r="O541" s="22">
        <f t="shared" si="82"/>
        <v>0</v>
      </c>
      <c r="P541" s="20">
        <f t="shared" si="83"/>
        <v>0</v>
      </c>
      <c r="Q541" s="23">
        <f t="shared" ref="Q541:Q604" si="85">IFERROR(J541*G541,"")</f>
        <v>350</v>
      </c>
      <c r="R541" s="20">
        <f t="shared" si="78"/>
        <v>350</v>
      </c>
      <c r="S541" s="20">
        <f t="shared" si="78"/>
        <v>350</v>
      </c>
      <c r="T541" s="18">
        <f t="shared" si="84"/>
        <v>2450</v>
      </c>
      <c r="U541" s="18"/>
      <c r="V541" s="25"/>
    </row>
    <row r="542" spans="1:22" ht="24" customHeight="1">
      <c r="A542" s="26"/>
      <c r="B542" s="15"/>
      <c r="C542" s="15"/>
      <c r="D542" s="16">
        <v>539</v>
      </c>
      <c r="E542" s="16" t="s">
        <v>538</v>
      </c>
      <c r="F542" s="16" t="s">
        <v>24</v>
      </c>
      <c r="G542" s="17">
        <v>1</v>
      </c>
      <c r="H542" s="18">
        <v>1</v>
      </c>
      <c r="I542" s="19"/>
      <c r="J542" s="19">
        <v>450</v>
      </c>
      <c r="K542" s="19"/>
      <c r="L542" s="19">
        <f t="shared" si="79"/>
        <v>1</v>
      </c>
      <c r="M542" s="21">
        <f t="shared" si="80"/>
        <v>1</v>
      </c>
      <c r="N542" s="22">
        <f t="shared" si="81"/>
        <v>1</v>
      </c>
      <c r="O542" s="22">
        <f t="shared" si="82"/>
        <v>0</v>
      </c>
      <c r="P542" s="20">
        <f t="shared" si="83"/>
        <v>0</v>
      </c>
      <c r="Q542" s="23">
        <f t="shared" si="85"/>
        <v>450</v>
      </c>
      <c r="R542" s="20">
        <f t="shared" si="78"/>
        <v>450</v>
      </c>
      <c r="S542" s="20">
        <f t="shared" si="78"/>
        <v>450</v>
      </c>
      <c r="T542" s="18">
        <f t="shared" si="84"/>
        <v>450</v>
      </c>
      <c r="U542" s="18"/>
      <c r="V542" s="25"/>
    </row>
    <row r="543" spans="1:22" ht="24" customHeight="1">
      <c r="A543" s="26"/>
      <c r="B543" s="15"/>
      <c r="C543" s="15"/>
      <c r="D543" s="16">
        <v>540</v>
      </c>
      <c r="E543" s="16" t="s">
        <v>539</v>
      </c>
      <c r="F543" s="16" t="s">
        <v>24</v>
      </c>
      <c r="G543" s="17">
        <v>1</v>
      </c>
      <c r="H543" s="18">
        <v>1</v>
      </c>
      <c r="I543" s="19"/>
      <c r="J543" s="19">
        <v>450</v>
      </c>
      <c r="K543" s="19"/>
      <c r="L543" s="19">
        <f t="shared" si="79"/>
        <v>1</v>
      </c>
      <c r="M543" s="21">
        <f t="shared" si="80"/>
        <v>1</v>
      </c>
      <c r="N543" s="22">
        <f t="shared" si="81"/>
        <v>1</v>
      </c>
      <c r="O543" s="22">
        <f t="shared" si="82"/>
        <v>0</v>
      </c>
      <c r="P543" s="20">
        <f t="shared" si="83"/>
        <v>0</v>
      </c>
      <c r="Q543" s="23">
        <f t="shared" si="85"/>
        <v>450</v>
      </c>
      <c r="R543" s="20">
        <f t="shared" si="78"/>
        <v>450</v>
      </c>
      <c r="S543" s="20">
        <f t="shared" si="78"/>
        <v>450</v>
      </c>
      <c r="T543" s="18">
        <f t="shared" si="84"/>
        <v>450</v>
      </c>
      <c r="U543" s="18"/>
      <c r="V543" s="25"/>
    </row>
    <row r="544" spans="1:22" ht="24" customHeight="1">
      <c r="A544" s="26"/>
      <c r="B544" s="15"/>
      <c r="C544" s="15"/>
      <c r="D544" s="16">
        <v>541</v>
      </c>
      <c r="E544" s="16" t="s">
        <v>540</v>
      </c>
      <c r="F544" s="16" t="s">
        <v>24</v>
      </c>
      <c r="G544" s="17">
        <v>1</v>
      </c>
      <c r="H544" s="18">
        <v>1</v>
      </c>
      <c r="I544" s="19"/>
      <c r="J544" s="19">
        <v>1850</v>
      </c>
      <c r="K544" s="19"/>
      <c r="L544" s="19">
        <f t="shared" si="79"/>
        <v>1</v>
      </c>
      <c r="M544" s="21">
        <f t="shared" si="80"/>
        <v>1</v>
      </c>
      <c r="N544" s="22">
        <f t="shared" si="81"/>
        <v>1</v>
      </c>
      <c r="O544" s="22">
        <f t="shared" si="82"/>
        <v>0</v>
      </c>
      <c r="P544" s="20">
        <f t="shared" si="83"/>
        <v>0</v>
      </c>
      <c r="Q544" s="23">
        <f t="shared" si="85"/>
        <v>1850</v>
      </c>
      <c r="R544" s="20">
        <f t="shared" si="78"/>
        <v>1850</v>
      </c>
      <c r="S544" s="20">
        <f t="shared" si="78"/>
        <v>1850</v>
      </c>
      <c r="T544" s="18">
        <f t="shared" si="84"/>
        <v>1850</v>
      </c>
      <c r="U544" s="18"/>
      <c r="V544" s="25"/>
    </row>
    <row r="545" spans="1:22" ht="24" customHeight="1">
      <c r="A545" s="26"/>
      <c r="B545" s="15"/>
      <c r="C545" s="15"/>
      <c r="D545" s="16">
        <v>542</v>
      </c>
      <c r="E545" s="16" t="s">
        <v>541</v>
      </c>
      <c r="F545" s="16" t="s">
        <v>24</v>
      </c>
      <c r="G545" s="17">
        <v>1</v>
      </c>
      <c r="H545" s="18">
        <v>5</v>
      </c>
      <c r="I545" s="19"/>
      <c r="J545" s="19">
        <v>680</v>
      </c>
      <c r="K545" s="19"/>
      <c r="L545" s="19">
        <f t="shared" si="79"/>
        <v>5</v>
      </c>
      <c r="M545" s="21">
        <f t="shared" si="80"/>
        <v>5</v>
      </c>
      <c r="N545" s="22">
        <f t="shared" si="81"/>
        <v>5</v>
      </c>
      <c r="O545" s="22">
        <f t="shared" si="82"/>
        <v>0</v>
      </c>
      <c r="P545" s="20">
        <f t="shared" si="83"/>
        <v>0</v>
      </c>
      <c r="Q545" s="23">
        <f t="shared" si="85"/>
        <v>680</v>
      </c>
      <c r="R545" s="20">
        <f t="shared" si="78"/>
        <v>680</v>
      </c>
      <c r="S545" s="20">
        <f t="shared" si="78"/>
        <v>680</v>
      </c>
      <c r="T545" s="18">
        <f t="shared" si="84"/>
        <v>3400</v>
      </c>
      <c r="U545" s="18"/>
      <c r="V545" s="25"/>
    </row>
    <row r="546" spans="1:22" ht="24" customHeight="1">
      <c r="A546" s="26"/>
      <c r="B546" s="15"/>
      <c r="C546" s="15"/>
      <c r="D546" s="16">
        <v>543</v>
      </c>
      <c r="E546" s="16" t="s">
        <v>542</v>
      </c>
      <c r="F546" s="16" t="s">
        <v>24</v>
      </c>
      <c r="G546" s="17">
        <v>1</v>
      </c>
      <c r="H546" s="18">
        <v>2</v>
      </c>
      <c r="I546" s="19"/>
      <c r="J546" s="19">
        <v>750</v>
      </c>
      <c r="K546" s="19"/>
      <c r="L546" s="19">
        <f t="shared" si="79"/>
        <v>2</v>
      </c>
      <c r="M546" s="21">
        <f t="shared" si="80"/>
        <v>2</v>
      </c>
      <c r="N546" s="22">
        <f t="shared" si="81"/>
        <v>2</v>
      </c>
      <c r="O546" s="22">
        <f t="shared" si="82"/>
        <v>0</v>
      </c>
      <c r="P546" s="20">
        <f t="shared" si="83"/>
        <v>0</v>
      </c>
      <c r="Q546" s="23">
        <f t="shared" si="85"/>
        <v>750</v>
      </c>
      <c r="R546" s="20">
        <f t="shared" si="78"/>
        <v>750</v>
      </c>
      <c r="S546" s="20">
        <f t="shared" si="78"/>
        <v>750</v>
      </c>
      <c r="T546" s="18">
        <f t="shared" si="84"/>
        <v>1500</v>
      </c>
      <c r="U546" s="18"/>
      <c r="V546" s="25"/>
    </row>
    <row r="547" spans="1:22" ht="24" customHeight="1">
      <c r="A547" s="26"/>
      <c r="B547" s="15"/>
      <c r="C547" s="15"/>
      <c r="D547" s="16">
        <v>544</v>
      </c>
      <c r="E547" s="16" t="s">
        <v>543</v>
      </c>
      <c r="F547" s="16" t="s">
        <v>24</v>
      </c>
      <c r="G547" s="17">
        <v>1</v>
      </c>
      <c r="H547" s="18">
        <v>2</v>
      </c>
      <c r="I547" s="19"/>
      <c r="J547" s="19">
        <v>750</v>
      </c>
      <c r="K547" s="19"/>
      <c r="L547" s="19">
        <f t="shared" si="79"/>
        <v>2</v>
      </c>
      <c r="M547" s="21">
        <f t="shared" si="80"/>
        <v>2</v>
      </c>
      <c r="N547" s="22">
        <f t="shared" si="81"/>
        <v>2</v>
      </c>
      <c r="O547" s="22">
        <f t="shared" si="82"/>
        <v>0</v>
      </c>
      <c r="P547" s="20">
        <f t="shared" si="83"/>
        <v>0</v>
      </c>
      <c r="Q547" s="23">
        <f t="shared" si="85"/>
        <v>750</v>
      </c>
      <c r="R547" s="20">
        <f t="shared" si="78"/>
        <v>750</v>
      </c>
      <c r="S547" s="20">
        <f t="shared" si="78"/>
        <v>750</v>
      </c>
      <c r="T547" s="18">
        <f t="shared" si="84"/>
        <v>1500</v>
      </c>
      <c r="U547" s="18"/>
      <c r="V547" s="25"/>
    </row>
    <row r="548" spans="1:22" ht="24" customHeight="1">
      <c r="A548" s="26"/>
      <c r="B548" s="15"/>
      <c r="C548" s="15"/>
      <c r="D548" s="16">
        <v>545</v>
      </c>
      <c r="E548" s="16" t="s">
        <v>544</v>
      </c>
      <c r="F548" s="16" t="s">
        <v>24</v>
      </c>
      <c r="G548" s="17">
        <v>1</v>
      </c>
      <c r="H548" s="18">
        <v>3</v>
      </c>
      <c r="I548" s="19"/>
      <c r="J548" s="19">
        <v>1800</v>
      </c>
      <c r="K548" s="19"/>
      <c r="L548" s="19">
        <f t="shared" si="79"/>
        <v>3</v>
      </c>
      <c r="M548" s="21">
        <f t="shared" si="80"/>
        <v>3</v>
      </c>
      <c r="N548" s="22">
        <f t="shared" si="81"/>
        <v>3</v>
      </c>
      <c r="O548" s="22">
        <f t="shared" si="82"/>
        <v>0</v>
      </c>
      <c r="P548" s="20">
        <f t="shared" si="83"/>
        <v>0</v>
      </c>
      <c r="Q548" s="23">
        <f t="shared" si="85"/>
        <v>1800</v>
      </c>
      <c r="R548" s="20">
        <f t="shared" si="78"/>
        <v>1800</v>
      </c>
      <c r="S548" s="20">
        <f t="shared" si="78"/>
        <v>1800</v>
      </c>
      <c r="T548" s="18">
        <f t="shared" si="84"/>
        <v>5400</v>
      </c>
      <c r="U548" s="18"/>
      <c r="V548" s="25"/>
    </row>
    <row r="549" spans="1:22" ht="24" customHeight="1">
      <c r="A549" s="26"/>
      <c r="B549" s="15"/>
      <c r="C549" s="15"/>
      <c r="D549" s="16">
        <v>546</v>
      </c>
      <c r="E549" s="16" t="s">
        <v>545</v>
      </c>
      <c r="F549" s="16" t="s">
        <v>24</v>
      </c>
      <c r="G549" s="17">
        <v>1</v>
      </c>
      <c r="H549" s="18">
        <v>3</v>
      </c>
      <c r="I549" s="19"/>
      <c r="J549" s="19">
        <v>2200</v>
      </c>
      <c r="K549" s="19"/>
      <c r="L549" s="19">
        <f t="shared" si="79"/>
        <v>3</v>
      </c>
      <c r="M549" s="21">
        <f t="shared" si="80"/>
        <v>3</v>
      </c>
      <c r="N549" s="22">
        <f t="shared" si="81"/>
        <v>3</v>
      </c>
      <c r="O549" s="22">
        <f t="shared" si="82"/>
        <v>0</v>
      </c>
      <c r="P549" s="20">
        <f t="shared" si="83"/>
        <v>0</v>
      </c>
      <c r="Q549" s="23">
        <f t="shared" si="85"/>
        <v>2200</v>
      </c>
      <c r="R549" s="20">
        <f t="shared" si="78"/>
        <v>2200</v>
      </c>
      <c r="S549" s="20">
        <f t="shared" si="78"/>
        <v>2200</v>
      </c>
      <c r="T549" s="18">
        <f t="shared" si="84"/>
        <v>6600</v>
      </c>
      <c r="U549" s="18"/>
      <c r="V549" s="25"/>
    </row>
    <row r="550" spans="1:22" ht="24" customHeight="1">
      <c r="A550" s="26"/>
      <c r="B550" s="15"/>
      <c r="C550" s="15"/>
      <c r="D550" s="16">
        <v>547</v>
      </c>
      <c r="E550" s="16" t="s">
        <v>546</v>
      </c>
      <c r="F550" s="16" t="s">
        <v>24</v>
      </c>
      <c r="G550" s="17">
        <v>1</v>
      </c>
      <c r="H550" s="18">
        <v>1</v>
      </c>
      <c r="I550" s="19"/>
      <c r="J550" s="19">
        <v>1500</v>
      </c>
      <c r="K550" s="19"/>
      <c r="L550" s="19">
        <f t="shared" si="79"/>
        <v>1</v>
      </c>
      <c r="M550" s="21">
        <f t="shared" si="80"/>
        <v>1</v>
      </c>
      <c r="N550" s="22">
        <f t="shared" si="81"/>
        <v>1</v>
      </c>
      <c r="O550" s="22">
        <f t="shared" si="82"/>
        <v>0</v>
      </c>
      <c r="P550" s="20">
        <f t="shared" si="83"/>
        <v>0</v>
      </c>
      <c r="Q550" s="23">
        <f t="shared" si="85"/>
        <v>1500</v>
      </c>
      <c r="R550" s="20">
        <f t="shared" si="78"/>
        <v>1500</v>
      </c>
      <c r="S550" s="20">
        <f t="shared" si="78"/>
        <v>1500</v>
      </c>
      <c r="T550" s="18">
        <f t="shared" si="84"/>
        <v>1500</v>
      </c>
      <c r="U550" s="18"/>
      <c r="V550" s="25"/>
    </row>
    <row r="551" spans="1:22" ht="24" customHeight="1">
      <c r="A551" s="26"/>
      <c r="B551" s="15"/>
      <c r="C551" s="15"/>
      <c r="D551" s="16">
        <v>548</v>
      </c>
      <c r="E551" s="46" t="s">
        <v>547</v>
      </c>
      <c r="F551" s="16" t="s">
        <v>24</v>
      </c>
      <c r="G551" s="17">
        <v>1</v>
      </c>
      <c r="H551" s="18">
        <v>1</v>
      </c>
      <c r="I551" s="19"/>
      <c r="J551" s="19">
        <v>2000</v>
      </c>
      <c r="K551" s="19"/>
      <c r="L551" s="19">
        <f t="shared" si="79"/>
        <v>1</v>
      </c>
      <c r="M551" s="21">
        <f t="shared" si="80"/>
        <v>1</v>
      </c>
      <c r="N551" s="22">
        <f t="shared" si="81"/>
        <v>1</v>
      </c>
      <c r="O551" s="22">
        <f t="shared" si="82"/>
        <v>0</v>
      </c>
      <c r="P551" s="20">
        <f t="shared" si="83"/>
        <v>0</v>
      </c>
      <c r="Q551" s="23">
        <f t="shared" si="85"/>
        <v>2000</v>
      </c>
      <c r="R551" s="20">
        <f t="shared" si="78"/>
        <v>2000</v>
      </c>
      <c r="S551" s="20">
        <f t="shared" si="78"/>
        <v>2000</v>
      </c>
      <c r="T551" s="18">
        <f t="shared" si="84"/>
        <v>2000</v>
      </c>
      <c r="U551" s="18" t="s">
        <v>152</v>
      </c>
      <c r="V551" s="25"/>
    </row>
    <row r="552" spans="1:22" ht="24" customHeight="1">
      <c r="A552" s="26"/>
      <c r="B552" s="15"/>
      <c r="C552" s="15"/>
      <c r="D552" s="16">
        <v>549</v>
      </c>
      <c r="E552" s="46" t="s">
        <v>548</v>
      </c>
      <c r="F552" s="16" t="s">
        <v>24</v>
      </c>
      <c r="G552" s="17">
        <v>1</v>
      </c>
      <c r="H552" s="18">
        <v>1</v>
      </c>
      <c r="I552" s="19"/>
      <c r="J552" s="19">
        <v>2000</v>
      </c>
      <c r="K552" s="19"/>
      <c r="L552" s="19">
        <f t="shared" si="79"/>
        <v>1</v>
      </c>
      <c r="M552" s="21">
        <f t="shared" si="80"/>
        <v>1</v>
      </c>
      <c r="N552" s="22">
        <f t="shared" si="81"/>
        <v>1</v>
      </c>
      <c r="O552" s="22">
        <f t="shared" si="82"/>
        <v>0</v>
      </c>
      <c r="P552" s="20">
        <f t="shared" si="83"/>
        <v>0</v>
      </c>
      <c r="Q552" s="23">
        <f t="shared" si="85"/>
        <v>2000</v>
      </c>
      <c r="R552" s="20">
        <f t="shared" si="78"/>
        <v>2000</v>
      </c>
      <c r="S552" s="20">
        <f t="shared" si="78"/>
        <v>2000</v>
      </c>
      <c r="T552" s="18">
        <f t="shared" si="84"/>
        <v>2000</v>
      </c>
      <c r="U552" s="18" t="s">
        <v>152</v>
      </c>
      <c r="V552" s="25"/>
    </row>
    <row r="553" spans="1:22" ht="24" customHeight="1">
      <c r="A553" s="26"/>
      <c r="B553" s="15"/>
      <c r="C553" s="15"/>
      <c r="D553" s="16">
        <v>550</v>
      </c>
      <c r="E553" s="16" t="s">
        <v>549</v>
      </c>
      <c r="F553" s="16" t="s">
        <v>24</v>
      </c>
      <c r="G553" s="17">
        <v>1</v>
      </c>
      <c r="H553" s="18">
        <v>1</v>
      </c>
      <c r="I553" s="19"/>
      <c r="J553" s="19">
        <v>1700</v>
      </c>
      <c r="K553" s="19"/>
      <c r="L553" s="19">
        <f t="shared" si="79"/>
        <v>1</v>
      </c>
      <c r="M553" s="21">
        <f t="shared" si="80"/>
        <v>1</v>
      </c>
      <c r="N553" s="22">
        <f t="shared" si="81"/>
        <v>1</v>
      </c>
      <c r="O553" s="22">
        <f t="shared" si="82"/>
        <v>0</v>
      </c>
      <c r="P553" s="20">
        <f t="shared" si="83"/>
        <v>0</v>
      </c>
      <c r="Q553" s="23">
        <f t="shared" si="85"/>
        <v>1700</v>
      </c>
      <c r="R553" s="20">
        <f t="shared" si="78"/>
        <v>1700</v>
      </c>
      <c r="S553" s="20">
        <f t="shared" si="78"/>
        <v>1700</v>
      </c>
      <c r="T553" s="18">
        <f t="shared" si="84"/>
        <v>1700</v>
      </c>
      <c r="U553" s="18"/>
      <c r="V553" s="25"/>
    </row>
    <row r="554" spans="1:22" ht="24" customHeight="1">
      <c r="A554" s="26"/>
      <c r="B554" s="15"/>
      <c r="C554" s="15"/>
      <c r="D554" s="16">
        <v>551</v>
      </c>
      <c r="E554" s="46" t="s">
        <v>1151</v>
      </c>
      <c r="F554" s="16" t="s">
        <v>24</v>
      </c>
      <c r="G554" s="17">
        <v>1</v>
      </c>
      <c r="H554" s="18">
        <v>1</v>
      </c>
      <c r="I554" s="19"/>
      <c r="J554" s="19">
        <v>2250</v>
      </c>
      <c r="K554" s="19"/>
      <c r="L554" s="19">
        <f t="shared" si="79"/>
        <v>1</v>
      </c>
      <c r="M554" s="21">
        <f t="shared" si="80"/>
        <v>1</v>
      </c>
      <c r="N554" s="22">
        <f t="shared" si="81"/>
        <v>1</v>
      </c>
      <c r="O554" s="22">
        <f t="shared" si="82"/>
        <v>0</v>
      </c>
      <c r="P554" s="20">
        <f t="shared" si="83"/>
        <v>0</v>
      </c>
      <c r="Q554" s="23">
        <f t="shared" si="85"/>
        <v>2250</v>
      </c>
      <c r="R554" s="20">
        <f t="shared" si="78"/>
        <v>2250</v>
      </c>
      <c r="S554" s="20">
        <f t="shared" si="78"/>
        <v>2250</v>
      </c>
      <c r="T554" s="18">
        <f t="shared" si="84"/>
        <v>2250</v>
      </c>
      <c r="U554" s="18" t="s">
        <v>152</v>
      </c>
      <c r="V554" s="25"/>
    </row>
    <row r="555" spans="1:22" ht="24" customHeight="1">
      <c r="A555" s="26"/>
      <c r="B555" s="15"/>
      <c r="C555" s="15"/>
      <c r="D555" s="16">
        <v>552</v>
      </c>
      <c r="E555" s="46" t="s">
        <v>550</v>
      </c>
      <c r="F555" s="16" t="s">
        <v>24</v>
      </c>
      <c r="G555" s="17">
        <v>1</v>
      </c>
      <c r="H555" s="18">
        <v>1</v>
      </c>
      <c r="I555" s="19"/>
      <c r="J555" s="19">
        <v>2000</v>
      </c>
      <c r="K555" s="19"/>
      <c r="L555" s="19">
        <f t="shared" si="79"/>
        <v>1</v>
      </c>
      <c r="M555" s="21">
        <f t="shared" si="80"/>
        <v>1</v>
      </c>
      <c r="N555" s="22">
        <f t="shared" si="81"/>
        <v>1</v>
      </c>
      <c r="O555" s="22">
        <f t="shared" si="82"/>
        <v>0</v>
      </c>
      <c r="P555" s="20">
        <f t="shared" si="83"/>
        <v>0</v>
      </c>
      <c r="Q555" s="23">
        <f t="shared" si="85"/>
        <v>2000</v>
      </c>
      <c r="R555" s="20">
        <f t="shared" si="78"/>
        <v>2000</v>
      </c>
      <c r="S555" s="20">
        <f t="shared" si="78"/>
        <v>2000</v>
      </c>
      <c r="T555" s="18">
        <f t="shared" si="84"/>
        <v>2000</v>
      </c>
      <c r="U555" s="18" t="s">
        <v>152</v>
      </c>
      <c r="V555" s="25"/>
    </row>
    <row r="556" spans="1:22" ht="24" customHeight="1">
      <c r="A556" s="26"/>
      <c r="B556" s="15"/>
      <c r="C556" s="15"/>
      <c r="D556" s="16">
        <v>553</v>
      </c>
      <c r="E556" s="46" t="s">
        <v>551</v>
      </c>
      <c r="F556" s="16" t="s">
        <v>24</v>
      </c>
      <c r="G556" s="17">
        <v>1</v>
      </c>
      <c r="H556" s="18">
        <v>1</v>
      </c>
      <c r="I556" s="19"/>
      <c r="J556" s="19">
        <v>3500</v>
      </c>
      <c r="K556" s="19"/>
      <c r="L556" s="19">
        <f t="shared" si="79"/>
        <v>1</v>
      </c>
      <c r="M556" s="21">
        <f t="shared" si="80"/>
        <v>1</v>
      </c>
      <c r="N556" s="22">
        <f t="shared" si="81"/>
        <v>1</v>
      </c>
      <c r="O556" s="22">
        <f t="shared" si="82"/>
        <v>0</v>
      </c>
      <c r="P556" s="20">
        <f t="shared" si="83"/>
        <v>0</v>
      </c>
      <c r="Q556" s="23">
        <f t="shared" si="85"/>
        <v>3500</v>
      </c>
      <c r="R556" s="20">
        <f t="shared" si="78"/>
        <v>3500</v>
      </c>
      <c r="S556" s="20">
        <f t="shared" si="78"/>
        <v>3500</v>
      </c>
      <c r="T556" s="18">
        <f t="shared" si="84"/>
        <v>3500</v>
      </c>
      <c r="U556" s="18" t="s">
        <v>152</v>
      </c>
      <c r="V556" s="25"/>
    </row>
    <row r="557" spans="1:22" ht="24" customHeight="1">
      <c r="A557" s="26"/>
      <c r="B557" s="15"/>
      <c r="C557" s="15"/>
      <c r="D557" s="16">
        <v>554</v>
      </c>
      <c r="E557" s="16" t="s">
        <v>1152</v>
      </c>
      <c r="F557" s="16" t="s">
        <v>24</v>
      </c>
      <c r="G557" s="17">
        <v>1</v>
      </c>
      <c r="H557" s="18">
        <v>1</v>
      </c>
      <c r="I557" s="19"/>
      <c r="J557" s="19">
        <v>3500</v>
      </c>
      <c r="K557" s="19"/>
      <c r="L557" s="19">
        <f t="shared" si="79"/>
        <v>1</v>
      </c>
      <c r="M557" s="21">
        <f t="shared" si="80"/>
        <v>1</v>
      </c>
      <c r="N557" s="22">
        <f t="shared" si="81"/>
        <v>1</v>
      </c>
      <c r="O557" s="22">
        <f t="shared" si="82"/>
        <v>0</v>
      </c>
      <c r="P557" s="20">
        <f t="shared" si="83"/>
        <v>0</v>
      </c>
      <c r="Q557" s="23">
        <f t="shared" si="85"/>
        <v>3500</v>
      </c>
      <c r="R557" s="20">
        <f t="shared" si="78"/>
        <v>3500</v>
      </c>
      <c r="S557" s="20">
        <f t="shared" si="78"/>
        <v>3500</v>
      </c>
      <c r="T557" s="18">
        <f t="shared" si="84"/>
        <v>3500</v>
      </c>
      <c r="U557" s="18"/>
      <c r="V557" s="25"/>
    </row>
    <row r="558" spans="1:22" ht="24" customHeight="1">
      <c r="A558" s="26"/>
      <c r="B558" s="15"/>
      <c r="C558" s="15"/>
      <c r="D558" s="16">
        <v>555</v>
      </c>
      <c r="E558" s="46" t="s">
        <v>552</v>
      </c>
      <c r="F558" s="16" t="s">
        <v>24</v>
      </c>
      <c r="G558" s="17">
        <v>1</v>
      </c>
      <c r="H558" s="18">
        <v>1</v>
      </c>
      <c r="I558" s="19"/>
      <c r="J558" s="19">
        <v>3500</v>
      </c>
      <c r="K558" s="19"/>
      <c r="L558" s="19">
        <f t="shared" si="79"/>
        <v>1</v>
      </c>
      <c r="M558" s="21">
        <f t="shared" si="80"/>
        <v>1</v>
      </c>
      <c r="N558" s="22">
        <f t="shared" si="81"/>
        <v>1</v>
      </c>
      <c r="O558" s="22">
        <f t="shared" si="82"/>
        <v>0</v>
      </c>
      <c r="P558" s="20">
        <f t="shared" si="83"/>
        <v>0</v>
      </c>
      <c r="Q558" s="23">
        <f t="shared" si="85"/>
        <v>3500</v>
      </c>
      <c r="R558" s="20">
        <f t="shared" si="78"/>
        <v>3500</v>
      </c>
      <c r="S558" s="20">
        <f t="shared" si="78"/>
        <v>3500</v>
      </c>
      <c r="T558" s="18">
        <f t="shared" si="84"/>
        <v>3500</v>
      </c>
      <c r="U558" s="18" t="s">
        <v>152</v>
      </c>
      <c r="V558" s="25"/>
    </row>
    <row r="559" spans="1:22" ht="24" customHeight="1">
      <c r="A559" s="26"/>
      <c r="B559" s="15"/>
      <c r="C559" s="15"/>
      <c r="D559" s="16">
        <v>556</v>
      </c>
      <c r="E559" s="46" t="s">
        <v>553</v>
      </c>
      <c r="F559" s="16" t="s">
        <v>24</v>
      </c>
      <c r="G559" s="17">
        <v>1</v>
      </c>
      <c r="H559" s="18">
        <v>1</v>
      </c>
      <c r="I559" s="19"/>
      <c r="J559" s="19">
        <v>2800</v>
      </c>
      <c r="K559" s="19"/>
      <c r="L559" s="19">
        <f t="shared" si="79"/>
        <v>1</v>
      </c>
      <c r="M559" s="21">
        <f t="shared" si="80"/>
        <v>1</v>
      </c>
      <c r="N559" s="22">
        <f t="shared" si="81"/>
        <v>1</v>
      </c>
      <c r="O559" s="22">
        <f t="shared" si="82"/>
        <v>0</v>
      </c>
      <c r="P559" s="20">
        <f t="shared" si="83"/>
        <v>0</v>
      </c>
      <c r="Q559" s="23">
        <f t="shared" si="85"/>
        <v>2800</v>
      </c>
      <c r="R559" s="20">
        <f t="shared" ref="R559:S622" si="86">IFERROR(IF(J559&gt;0,J559,IF(J559&lt;0,P559,IF(J559=0,P559))),"")</f>
        <v>2800</v>
      </c>
      <c r="S559" s="20">
        <f t="shared" si="86"/>
        <v>2800</v>
      </c>
      <c r="T559" s="18">
        <f t="shared" si="84"/>
        <v>2800</v>
      </c>
      <c r="U559" s="18" t="s">
        <v>152</v>
      </c>
      <c r="V559" s="25"/>
    </row>
    <row r="560" spans="1:22" ht="24" customHeight="1">
      <c r="A560" s="26"/>
      <c r="B560" s="15"/>
      <c r="C560" s="15"/>
      <c r="D560" s="16">
        <v>557</v>
      </c>
      <c r="E560" s="16" t="s">
        <v>921</v>
      </c>
      <c r="F560" s="16" t="s">
        <v>24</v>
      </c>
      <c r="G560" s="17">
        <v>1</v>
      </c>
      <c r="H560" s="18">
        <v>2</v>
      </c>
      <c r="I560" s="19"/>
      <c r="J560" s="19">
        <v>1600</v>
      </c>
      <c r="K560" s="19"/>
      <c r="L560" s="19">
        <f t="shared" si="79"/>
        <v>2</v>
      </c>
      <c r="M560" s="21">
        <f t="shared" si="80"/>
        <v>2</v>
      </c>
      <c r="N560" s="22">
        <f t="shared" si="81"/>
        <v>2</v>
      </c>
      <c r="O560" s="22">
        <f t="shared" si="82"/>
        <v>0</v>
      </c>
      <c r="P560" s="20">
        <f t="shared" si="83"/>
        <v>0</v>
      </c>
      <c r="Q560" s="23">
        <f t="shared" si="85"/>
        <v>1600</v>
      </c>
      <c r="R560" s="20">
        <f t="shared" si="86"/>
        <v>1600</v>
      </c>
      <c r="S560" s="20">
        <f t="shared" si="86"/>
        <v>1600</v>
      </c>
      <c r="T560" s="18">
        <f t="shared" si="84"/>
        <v>3200</v>
      </c>
      <c r="U560" s="18"/>
      <c r="V560" s="25"/>
    </row>
    <row r="561" spans="1:22" ht="24" customHeight="1">
      <c r="A561" s="26"/>
      <c r="B561" s="15"/>
      <c r="C561" s="15"/>
      <c r="D561" s="16">
        <v>558</v>
      </c>
      <c r="E561" s="16" t="s">
        <v>554</v>
      </c>
      <c r="F561" s="16" t="s">
        <v>24</v>
      </c>
      <c r="G561" s="17">
        <v>1</v>
      </c>
      <c r="H561" s="18">
        <v>1</v>
      </c>
      <c r="I561" s="19"/>
      <c r="J561" s="19">
        <v>3500</v>
      </c>
      <c r="K561" s="19"/>
      <c r="L561" s="19">
        <f t="shared" si="79"/>
        <v>1</v>
      </c>
      <c r="M561" s="21">
        <f t="shared" si="80"/>
        <v>1</v>
      </c>
      <c r="N561" s="22">
        <f t="shared" si="81"/>
        <v>1</v>
      </c>
      <c r="O561" s="22">
        <f t="shared" si="82"/>
        <v>0</v>
      </c>
      <c r="P561" s="20">
        <f t="shared" si="83"/>
        <v>0</v>
      </c>
      <c r="Q561" s="23">
        <f t="shared" si="85"/>
        <v>3500</v>
      </c>
      <c r="R561" s="20">
        <f t="shared" si="86"/>
        <v>3500</v>
      </c>
      <c r="S561" s="20">
        <f t="shared" si="86"/>
        <v>3500</v>
      </c>
      <c r="T561" s="18">
        <f t="shared" si="84"/>
        <v>3500</v>
      </c>
      <c r="U561" s="18"/>
      <c r="V561" s="25"/>
    </row>
    <row r="562" spans="1:22" ht="24" customHeight="1">
      <c r="A562" s="26"/>
      <c r="B562" s="15"/>
      <c r="C562" s="15"/>
      <c r="D562" s="16">
        <v>559</v>
      </c>
      <c r="E562" s="16" t="s">
        <v>555</v>
      </c>
      <c r="F562" s="16" t="s">
        <v>24</v>
      </c>
      <c r="G562" s="17">
        <v>1</v>
      </c>
      <c r="H562" s="18">
        <v>4</v>
      </c>
      <c r="I562" s="19"/>
      <c r="J562" s="19">
        <v>720</v>
      </c>
      <c r="K562" s="19"/>
      <c r="L562" s="19">
        <f t="shared" si="79"/>
        <v>4</v>
      </c>
      <c r="M562" s="21">
        <f t="shared" si="80"/>
        <v>4</v>
      </c>
      <c r="N562" s="22">
        <f t="shared" si="81"/>
        <v>4</v>
      </c>
      <c r="O562" s="22">
        <f t="shared" si="82"/>
        <v>0</v>
      </c>
      <c r="P562" s="20">
        <f t="shared" si="83"/>
        <v>0</v>
      </c>
      <c r="Q562" s="23">
        <f t="shared" si="85"/>
        <v>720</v>
      </c>
      <c r="R562" s="20">
        <f t="shared" si="86"/>
        <v>720</v>
      </c>
      <c r="S562" s="20">
        <f t="shared" si="86"/>
        <v>720</v>
      </c>
      <c r="T562" s="18">
        <f t="shared" si="84"/>
        <v>2880</v>
      </c>
      <c r="U562" s="18"/>
      <c r="V562" s="25"/>
    </row>
    <row r="563" spans="1:22" ht="24" customHeight="1">
      <c r="A563" s="26"/>
      <c r="B563" s="15"/>
      <c r="C563" s="15"/>
      <c r="D563" s="16">
        <v>560</v>
      </c>
      <c r="E563" s="16" t="s">
        <v>556</v>
      </c>
      <c r="F563" s="16" t="s">
        <v>24</v>
      </c>
      <c r="G563" s="17">
        <v>1</v>
      </c>
      <c r="H563" s="18">
        <v>3</v>
      </c>
      <c r="I563" s="19"/>
      <c r="J563" s="19">
        <v>650</v>
      </c>
      <c r="K563" s="19"/>
      <c r="L563" s="19">
        <f t="shared" si="79"/>
        <v>3</v>
      </c>
      <c r="M563" s="21">
        <f t="shared" si="80"/>
        <v>3</v>
      </c>
      <c r="N563" s="22">
        <f t="shared" si="81"/>
        <v>3</v>
      </c>
      <c r="O563" s="22">
        <f t="shared" si="82"/>
        <v>0</v>
      </c>
      <c r="P563" s="20">
        <f t="shared" si="83"/>
        <v>0</v>
      </c>
      <c r="Q563" s="23">
        <f t="shared" si="85"/>
        <v>650</v>
      </c>
      <c r="R563" s="20">
        <f t="shared" si="86"/>
        <v>650</v>
      </c>
      <c r="S563" s="20">
        <f t="shared" si="86"/>
        <v>650</v>
      </c>
      <c r="T563" s="18">
        <f t="shared" si="84"/>
        <v>1950</v>
      </c>
      <c r="U563" s="18"/>
      <c r="V563" s="25"/>
    </row>
    <row r="564" spans="1:22" ht="24" customHeight="1">
      <c r="A564" s="26"/>
      <c r="B564" s="15"/>
      <c r="C564" s="15"/>
      <c r="D564" s="16">
        <v>561</v>
      </c>
      <c r="E564" s="16" t="s">
        <v>557</v>
      </c>
      <c r="F564" s="16" t="s">
        <v>24</v>
      </c>
      <c r="G564" s="17">
        <v>1</v>
      </c>
      <c r="H564" s="18">
        <v>2</v>
      </c>
      <c r="I564" s="19"/>
      <c r="J564" s="19">
        <v>700</v>
      </c>
      <c r="K564" s="19"/>
      <c r="L564" s="19">
        <f t="shared" si="79"/>
        <v>2</v>
      </c>
      <c r="M564" s="21">
        <f t="shared" si="80"/>
        <v>2</v>
      </c>
      <c r="N564" s="22">
        <f t="shared" si="81"/>
        <v>2</v>
      </c>
      <c r="O564" s="22">
        <f t="shared" si="82"/>
        <v>0</v>
      </c>
      <c r="P564" s="20">
        <f t="shared" si="83"/>
        <v>0</v>
      </c>
      <c r="Q564" s="23">
        <f t="shared" si="85"/>
        <v>700</v>
      </c>
      <c r="R564" s="20">
        <f t="shared" si="86"/>
        <v>700</v>
      </c>
      <c r="S564" s="20">
        <f t="shared" si="86"/>
        <v>700</v>
      </c>
      <c r="T564" s="18">
        <f t="shared" si="84"/>
        <v>1400</v>
      </c>
      <c r="U564" s="18"/>
      <c r="V564" s="25"/>
    </row>
    <row r="565" spans="1:22" ht="24" customHeight="1">
      <c r="A565" s="26"/>
      <c r="B565" s="15"/>
      <c r="C565" s="15"/>
      <c r="D565" s="16">
        <v>562</v>
      </c>
      <c r="E565" s="16" t="s">
        <v>558</v>
      </c>
      <c r="F565" s="16" t="s">
        <v>24</v>
      </c>
      <c r="G565" s="17">
        <v>1</v>
      </c>
      <c r="H565" s="18">
        <v>2</v>
      </c>
      <c r="I565" s="19"/>
      <c r="J565" s="19">
        <v>700</v>
      </c>
      <c r="K565" s="19"/>
      <c r="L565" s="19">
        <f t="shared" si="79"/>
        <v>2</v>
      </c>
      <c r="M565" s="21">
        <f t="shared" si="80"/>
        <v>2</v>
      </c>
      <c r="N565" s="22">
        <f t="shared" si="81"/>
        <v>2</v>
      </c>
      <c r="O565" s="22">
        <f t="shared" si="82"/>
        <v>0</v>
      </c>
      <c r="P565" s="20">
        <f t="shared" si="83"/>
        <v>0</v>
      </c>
      <c r="Q565" s="23">
        <f t="shared" si="85"/>
        <v>700</v>
      </c>
      <c r="R565" s="20">
        <f t="shared" si="86"/>
        <v>700</v>
      </c>
      <c r="S565" s="20">
        <f t="shared" si="86"/>
        <v>700</v>
      </c>
      <c r="T565" s="18">
        <f t="shared" si="84"/>
        <v>1400</v>
      </c>
      <c r="U565" s="18"/>
      <c r="V565" s="25"/>
    </row>
    <row r="566" spans="1:22" ht="24" customHeight="1">
      <c r="A566" s="26"/>
      <c r="B566" s="15"/>
      <c r="C566" s="15"/>
      <c r="D566" s="16">
        <v>563</v>
      </c>
      <c r="E566" s="16" t="s">
        <v>922</v>
      </c>
      <c r="F566" s="16" t="s">
        <v>24</v>
      </c>
      <c r="G566" s="17">
        <v>1</v>
      </c>
      <c r="H566" s="18">
        <v>5</v>
      </c>
      <c r="I566" s="19"/>
      <c r="J566" s="19">
        <v>1500</v>
      </c>
      <c r="K566" s="19"/>
      <c r="L566" s="19">
        <f t="shared" si="79"/>
        <v>5</v>
      </c>
      <c r="M566" s="21">
        <f t="shared" si="80"/>
        <v>5</v>
      </c>
      <c r="N566" s="22">
        <f t="shared" si="81"/>
        <v>5</v>
      </c>
      <c r="O566" s="22">
        <f t="shared" si="82"/>
        <v>0</v>
      </c>
      <c r="P566" s="20">
        <f t="shared" si="83"/>
        <v>0</v>
      </c>
      <c r="Q566" s="23">
        <f t="shared" si="85"/>
        <v>1500</v>
      </c>
      <c r="R566" s="20">
        <f t="shared" si="86"/>
        <v>1500</v>
      </c>
      <c r="S566" s="20">
        <f t="shared" si="86"/>
        <v>1500</v>
      </c>
      <c r="T566" s="18">
        <f t="shared" si="84"/>
        <v>7500</v>
      </c>
      <c r="U566" s="18"/>
      <c r="V566" s="25"/>
    </row>
    <row r="567" spans="1:22" ht="24" customHeight="1">
      <c r="A567" s="26"/>
      <c r="B567" s="15"/>
      <c r="C567" s="15"/>
      <c r="D567" s="16">
        <v>564</v>
      </c>
      <c r="E567" s="16" t="s">
        <v>923</v>
      </c>
      <c r="F567" s="16" t="s">
        <v>24</v>
      </c>
      <c r="G567" s="17">
        <v>1</v>
      </c>
      <c r="H567" s="18">
        <v>1</v>
      </c>
      <c r="I567" s="19"/>
      <c r="J567" s="19">
        <v>450</v>
      </c>
      <c r="K567" s="19"/>
      <c r="L567" s="19">
        <f t="shared" si="79"/>
        <v>1</v>
      </c>
      <c r="M567" s="21">
        <f t="shared" si="80"/>
        <v>1</v>
      </c>
      <c r="N567" s="22">
        <f t="shared" si="81"/>
        <v>1</v>
      </c>
      <c r="O567" s="22">
        <f t="shared" si="82"/>
        <v>0</v>
      </c>
      <c r="P567" s="20">
        <f t="shared" si="83"/>
        <v>0</v>
      </c>
      <c r="Q567" s="23">
        <f t="shared" si="85"/>
        <v>450</v>
      </c>
      <c r="R567" s="20">
        <f t="shared" si="86"/>
        <v>450</v>
      </c>
      <c r="S567" s="20">
        <f t="shared" si="86"/>
        <v>450</v>
      </c>
      <c r="T567" s="18">
        <f t="shared" si="84"/>
        <v>450</v>
      </c>
      <c r="U567" s="18"/>
      <c r="V567" s="25"/>
    </row>
    <row r="568" spans="1:22" ht="24" customHeight="1">
      <c r="A568" s="26"/>
      <c r="B568" s="15"/>
      <c r="C568" s="15"/>
      <c r="D568" s="16">
        <v>565</v>
      </c>
      <c r="E568" s="16" t="s">
        <v>559</v>
      </c>
      <c r="F568" s="16" t="s">
        <v>24</v>
      </c>
      <c r="G568" s="17">
        <v>1</v>
      </c>
      <c r="H568" s="18">
        <v>1</v>
      </c>
      <c r="I568" s="19"/>
      <c r="J568" s="19">
        <v>2200</v>
      </c>
      <c r="K568" s="19"/>
      <c r="L568" s="19">
        <f t="shared" si="79"/>
        <v>1</v>
      </c>
      <c r="M568" s="21">
        <f t="shared" si="80"/>
        <v>1</v>
      </c>
      <c r="N568" s="22">
        <f t="shared" si="81"/>
        <v>1</v>
      </c>
      <c r="O568" s="22">
        <f t="shared" si="82"/>
        <v>0</v>
      </c>
      <c r="P568" s="20">
        <f t="shared" si="83"/>
        <v>0</v>
      </c>
      <c r="Q568" s="23">
        <f t="shared" si="85"/>
        <v>2200</v>
      </c>
      <c r="R568" s="20">
        <f t="shared" si="86"/>
        <v>2200</v>
      </c>
      <c r="S568" s="20">
        <f t="shared" si="86"/>
        <v>2200</v>
      </c>
      <c r="T568" s="18">
        <f t="shared" si="84"/>
        <v>2200</v>
      </c>
      <c r="U568" s="18"/>
      <c r="V568" s="25"/>
    </row>
    <row r="569" spans="1:22" ht="24" customHeight="1">
      <c r="A569" s="26"/>
      <c r="B569" s="15"/>
      <c r="C569" s="15"/>
      <c r="D569" s="16">
        <v>566</v>
      </c>
      <c r="E569" s="16" t="s">
        <v>560</v>
      </c>
      <c r="F569" s="16" t="s">
        <v>24</v>
      </c>
      <c r="G569" s="17">
        <v>1</v>
      </c>
      <c r="H569" s="18">
        <v>6</v>
      </c>
      <c r="I569" s="19"/>
      <c r="J569" s="19">
        <v>800</v>
      </c>
      <c r="K569" s="19"/>
      <c r="L569" s="19">
        <f t="shared" si="79"/>
        <v>6</v>
      </c>
      <c r="M569" s="21">
        <f t="shared" si="80"/>
        <v>6</v>
      </c>
      <c r="N569" s="22">
        <f t="shared" si="81"/>
        <v>6</v>
      </c>
      <c r="O569" s="22">
        <f t="shared" si="82"/>
        <v>0</v>
      </c>
      <c r="P569" s="20">
        <f t="shared" si="83"/>
        <v>0</v>
      </c>
      <c r="Q569" s="23">
        <f t="shared" si="85"/>
        <v>800</v>
      </c>
      <c r="R569" s="20">
        <f t="shared" si="86"/>
        <v>800</v>
      </c>
      <c r="S569" s="20">
        <f t="shared" si="86"/>
        <v>800</v>
      </c>
      <c r="T569" s="18">
        <f t="shared" si="84"/>
        <v>4800</v>
      </c>
      <c r="U569" s="18"/>
      <c r="V569" s="25"/>
    </row>
    <row r="570" spans="1:22" ht="24" customHeight="1">
      <c r="A570" s="26"/>
      <c r="B570" s="15"/>
      <c r="C570" s="15"/>
      <c r="D570" s="16">
        <v>567</v>
      </c>
      <c r="E570" s="16" t="s">
        <v>561</v>
      </c>
      <c r="F570" s="16" t="s">
        <v>24</v>
      </c>
      <c r="G570" s="17">
        <v>1</v>
      </c>
      <c r="H570" s="18">
        <v>1</v>
      </c>
      <c r="I570" s="19"/>
      <c r="J570" s="19">
        <v>450</v>
      </c>
      <c r="K570" s="19"/>
      <c r="L570" s="19">
        <f t="shared" si="79"/>
        <v>1</v>
      </c>
      <c r="M570" s="21">
        <f t="shared" si="80"/>
        <v>1</v>
      </c>
      <c r="N570" s="22">
        <f t="shared" si="81"/>
        <v>1</v>
      </c>
      <c r="O570" s="22">
        <f t="shared" si="82"/>
        <v>0</v>
      </c>
      <c r="P570" s="20">
        <f t="shared" si="83"/>
        <v>0</v>
      </c>
      <c r="Q570" s="23">
        <f t="shared" si="85"/>
        <v>450</v>
      </c>
      <c r="R570" s="20">
        <f t="shared" si="86"/>
        <v>450</v>
      </c>
      <c r="S570" s="20">
        <f t="shared" si="86"/>
        <v>450</v>
      </c>
      <c r="T570" s="18">
        <f t="shared" si="84"/>
        <v>450</v>
      </c>
      <c r="U570" s="18"/>
      <c r="V570" s="25"/>
    </row>
    <row r="571" spans="1:22" ht="24" customHeight="1">
      <c r="A571" s="26"/>
      <c r="B571" s="15"/>
      <c r="C571" s="15"/>
      <c r="D571" s="16">
        <v>568</v>
      </c>
      <c r="E571" s="16" t="s">
        <v>562</v>
      </c>
      <c r="F571" s="16" t="s">
        <v>24</v>
      </c>
      <c r="G571" s="17">
        <v>1</v>
      </c>
      <c r="H571" s="18">
        <v>6</v>
      </c>
      <c r="I571" s="19"/>
      <c r="J571" s="19">
        <v>1450</v>
      </c>
      <c r="K571" s="19"/>
      <c r="L571" s="19">
        <f t="shared" si="79"/>
        <v>6</v>
      </c>
      <c r="M571" s="21">
        <f t="shared" si="80"/>
        <v>6</v>
      </c>
      <c r="N571" s="22">
        <f t="shared" si="81"/>
        <v>6</v>
      </c>
      <c r="O571" s="22">
        <f t="shared" si="82"/>
        <v>0</v>
      </c>
      <c r="P571" s="20">
        <f t="shared" si="83"/>
        <v>0</v>
      </c>
      <c r="Q571" s="23">
        <f t="shared" si="85"/>
        <v>1450</v>
      </c>
      <c r="R571" s="20">
        <f t="shared" si="86"/>
        <v>1450</v>
      </c>
      <c r="S571" s="20">
        <f t="shared" si="86"/>
        <v>1450</v>
      </c>
      <c r="T571" s="18">
        <f t="shared" si="84"/>
        <v>8700</v>
      </c>
      <c r="U571" s="18"/>
      <c r="V571" s="25"/>
    </row>
    <row r="572" spans="1:22" ht="24" customHeight="1">
      <c r="A572" s="26"/>
      <c r="B572" s="15"/>
      <c r="C572" s="15"/>
      <c r="D572" s="16">
        <v>569</v>
      </c>
      <c r="E572" s="16" t="s">
        <v>563</v>
      </c>
      <c r="F572" s="16" t="s">
        <v>24</v>
      </c>
      <c r="G572" s="17">
        <v>1</v>
      </c>
      <c r="H572" s="18">
        <v>5</v>
      </c>
      <c r="I572" s="19"/>
      <c r="J572" s="19">
        <v>410</v>
      </c>
      <c r="K572" s="19"/>
      <c r="L572" s="19">
        <f t="shared" si="79"/>
        <v>5</v>
      </c>
      <c r="M572" s="21">
        <f t="shared" si="80"/>
        <v>5</v>
      </c>
      <c r="N572" s="22">
        <f t="shared" si="81"/>
        <v>5</v>
      </c>
      <c r="O572" s="22">
        <f t="shared" si="82"/>
        <v>0</v>
      </c>
      <c r="P572" s="20">
        <f t="shared" si="83"/>
        <v>0</v>
      </c>
      <c r="Q572" s="23">
        <f t="shared" si="85"/>
        <v>410</v>
      </c>
      <c r="R572" s="20">
        <f t="shared" si="86"/>
        <v>410</v>
      </c>
      <c r="S572" s="20">
        <f t="shared" si="86"/>
        <v>410</v>
      </c>
      <c r="T572" s="18">
        <f t="shared" si="84"/>
        <v>2050</v>
      </c>
      <c r="U572" s="18"/>
      <c r="V572" s="25"/>
    </row>
    <row r="573" spans="1:22" ht="24" customHeight="1">
      <c r="A573" s="26"/>
      <c r="B573" s="15"/>
      <c r="C573" s="15"/>
      <c r="D573" s="16">
        <v>570</v>
      </c>
      <c r="E573" s="16" t="s">
        <v>564</v>
      </c>
      <c r="F573" s="16" t="s">
        <v>24</v>
      </c>
      <c r="G573" s="17">
        <v>1</v>
      </c>
      <c r="H573" s="18">
        <v>3</v>
      </c>
      <c r="I573" s="19"/>
      <c r="J573" s="19">
        <v>450</v>
      </c>
      <c r="K573" s="19"/>
      <c r="L573" s="19">
        <f t="shared" si="79"/>
        <v>3</v>
      </c>
      <c r="M573" s="21">
        <f t="shared" si="80"/>
        <v>3</v>
      </c>
      <c r="N573" s="22">
        <f t="shared" si="81"/>
        <v>3</v>
      </c>
      <c r="O573" s="22">
        <f t="shared" si="82"/>
        <v>0</v>
      </c>
      <c r="P573" s="20">
        <f t="shared" si="83"/>
        <v>0</v>
      </c>
      <c r="Q573" s="23">
        <f t="shared" si="85"/>
        <v>450</v>
      </c>
      <c r="R573" s="20">
        <f t="shared" si="86"/>
        <v>450</v>
      </c>
      <c r="S573" s="20">
        <f t="shared" si="86"/>
        <v>450</v>
      </c>
      <c r="T573" s="18">
        <f t="shared" si="84"/>
        <v>1350</v>
      </c>
      <c r="U573" s="18"/>
      <c r="V573" s="25"/>
    </row>
    <row r="574" spans="1:22" ht="24" customHeight="1">
      <c r="A574" s="26"/>
      <c r="B574" s="15"/>
      <c r="C574" s="15"/>
      <c r="D574" s="16">
        <v>571</v>
      </c>
      <c r="E574" s="16" t="s">
        <v>565</v>
      </c>
      <c r="F574" s="16" t="s">
        <v>24</v>
      </c>
      <c r="G574" s="17">
        <v>1</v>
      </c>
      <c r="H574" s="18">
        <v>1</v>
      </c>
      <c r="I574" s="19"/>
      <c r="J574" s="19">
        <v>1250</v>
      </c>
      <c r="K574" s="19"/>
      <c r="L574" s="19">
        <f t="shared" si="79"/>
        <v>1</v>
      </c>
      <c r="M574" s="21">
        <f t="shared" si="80"/>
        <v>1</v>
      </c>
      <c r="N574" s="22">
        <f t="shared" si="81"/>
        <v>1</v>
      </c>
      <c r="O574" s="22">
        <f t="shared" si="82"/>
        <v>0</v>
      </c>
      <c r="P574" s="20">
        <f t="shared" si="83"/>
        <v>0</v>
      </c>
      <c r="Q574" s="23">
        <f t="shared" si="85"/>
        <v>1250</v>
      </c>
      <c r="R574" s="20">
        <f t="shared" si="86"/>
        <v>1250</v>
      </c>
      <c r="S574" s="20">
        <f t="shared" si="86"/>
        <v>1250</v>
      </c>
      <c r="T574" s="18">
        <f t="shared" si="84"/>
        <v>1250</v>
      </c>
      <c r="U574" s="18"/>
      <c r="V574" s="25"/>
    </row>
    <row r="575" spans="1:22" ht="24" customHeight="1">
      <c r="A575" s="26"/>
      <c r="B575" s="15"/>
      <c r="C575" s="15"/>
      <c r="D575" s="16">
        <v>572</v>
      </c>
      <c r="E575" s="16" t="s">
        <v>566</v>
      </c>
      <c r="F575" s="16" t="s">
        <v>24</v>
      </c>
      <c r="G575" s="17">
        <v>1</v>
      </c>
      <c r="H575" s="18">
        <v>1</v>
      </c>
      <c r="I575" s="19"/>
      <c r="J575" s="19">
        <v>2000</v>
      </c>
      <c r="K575" s="19"/>
      <c r="L575" s="19">
        <f t="shared" si="79"/>
        <v>1</v>
      </c>
      <c r="M575" s="21">
        <f t="shared" si="80"/>
        <v>1</v>
      </c>
      <c r="N575" s="22">
        <f t="shared" si="81"/>
        <v>1</v>
      </c>
      <c r="O575" s="22">
        <f t="shared" si="82"/>
        <v>0</v>
      </c>
      <c r="P575" s="20">
        <f t="shared" si="83"/>
        <v>0</v>
      </c>
      <c r="Q575" s="23">
        <f t="shared" si="85"/>
        <v>2000</v>
      </c>
      <c r="R575" s="20">
        <f t="shared" si="86"/>
        <v>2000</v>
      </c>
      <c r="S575" s="20">
        <f t="shared" si="86"/>
        <v>2000</v>
      </c>
      <c r="T575" s="18">
        <f t="shared" si="84"/>
        <v>2000</v>
      </c>
      <c r="U575" s="18"/>
      <c r="V575" s="25"/>
    </row>
    <row r="576" spans="1:22" ht="24" customHeight="1">
      <c r="A576" s="26"/>
      <c r="B576" s="15"/>
      <c r="C576" s="15"/>
      <c r="D576" s="16">
        <v>573</v>
      </c>
      <c r="E576" s="16" t="s">
        <v>567</v>
      </c>
      <c r="F576" s="16" t="s">
        <v>24</v>
      </c>
      <c r="G576" s="17">
        <v>1</v>
      </c>
      <c r="H576" s="18">
        <v>2</v>
      </c>
      <c r="I576" s="19"/>
      <c r="J576" s="19">
        <v>1450</v>
      </c>
      <c r="K576" s="19"/>
      <c r="L576" s="19">
        <f t="shared" si="79"/>
        <v>2</v>
      </c>
      <c r="M576" s="21">
        <f t="shared" si="80"/>
        <v>2</v>
      </c>
      <c r="N576" s="22">
        <f t="shared" si="81"/>
        <v>2</v>
      </c>
      <c r="O576" s="22">
        <f t="shared" si="82"/>
        <v>0</v>
      </c>
      <c r="P576" s="20">
        <f t="shared" si="83"/>
        <v>0</v>
      </c>
      <c r="Q576" s="23">
        <f t="shared" si="85"/>
        <v>1450</v>
      </c>
      <c r="R576" s="20">
        <f t="shared" si="86"/>
        <v>1450</v>
      </c>
      <c r="S576" s="20">
        <f t="shared" si="86"/>
        <v>1450</v>
      </c>
      <c r="T576" s="18">
        <f t="shared" si="84"/>
        <v>2900</v>
      </c>
      <c r="U576" s="18"/>
      <c r="V576" s="25"/>
    </row>
    <row r="577" spans="1:22" ht="24" customHeight="1">
      <c r="A577" s="26"/>
      <c r="B577" s="15"/>
      <c r="C577" s="15"/>
      <c r="D577" s="16">
        <v>574</v>
      </c>
      <c r="E577" s="16" t="s">
        <v>568</v>
      </c>
      <c r="F577" s="16" t="s">
        <v>24</v>
      </c>
      <c r="G577" s="17">
        <v>1</v>
      </c>
      <c r="H577" s="18">
        <v>1</v>
      </c>
      <c r="I577" s="19"/>
      <c r="J577" s="19">
        <v>1200</v>
      </c>
      <c r="K577" s="19"/>
      <c r="L577" s="19">
        <f t="shared" si="79"/>
        <v>1</v>
      </c>
      <c r="M577" s="21">
        <f t="shared" si="80"/>
        <v>1</v>
      </c>
      <c r="N577" s="22">
        <f t="shared" si="81"/>
        <v>1</v>
      </c>
      <c r="O577" s="22">
        <f t="shared" si="82"/>
        <v>0</v>
      </c>
      <c r="P577" s="20">
        <f t="shared" si="83"/>
        <v>0</v>
      </c>
      <c r="Q577" s="23">
        <f t="shared" si="85"/>
        <v>1200</v>
      </c>
      <c r="R577" s="20">
        <f t="shared" si="86"/>
        <v>1200</v>
      </c>
      <c r="S577" s="20">
        <f t="shared" si="86"/>
        <v>1200</v>
      </c>
      <c r="T577" s="18">
        <f t="shared" si="84"/>
        <v>1200</v>
      </c>
      <c r="U577" s="18"/>
      <c r="V577" s="25"/>
    </row>
    <row r="578" spans="1:22" ht="24" customHeight="1">
      <c r="A578" s="26"/>
      <c r="B578" s="15"/>
      <c r="C578" s="15"/>
      <c r="D578" s="16">
        <v>575</v>
      </c>
      <c r="E578" s="16" t="s">
        <v>569</v>
      </c>
      <c r="F578" s="16" t="s">
        <v>24</v>
      </c>
      <c r="G578" s="17">
        <v>1</v>
      </c>
      <c r="H578" s="18">
        <v>1</v>
      </c>
      <c r="I578" s="19"/>
      <c r="J578" s="19">
        <v>600</v>
      </c>
      <c r="K578" s="19"/>
      <c r="L578" s="19">
        <f t="shared" si="79"/>
        <v>1</v>
      </c>
      <c r="M578" s="21">
        <f t="shared" si="80"/>
        <v>1</v>
      </c>
      <c r="N578" s="22">
        <f t="shared" si="81"/>
        <v>1</v>
      </c>
      <c r="O578" s="22">
        <f t="shared" si="82"/>
        <v>0</v>
      </c>
      <c r="P578" s="20">
        <f t="shared" si="83"/>
        <v>0</v>
      </c>
      <c r="Q578" s="23">
        <f t="shared" si="85"/>
        <v>600</v>
      </c>
      <c r="R578" s="20">
        <f t="shared" si="86"/>
        <v>600</v>
      </c>
      <c r="S578" s="20">
        <f t="shared" si="86"/>
        <v>600</v>
      </c>
      <c r="T578" s="18">
        <f t="shared" si="84"/>
        <v>600</v>
      </c>
      <c r="U578" s="18"/>
      <c r="V578" s="25"/>
    </row>
    <row r="579" spans="1:22" ht="24" customHeight="1">
      <c r="A579" s="26"/>
      <c r="B579" s="15"/>
      <c r="C579" s="15"/>
      <c r="D579" s="16">
        <v>576</v>
      </c>
      <c r="E579" s="16" t="s">
        <v>570</v>
      </c>
      <c r="F579" s="16" t="s">
        <v>24</v>
      </c>
      <c r="G579" s="17">
        <v>1</v>
      </c>
      <c r="H579" s="18">
        <v>2</v>
      </c>
      <c r="I579" s="19"/>
      <c r="J579" s="19">
        <v>2350</v>
      </c>
      <c r="K579" s="19"/>
      <c r="L579" s="19">
        <f t="shared" si="79"/>
        <v>2</v>
      </c>
      <c r="M579" s="21">
        <f t="shared" ref="M579:M642" si="87">IFERROR(L579/G579,"")</f>
        <v>2</v>
      </c>
      <c r="N579" s="22">
        <f t="shared" ref="N579:N642" si="88">IF(G579=1,L579,IF(G579&gt;1,IFERROR((M579-O579)*G579,""),""))</f>
        <v>2</v>
      </c>
      <c r="O579" s="22">
        <f t="shared" ref="O579:O642" si="89">IFERROR(IF(G579=1,0,IF(G579&gt;1,ROUNDDOWN(M579,0))),"")</f>
        <v>0</v>
      </c>
      <c r="P579" s="20">
        <f t="shared" si="83"/>
        <v>0</v>
      </c>
      <c r="Q579" s="23">
        <f t="shared" si="85"/>
        <v>2350</v>
      </c>
      <c r="R579" s="20">
        <f t="shared" si="86"/>
        <v>2350</v>
      </c>
      <c r="S579" s="20">
        <f t="shared" si="86"/>
        <v>2350</v>
      </c>
      <c r="T579" s="18">
        <f t="shared" si="84"/>
        <v>4700</v>
      </c>
      <c r="U579" s="18"/>
      <c r="V579" s="25"/>
    </row>
    <row r="580" spans="1:22" ht="24" customHeight="1">
      <c r="A580" s="26"/>
      <c r="B580" s="15"/>
      <c r="C580" s="15"/>
      <c r="D580" s="16">
        <v>577</v>
      </c>
      <c r="E580" s="16" t="s">
        <v>571</v>
      </c>
      <c r="F580" s="16" t="s">
        <v>24</v>
      </c>
      <c r="G580" s="17">
        <v>1</v>
      </c>
      <c r="H580" s="18">
        <v>2</v>
      </c>
      <c r="I580" s="19"/>
      <c r="J580" s="19">
        <v>2300</v>
      </c>
      <c r="K580" s="19"/>
      <c r="L580" s="19">
        <f t="shared" si="79"/>
        <v>2</v>
      </c>
      <c r="M580" s="21">
        <f t="shared" si="87"/>
        <v>2</v>
      </c>
      <c r="N580" s="22">
        <f t="shared" si="88"/>
        <v>2</v>
      </c>
      <c r="O580" s="22">
        <f t="shared" si="89"/>
        <v>0</v>
      </c>
      <c r="P580" s="20">
        <f t="shared" ref="P580:P643" si="90">IFERROR(K580/G580,"")</f>
        <v>0</v>
      </c>
      <c r="Q580" s="23">
        <f t="shared" si="85"/>
        <v>2300</v>
      </c>
      <c r="R580" s="20">
        <f t="shared" si="86"/>
        <v>2300</v>
      </c>
      <c r="S580" s="20">
        <f t="shared" si="86"/>
        <v>2300</v>
      </c>
      <c r="T580" s="18">
        <f t="shared" si="84"/>
        <v>4600</v>
      </c>
      <c r="U580" s="18"/>
      <c r="V580" s="25"/>
    </row>
    <row r="581" spans="1:22" ht="24" customHeight="1">
      <c r="A581" s="26"/>
      <c r="B581" s="15"/>
      <c r="C581" s="15"/>
      <c r="D581" s="16">
        <v>578</v>
      </c>
      <c r="E581" s="16" t="s">
        <v>572</v>
      </c>
      <c r="F581" s="16" t="s">
        <v>24</v>
      </c>
      <c r="G581" s="17">
        <v>1</v>
      </c>
      <c r="H581" s="18">
        <v>1</v>
      </c>
      <c r="I581" s="19"/>
      <c r="J581" s="19">
        <v>2250</v>
      </c>
      <c r="K581" s="19"/>
      <c r="L581" s="19">
        <f t="shared" si="79"/>
        <v>1</v>
      </c>
      <c r="M581" s="21">
        <f t="shared" si="87"/>
        <v>1</v>
      </c>
      <c r="N581" s="22">
        <f t="shared" si="88"/>
        <v>1</v>
      </c>
      <c r="O581" s="22">
        <f t="shared" si="89"/>
        <v>0</v>
      </c>
      <c r="P581" s="20">
        <f t="shared" si="90"/>
        <v>0</v>
      </c>
      <c r="Q581" s="23">
        <f t="shared" si="85"/>
        <v>2250</v>
      </c>
      <c r="R581" s="20">
        <f t="shared" si="86"/>
        <v>2250</v>
      </c>
      <c r="S581" s="20">
        <f t="shared" si="86"/>
        <v>2250</v>
      </c>
      <c r="T581" s="18">
        <f t="shared" ref="T581:T644" si="91">IFERROR(S581*I581+R581*H581,"")</f>
        <v>2250</v>
      </c>
      <c r="U581" s="18"/>
      <c r="V581" s="25"/>
    </row>
    <row r="582" spans="1:22" ht="24" customHeight="1">
      <c r="A582" s="26"/>
      <c r="B582" s="15"/>
      <c r="C582" s="15"/>
      <c r="D582" s="16">
        <v>579</v>
      </c>
      <c r="E582" s="16" t="s">
        <v>573</v>
      </c>
      <c r="F582" s="16" t="s">
        <v>24</v>
      </c>
      <c r="G582" s="17">
        <v>1</v>
      </c>
      <c r="H582" s="18">
        <v>3</v>
      </c>
      <c r="I582" s="19"/>
      <c r="J582" s="19">
        <v>1400</v>
      </c>
      <c r="K582" s="19"/>
      <c r="L582" s="19">
        <f t="shared" si="79"/>
        <v>3</v>
      </c>
      <c r="M582" s="21">
        <f t="shared" si="87"/>
        <v>3</v>
      </c>
      <c r="N582" s="22">
        <f t="shared" si="88"/>
        <v>3</v>
      </c>
      <c r="O582" s="22">
        <f t="shared" si="89"/>
        <v>0</v>
      </c>
      <c r="P582" s="20">
        <f t="shared" si="90"/>
        <v>0</v>
      </c>
      <c r="Q582" s="23">
        <f t="shared" si="85"/>
        <v>1400</v>
      </c>
      <c r="R582" s="20">
        <f t="shared" si="86"/>
        <v>1400</v>
      </c>
      <c r="S582" s="20">
        <f t="shared" si="86"/>
        <v>1400</v>
      </c>
      <c r="T582" s="18">
        <f t="shared" si="91"/>
        <v>4200</v>
      </c>
      <c r="U582" s="18"/>
      <c r="V582" s="25"/>
    </row>
    <row r="583" spans="1:22" ht="24" customHeight="1">
      <c r="A583" s="26"/>
      <c r="B583" s="15"/>
      <c r="C583" s="15"/>
      <c r="D583" s="16">
        <v>580</v>
      </c>
      <c r="E583" s="16" t="s">
        <v>574</v>
      </c>
      <c r="F583" s="16" t="s">
        <v>24</v>
      </c>
      <c r="G583" s="17">
        <v>1</v>
      </c>
      <c r="H583" s="18">
        <v>1</v>
      </c>
      <c r="I583" s="19"/>
      <c r="J583" s="19">
        <v>1350</v>
      </c>
      <c r="K583" s="19"/>
      <c r="L583" s="19">
        <f t="shared" si="79"/>
        <v>1</v>
      </c>
      <c r="M583" s="21">
        <f t="shared" si="87"/>
        <v>1</v>
      </c>
      <c r="N583" s="22">
        <f t="shared" si="88"/>
        <v>1</v>
      </c>
      <c r="O583" s="22">
        <f t="shared" si="89"/>
        <v>0</v>
      </c>
      <c r="P583" s="20">
        <f t="shared" si="90"/>
        <v>0</v>
      </c>
      <c r="Q583" s="23">
        <f t="shared" si="85"/>
        <v>1350</v>
      </c>
      <c r="R583" s="20">
        <f t="shared" si="86"/>
        <v>1350</v>
      </c>
      <c r="S583" s="20">
        <f t="shared" si="86"/>
        <v>1350</v>
      </c>
      <c r="T583" s="18">
        <f t="shared" si="91"/>
        <v>1350</v>
      </c>
      <c r="U583" s="18"/>
      <c r="V583" s="25"/>
    </row>
    <row r="584" spans="1:22" ht="24" customHeight="1">
      <c r="A584" s="26"/>
      <c r="B584" s="15"/>
      <c r="C584" s="15"/>
      <c r="D584" s="16">
        <v>581</v>
      </c>
      <c r="E584" s="46" t="s">
        <v>575</v>
      </c>
      <c r="F584" s="16" t="s">
        <v>24</v>
      </c>
      <c r="G584" s="17">
        <v>1</v>
      </c>
      <c r="H584" s="18">
        <v>1</v>
      </c>
      <c r="I584" s="19"/>
      <c r="J584" s="19">
        <v>850</v>
      </c>
      <c r="K584" s="19"/>
      <c r="L584" s="19">
        <f t="shared" si="79"/>
        <v>1</v>
      </c>
      <c r="M584" s="21">
        <f t="shared" si="87"/>
        <v>1</v>
      </c>
      <c r="N584" s="22">
        <f t="shared" si="88"/>
        <v>1</v>
      </c>
      <c r="O584" s="22">
        <f t="shared" si="89"/>
        <v>0</v>
      </c>
      <c r="P584" s="20">
        <f t="shared" si="90"/>
        <v>0</v>
      </c>
      <c r="Q584" s="23">
        <f t="shared" si="85"/>
        <v>850</v>
      </c>
      <c r="R584" s="20">
        <f t="shared" si="86"/>
        <v>850</v>
      </c>
      <c r="S584" s="20">
        <f t="shared" si="86"/>
        <v>850</v>
      </c>
      <c r="T584" s="18">
        <f t="shared" si="91"/>
        <v>850</v>
      </c>
      <c r="U584" s="18" t="s">
        <v>152</v>
      </c>
      <c r="V584" s="25"/>
    </row>
    <row r="585" spans="1:22" ht="24" customHeight="1">
      <c r="A585" s="26"/>
      <c r="B585" s="15"/>
      <c r="C585" s="15"/>
      <c r="D585" s="16">
        <v>582</v>
      </c>
      <c r="E585" s="16" t="s">
        <v>576</v>
      </c>
      <c r="F585" s="16" t="s">
        <v>24</v>
      </c>
      <c r="G585" s="17">
        <v>1</v>
      </c>
      <c r="H585" s="18">
        <v>8</v>
      </c>
      <c r="I585" s="19"/>
      <c r="J585" s="19">
        <v>800</v>
      </c>
      <c r="K585" s="19"/>
      <c r="L585" s="19">
        <f t="shared" si="79"/>
        <v>8</v>
      </c>
      <c r="M585" s="21">
        <f t="shared" si="87"/>
        <v>8</v>
      </c>
      <c r="N585" s="22">
        <f t="shared" si="88"/>
        <v>8</v>
      </c>
      <c r="O585" s="22">
        <f t="shared" si="89"/>
        <v>0</v>
      </c>
      <c r="P585" s="20">
        <f t="shared" si="90"/>
        <v>0</v>
      </c>
      <c r="Q585" s="23">
        <f t="shared" si="85"/>
        <v>800</v>
      </c>
      <c r="R585" s="20">
        <f t="shared" si="86"/>
        <v>800</v>
      </c>
      <c r="S585" s="20">
        <f t="shared" si="86"/>
        <v>800</v>
      </c>
      <c r="T585" s="18">
        <f t="shared" si="91"/>
        <v>6400</v>
      </c>
      <c r="U585" s="18"/>
      <c r="V585" s="25"/>
    </row>
    <row r="586" spans="1:22" ht="24" customHeight="1">
      <c r="A586" s="26"/>
      <c r="B586" s="15"/>
      <c r="C586" s="15"/>
      <c r="D586" s="16">
        <v>583</v>
      </c>
      <c r="E586" s="16" t="s">
        <v>577</v>
      </c>
      <c r="F586" s="16" t="s">
        <v>24</v>
      </c>
      <c r="G586" s="17">
        <v>1</v>
      </c>
      <c r="H586" s="18">
        <v>1</v>
      </c>
      <c r="I586" s="19"/>
      <c r="J586" s="19">
        <v>1100</v>
      </c>
      <c r="K586" s="19"/>
      <c r="L586" s="19">
        <f t="shared" si="79"/>
        <v>1</v>
      </c>
      <c r="M586" s="21">
        <f t="shared" si="87"/>
        <v>1</v>
      </c>
      <c r="N586" s="22">
        <f t="shared" si="88"/>
        <v>1</v>
      </c>
      <c r="O586" s="22">
        <f t="shared" si="89"/>
        <v>0</v>
      </c>
      <c r="P586" s="20">
        <f t="shared" si="90"/>
        <v>0</v>
      </c>
      <c r="Q586" s="23">
        <f t="shared" si="85"/>
        <v>1100</v>
      </c>
      <c r="R586" s="20">
        <f t="shared" si="86"/>
        <v>1100</v>
      </c>
      <c r="S586" s="20">
        <f t="shared" si="86"/>
        <v>1100</v>
      </c>
      <c r="T586" s="18">
        <f t="shared" si="91"/>
        <v>1100</v>
      </c>
      <c r="U586" s="18"/>
      <c r="V586" s="25"/>
    </row>
    <row r="587" spans="1:22" ht="24" customHeight="1">
      <c r="A587" s="26"/>
      <c r="B587" s="15"/>
      <c r="C587" s="15"/>
      <c r="D587" s="16">
        <v>584</v>
      </c>
      <c r="E587" s="16" t="s">
        <v>578</v>
      </c>
      <c r="F587" s="16" t="s">
        <v>24</v>
      </c>
      <c r="G587" s="17">
        <v>1</v>
      </c>
      <c r="H587" s="18">
        <v>8</v>
      </c>
      <c r="I587" s="19"/>
      <c r="J587" s="19">
        <v>450</v>
      </c>
      <c r="K587" s="19"/>
      <c r="L587" s="19">
        <f t="shared" si="79"/>
        <v>8</v>
      </c>
      <c r="M587" s="21">
        <f t="shared" si="87"/>
        <v>8</v>
      </c>
      <c r="N587" s="22">
        <f t="shared" si="88"/>
        <v>8</v>
      </c>
      <c r="O587" s="22">
        <f t="shared" si="89"/>
        <v>0</v>
      </c>
      <c r="P587" s="20">
        <f t="shared" si="90"/>
        <v>0</v>
      </c>
      <c r="Q587" s="23">
        <f t="shared" si="85"/>
        <v>450</v>
      </c>
      <c r="R587" s="20">
        <f t="shared" si="86"/>
        <v>450</v>
      </c>
      <c r="S587" s="20">
        <f t="shared" si="86"/>
        <v>450</v>
      </c>
      <c r="T587" s="18">
        <f t="shared" si="91"/>
        <v>3600</v>
      </c>
      <c r="U587" s="18"/>
      <c r="V587" s="25"/>
    </row>
    <row r="588" spans="1:22" ht="24" customHeight="1">
      <c r="A588" s="26"/>
      <c r="B588" s="15"/>
      <c r="C588" s="15"/>
      <c r="D588" s="16">
        <v>585</v>
      </c>
      <c r="E588" s="16" t="s">
        <v>579</v>
      </c>
      <c r="F588" s="16" t="s">
        <v>24</v>
      </c>
      <c r="G588" s="17">
        <v>1</v>
      </c>
      <c r="H588" s="18">
        <v>8</v>
      </c>
      <c r="I588" s="19"/>
      <c r="J588" s="19">
        <v>550</v>
      </c>
      <c r="K588" s="19"/>
      <c r="L588" s="19">
        <f t="shared" si="79"/>
        <v>8</v>
      </c>
      <c r="M588" s="21">
        <f t="shared" si="87"/>
        <v>8</v>
      </c>
      <c r="N588" s="22">
        <f t="shared" si="88"/>
        <v>8</v>
      </c>
      <c r="O588" s="22">
        <f t="shared" si="89"/>
        <v>0</v>
      </c>
      <c r="P588" s="20">
        <f t="shared" si="90"/>
        <v>0</v>
      </c>
      <c r="Q588" s="23">
        <f t="shared" si="85"/>
        <v>550</v>
      </c>
      <c r="R588" s="20">
        <f t="shared" si="86"/>
        <v>550</v>
      </c>
      <c r="S588" s="20">
        <f t="shared" si="86"/>
        <v>550</v>
      </c>
      <c r="T588" s="18">
        <f t="shared" si="91"/>
        <v>4400</v>
      </c>
      <c r="U588" s="18"/>
      <c r="V588" s="25"/>
    </row>
    <row r="589" spans="1:22" ht="24" customHeight="1">
      <c r="A589" s="26"/>
      <c r="B589" s="15"/>
      <c r="C589" s="15"/>
      <c r="D589" s="16">
        <v>586</v>
      </c>
      <c r="E589" s="16" t="s">
        <v>580</v>
      </c>
      <c r="F589" s="16" t="s">
        <v>24</v>
      </c>
      <c r="G589" s="17">
        <v>1</v>
      </c>
      <c r="H589" s="18">
        <v>2</v>
      </c>
      <c r="I589" s="19"/>
      <c r="J589" s="19">
        <v>650</v>
      </c>
      <c r="K589" s="19"/>
      <c r="L589" s="19">
        <f t="shared" si="79"/>
        <v>2</v>
      </c>
      <c r="M589" s="21">
        <f t="shared" si="87"/>
        <v>2</v>
      </c>
      <c r="N589" s="22">
        <f t="shared" si="88"/>
        <v>2</v>
      </c>
      <c r="O589" s="22">
        <f t="shared" si="89"/>
        <v>0</v>
      </c>
      <c r="P589" s="20">
        <f t="shared" si="90"/>
        <v>0</v>
      </c>
      <c r="Q589" s="23">
        <f t="shared" si="85"/>
        <v>650</v>
      </c>
      <c r="R589" s="20">
        <f t="shared" si="86"/>
        <v>650</v>
      </c>
      <c r="S589" s="20">
        <f t="shared" si="86"/>
        <v>650</v>
      </c>
      <c r="T589" s="18">
        <f t="shared" si="91"/>
        <v>1300</v>
      </c>
      <c r="U589" s="18"/>
      <c r="V589" s="25"/>
    </row>
    <row r="590" spans="1:22" ht="24" customHeight="1">
      <c r="A590" s="26"/>
      <c r="B590" s="15"/>
      <c r="C590" s="15"/>
      <c r="D590" s="16">
        <v>587</v>
      </c>
      <c r="E590" s="16" t="s">
        <v>581</v>
      </c>
      <c r="F590" s="16" t="s">
        <v>24</v>
      </c>
      <c r="G590" s="17">
        <v>1</v>
      </c>
      <c r="H590" s="18">
        <v>1</v>
      </c>
      <c r="I590" s="19"/>
      <c r="J590" s="19">
        <v>750</v>
      </c>
      <c r="K590" s="19"/>
      <c r="L590" s="19">
        <f t="shared" si="79"/>
        <v>1</v>
      </c>
      <c r="M590" s="21">
        <f t="shared" si="87"/>
        <v>1</v>
      </c>
      <c r="N590" s="22">
        <f t="shared" si="88"/>
        <v>1</v>
      </c>
      <c r="O590" s="22">
        <f t="shared" si="89"/>
        <v>0</v>
      </c>
      <c r="P590" s="20">
        <f t="shared" si="90"/>
        <v>0</v>
      </c>
      <c r="Q590" s="23">
        <f t="shared" si="85"/>
        <v>750</v>
      </c>
      <c r="R590" s="20">
        <f t="shared" si="86"/>
        <v>750</v>
      </c>
      <c r="S590" s="20">
        <f t="shared" si="86"/>
        <v>750</v>
      </c>
      <c r="T590" s="18">
        <f t="shared" si="91"/>
        <v>750</v>
      </c>
      <c r="U590" s="18"/>
      <c r="V590" s="25"/>
    </row>
    <row r="591" spans="1:22" ht="24" customHeight="1">
      <c r="A591" s="26"/>
      <c r="B591" s="15"/>
      <c r="C591" s="15"/>
      <c r="D591" s="16">
        <v>588</v>
      </c>
      <c r="E591" s="16" t="s">
        <v>582</v>
      </c>
      <c r="F591" s="16" t="s">
        <v>24</v>
      </c>
      <c r="G591" s="17">
        <v>1</v>
      </c>
      <c r="H591" s="18">
        <v>1</v>
      </c>
      <c r="I591" s="19"/>
      <c r="J591" s="19">
        <v>850</v>
      </c>
      <c r="K591" s="19"/>
      <c r="L591" s="19">
        <f t="shared" si="79"/>
        <v>1</v>
      </c>
      <c r="M591" s="21">
        <f t="shared" si="87"/>
        <v>1</v>
      </c>
      <c r="N591" s="22">
        <f t="shared" si="88"/>
        <v>1</v>
      </c>
      <c r="O591" s="22">
        <f t="shared" si="89"/>
        <v>0</v>
      </c>
      <c r="P591" s="20">
        <f t="shared" si="90"/>
        <v>0</v>
      </c>
      <c r="Q591" s="23">
        <f t="shared" si="85"/>
        <v>850</v>
      </c>
      <c r="R591" s="20">
        <f t="shared" si="86"/>
        <v>850</v>
      </c>
      <c r="S591" s="20">
        <f t="shared" si="86"/>
        <v>850</v>
      </c>
      <c r="T591" s="18">
        <f t="shared" si="91"/>
        <v>850</v>
      </c>
      <c r="U591" s="18"/>
      <c r="V591" s="25"/>
    </row>
    <row r="592" spans="1:22" ht="24" customHeight="1">
      <c r="A592" s="26"/>
      <c r="B592" s="15"/>
      <c r="C592" s="15"/>
      <c r="D592" s="16">
        <v>589</v>
      </c>
      <c r="E592" s="16" t="s">
        <v>583</v>
      </c>
      <c r="F592" s="16" t="s">
        <v>24</v>
      </c>
      <c r="G592" s="17">
        <v>1</v>
      </c>
      <c r="H592" s="18">
        <v>7</v>
      </c>
      <c r="I592" s="19"/>
      <c r="J592" s="19">
        <v>600</v>
      </c>
      <c r="K592" s="19"/>
      <c r="L592" s="19">
        <f t="shared" si="79"/>
        <v>7</v>
      </c>
      <c r="M592" s="21">
        <f t="shared" si="87"/>
        <v>7</v>
      </c>
      <c r="N592" s="22">
        <f t="shared" si="88"/>
        <v>7</v>
      </c>
      <c r="O592" s="22">
        <f t="shared" si="89"/>
        <v>0</v>
      </c>
      <c r="P592" s="20">
        <f t="shared" si="90"/>
        <v>0</v>
      </c>
      <c r="Q592" s="23">
        <f t="shared" si="85"/>
        <v>600</v>
      </c>
      <c r="R592" s="20">
        <f t="shared" si="86"/>
        <v>600</v>
      </c>
      <c r="S592" s="20">
        <f t="shared" si="86"/>
        <v>600</v>
      </c>
      <c r="T592" s="18">
        <f t="shared" si="91"/>
        <v>4200</v>
      </c>
      <c r="U592" s="18"/>
      <c r="V592" s="25"/>
    </row>
    <row r="593" spans="1:22" ht="24" customHeight="1">
      <c r="A593" s="26"/>
      <c r="B593" s="15"/>
      <c r="C593" s="15"/>
      <c r="D593" s="16">
        <v>590</v>
      </c>
      <c r="E593" s="16" t="s">
        <v>584</v>
      </c>
      <c r="F593" s="16" t="s">
        <v>24</v>
      </c>
      <c r="G593" s="17">
        <v>1</v>
      </c>
      <c r="H593" s="18">
        <v>4</v>
      </c>
      <c r="I593" s="19"/>
      <c r="J593" s="19">
        <v>800</v>
      </c>
      <c r="K593" s="19"/>
      <c r="L593" s="19">
        <f t="shared" si="79"/>
        <v>4</v>
      </c>
      <c r="M593" s="21">
        <f t="shared" si="87"/>
        <v>4</v>
      </c>
      <c r="N593" s="22">
        <f t="shared" si="88"/>
        <v>4</v>
      </c>
      <c r="O593" s="22">
        <f t="shared" si="89"/>
        <v>0</v>
      </c>
      <c r="P593" s="20">
        <f t="shared" si="90"/>
        <v>0</v>
      </c>
      <c r="Q593" s="23">
        <f t="shared" si="85"/>
        <v>800</v>
      </c>
      <c r="R593" s="20">
        <f t="shared" si="86"/>
        <v>800</v>
      </c>
      <c r="S593" s="20">
        <f t="shared" si="86"/>
        <v>800</v>
      </c>
      <c r="T593" s="18">
        <f t="shared" si="91"/>
        <v>3200</v>
      </c>
      <c r="U593" s="18"/>
      <c r="V593" s="25"/>
    </row>
    <row r="594" spans="1:22" ht="24" customHeight="1">
      <c r="A594" s="26"/>
      <c r="B594" s="15"/>
      <c r="C594" s="15"/>
      <c r="D594" s="16">
        <v>591</v>
      </c>
      <c r="E594" s="16" t="s">
        <v>585</v>
      </c>
      <c r="F594" s="16" t="s">
        <v>24</v>
      </c>
      <c r="G594" s="17">
        <v>1</v>
      </c>
      <c r="H594" s="18">
        <v>12</v>
      </c>
      <c r="I594" s="19"/>
      <c r="J594" s="19">
        <v>250</v>
      </c>
      <c r="K594" s="19"/>
      <c r="L594" s="19">
        <f t="shared" si="79"/>
        <v>12</v>
      </c>
      <c r="M594" s="21">
        <f t="shared" si="87"/>
        <v>12</v>
      </c>
      <c r="N594" s="22">
        <f t="shared" si="88"/>
        <v>12</v>
      </c>
      <c r="O594" s="22">
        <f t="shared" si="89"/>
        <v>0</v>
      </c>
      <c r="P594" s="20">
        <f t="shared" si="90"/>
        <v>0</v>
      </c>
      <c r="Q594" s="23">
        <f t="shared" si="85"/>
        <v>250</v>
      </c>
      <c r="R594" s="20">
        <f t="shared" si="86"/>
        <v>250</v>
      </c>
      <c r="S594" s="20">
        <f t="shared" si="86"/>
        <v>250</v>
      </c>
      <c r="T594" s="18">
        <f t="shared" si="91"/>
        <v>3000</v>
      </c>
      <c r="U594" s="18"/>
      <c r="V594" s="25"/>
    </row>
    <row r="595" spans="1:22" ht="24" customHeight="1">
      <c r="A595" s="26"/>
      <c r="B595" s="15"/>
      <c r="C595" s="15"/>
      <c r="D595" s="16">
        <v>592</v>
      </c>
      <c r="E595" s="16" t="s">
        <v>586</v>
      </c>
      <c r="F595" s="16" t="s">
        <v>24</v>
      </c>
      <c r="G595" s="17">
        <v>1</v>
      </c>
      <c r="H595" s="18">
        <v>7</v>
      </c>
      <c r="I595" s="19"/>
      <c r="J595" s="19">
        <v>200</v>
      </c>
      <c r="K595" s="19"/>
      <c r="L595" s="19">
        <f t="shared" si="79"/>
        <v>7</v>
      </c>
      <c r="M595" s="21">
        <f t="shared" si="87"/>
        <v>7</v>
      </c>
      <c r="N595" s="22">
        <f t="shared" si="88"/>
        <v>7</v>
      </c>
      <c r="O595" s="22">
        <f t="shared" si="89"/>
        <v>0</v>
      </c>
      <c r="P595" s="20">
        <f t="shared" si="90"/>
        <v>0</v>
      </c>
      <c r="Q595" s="23">
        <f t="shared" si="85"/>
        <v>200</v>
      </c>
      <c r="R595" s="20">
        <f t="shared" si="86"/>
        <v>200</v>
      </c>
      <c r="S595" s="20">
        <f t="shared" si="86"/>
        <v>200</v>
      </c>
      <c r="T595" s="18">
        <f t="shared" si="91"/>
        <v>1400</v>
      </c>
      <c r="U595" s="18"/>
      <c r="V595" s="25"/>
    </row>
    <row r="596" spans="1:22" ht="24" customHeight="1">
      <c r="A596" s="26"/>
      <c r="B596" s="15"/>
      <c r="C596" s="15"/>
      <c r="D596" s="16">
        <v>593</v>
      </c>
      <c r="E596" s="16" t="s">
        <v>587</v>
      </c>
      <c r="F596" s="16" t="s">
        <v>24</v>
      </c>
      <c r="G596" s="17">
        <v>1</v>
      </c>
      <c r="H596" s="18">
        <v>7</v>
      </c>
      <c r="I596" s="19"/>
      <c r="J596" s="19">
        <v>250</v>
      </c>
      <c r="K596" s="19"/>
      <c r="L596" s="19">
        <f t="shared" si="79"/>
        <v>7</v>
      </c>
      <c r="M596" s="21">
        <f t="shared" si="87"/>
        <v>7</v>
      </c>
      <c r="N596" s="22">
        <f t="shared" si="88"/>
        <v>7</v>
      </c>
      <c r="O596" s="22">
        <f t="shared" si="89"/>
        <v>0</v>
      </c>
      <c r="P596" s="20">
        <f t="shared" si="90"/>
        <v>0</v>
      </c>
      <c r="Q596" s="23">
        <f t="shared" si="85"/>
        <v>250</v>
      </c>
      <c r="R596" s="20">
        <f t="shared" si="86"/>
        <v>250</v>
      </c>
      <c r="S596" s="20">
        <f t="shared" si="86"/>
        <v>250</v>
      </c>
      <c r="T596" s="18">
        <f t="shared" si="91"/>
        <v>1750</v>
      </c>
      <c r="U596" s="18"/>
      <c r="V596" s="25"/>
    </row>
    <row r="597" spans="1:22" ht="24" customHeight="1">
      <c r="A597" s="26"/>
      <c r="B597" s="15"/>
      <c r="C597" s="15"/>
      <c r="D597" s="16">
        <v>594</v>
      </c>
      <c r="E597" s="16" t="s">
        <v>588</v>
      </c>
      <c r="F597" s="16" t="s">
        <v>24</v>
      </c>
      <c r="G597" s="17">
        <v>1</v>
      </c>
      <c r="H597" s="18">
        <v>1</v>
      </c>
      <c r="I597" s="19"/>
      <c r="J597" s="19">
        <v>1850</v>
      </c>
      <c r="K597" s="19"/>
      <c r="L597" s="19">
        <f t="shared" si="79"/>
        <v>1</v>
      </c>
      <c r="M597" s="21">
        <f t="shared" si="87"/>
        <v>1</v>
      </c>
      <c r="N597" s="22">
        <f t="shared" si="88"/>
        <v>1</v>
      </c>
      <c r="O597" s="22">
        <f t="shared" si="89"/>
        <v>0</v>
      </c>
      <c r="P597" s="20">
        <f t="shared" si="90"/>
        <v>0</v>
      </c>
      <c r="Q597" s="23">
        <f t="shared" si="85"/>
        <v>1850</v>
      </c>
      <c r="R597" s="20">
        <f t="shared" si="86"/>
        <v>1850</v>
      </c>
      <c r="S597" s="20">
        <f t="shared" si="86"/>
        <v>1850</v>
      </c>
      <c r="T597" s="18">
        <f t="shared" si="91"/>
        <v>1850</v>
      </c>
      <c r="U597" s="18"/>
      <c r="V597" s="25"/>
    </row>
    <row r="598" spans="1:22" ht="24" customHeight="1">
      <c r="A598" s="26"/>
      <c r="B598" s="15"/>
      <c r="C598" s="15"/>
      <c r="D598" s="16">
        <v>595</v>
      </c>
      <c r="E598" s="16" t="s">
        <v>589</v>
      </c>
      <c r="F598" s="16" t="s">
        <v>24</v>
      </c>
      <c r="G598" s="17">
        <v>1</v>
      </c>
      <c r="H598" s="18">
        <v>1</v>
      </c>
      <c r="I598" s="19"/>
      <c r="J598" s="19">
        <v>2300</v>
      </c>
      <c r="K598" s="19"/>
      <c r="L598" s="19">
        <f t="shared" si="79"/>
        <v>1</v>
      </c>
      <c r="M598" s="21">
        <f t="shared" si="87"/>
        <v>1</v>
      </c>
      <c r="N598" s="22">
        <f t="shared" si="88"/>
        <v>1</v>
      </c>
      <c r="O598" s="22">
        <f t="shared" si="89"/>
        <v>0</v>
      </c>
      <c r="P598" s="20">
        <f t="shared" si="90"/>
        <v>0</v>
      </c>
      <c r="Q598" s="23">
        <f t="shared" si="85"/>
        <v>2300</v>
      </c>
      <c r="R598" s="20">
        <f t="shared" si="86"/>
        <v>2300</v>
      </c>
      <c r="S598" s="20">
        <f t="shared" si="86"/>
        <v>2300</v>
      </c>
      <c r="T598" s="18">
        <f t="shared" si="91"/>
        <v>2300</v>
      </c>
      <c r="U598" s="18"/>
      <c r="V598" s="25"/>
    </row>
    <row r="599" spans="1:22" ht="24" customHeight="1">
      <c r="A599" s="26"/>
      <c r="B599" s="15"/>
      <c r="C599" s="15"/>
      <c r="D599" s="16">
        <v>596</v>
      </c>
      <c r="E599" s="16" t="s">
        <v>590</v>
      </c>
      <c r="F599" s="16" t="s">
        <v>24</v>
      </c>
      <c r="G599" s="17">
        <v>1</v>
      </c>
      <c r="H599" s="18">
        <v>2</v>
      </c>
      <c r="I599" s="19"/>
      <c r="J599" s="19">
        <v>2400</v>
      </c>
      <c r="K599" s="19"/>
      <c r="L599" s="19">
        <f t="shared" si="79"/>
        <v>2</v>
      </c>
      <c r="M599" s="21">
        <f t="shared" si="87"/>
        <v>2</v>
      </c>
      <c r="N599" s="22">
        <f t="shared" si="88"/>
        <v>2</v>
      </c>
      <c r="O599" s="22">
        <f t="shared" si="89"/>
        <v>0</v>
      </c>
      <c r="P599" s="20">
        <f t="shared" si="90"/>
        <v>0</v>
      </c>
      <c r="Q599" s="23">
        <f t="shared" si="85"/>
        <v>2400</v>
      </c>
      <c r="R599" s="20">
        <f t="shared" si="86"/>
        <v>2400</v>
      </c>
      <c r="S599" s="20">
        <f t="shared" si="86"/>
        <v>2400</v>
      </c>
      <c r="T599" s="18">
        <f t="shared" si="91"/>
        <v>4800</v>
      </c>
      <c r="U599" s="18"/>
      <c r="V599" s="25"/>
    </row>
    <row r="600" spans="1:22" ht="24" customHeight="1">
      <c r="A600" s="26"/>
      <c r="B600" s="15"/>
      <c r="C600" s="15"/>
      <c r="D600" s="16">
        <v>597</v>
      </c>
      <c r="E600" s="16" t="s">
        <v>591</v>
      </c>
      <c r="F600" s="16" t="s">
        <v>24</v>
      </c>
      <c r="G600" s="17">
        <v>1</v>
      </c>
      <c r="H600" s="18">
        <v>1</v>
      </c>
      <c r="I600" s="19"/>
      <c r="J600" s="19">
        <v>900</v>
      </c>
      <c r="K600" s="19"/>
      <c r="L600" s="19">
        <f t="shared" si="79"/>
        <v>1</v>
      </c>
      <c r="M600" s="21">
        <f t="shared" si="87"/>
        <v>1</v>
      </c>
      <c r="N600" s="22">
        <f t="shared" si="88"/>
        <v>1</v>
      </c>
      <c r="O600" s="22">
        <f t="shared" si="89"/>
        <v>0</v>
      </c>
      <c r="P600" s="20">
        <f t="shared" si="90"/>
        <v>0</v>
      </c>
      <c r="Q600" s="23">
        <f t="shared" si="85"/>
        <v>900</v>
      </c>
      <c r="R600" s="20">
        <f t="shared" si="86"/>
        <v>900</v>
      </c>
      <c r="S600" s="20">
        <f t="shared" si="86"/>
        <v>900</v>
      </c>
      <c r="T600" s="18">
        <f t="shared" si="91"/>
        <v>900</v>
      </c>
      <c r="U600" s="18"/>
      <c r="V600" s="25"/>
    </row>
    <row r="601" spans="1:22" ht="24" customHeight="1">
      <c r="A601" s="26"/>
      <c r="B601" s="15"/>
      <c r="C601" s="15"/>
      <c r="D601" s="16">
        <v>598</v>
      </c>
      <c r="E601" s="16" t="s">
        <v>592</v>
      </c>
      <c r="F601" s="16" t="s">
        <v>24</v>
      </c>
      <c r="G601" s="17">
        <v>1</v>
      </c>
      <c r="H601" s="18">
        <v>9</v>
      </c>
      <c r="I601" s="19"/>
      <c r="J601" s="19">
        <v>650</v>
      </c>
      <c r="K601" s="19"/>
      <c r="L601" s="19">
        <f t="shared" si="79"/>
        <v>9</v>
      </c>
      <c r="M601" s="21">
        <f t="shared" si="87"/>
        <v>9</v>
      </c>
      <c r="N601" s="22">
        <f t="shared" si="88"/>
        <v>9</v>
      </c>
      <c r="O601" s="22">
        <f t="shared" si="89"/>
        <v>0</v>
      </c>
      <c r="P601" s="20">
        <f t="shared" si="90"/>
        <v>0</v>
      </c>
      <c r="Q601" s="23">
        <f t="shared" si="85"/>
        <v>650</v>
      </c>
      <c r="R601" s="20">
        <f t="shared" si="86"/>
        <v>650</v>
      </c>
      <c r="S601" s="20">
        <f t="shared" si="86"/>
        <v>650</v>
      </c>
      <c r="T601" s="18">
        <f t="shared" si="91"/>
        <v>5850</v>
      </c>
      <c r="U601" s="18"/>
      <c r="V601" s="25"/>
    </row>
    <row r="602" spans="1:22" ht="24" customHeight="1">
      <c r="A602" s="26"/>
      <c r="B602" s="15"/>
      <c r="C602" s="15"/>
      <c r="D602" s="16">
        <v>599</v>
      </c>
      <c r="E602" s="16" t="s">
        <v>593</v>
      </c>
      <c r="F602" s="16" t="s">
        <v>24</v>
      </c>
      <c r="G602" s="17">
        <v>1</v>
      </c>
      <c r="H602" s="18">
        <v>21</v>
      </c>
      <c r="I602" s="19"/>
      <c r="J602" s="19">
        <v>240</v>
      </c>
      <c r="K602" s="19"/>
      <c r="L602" s="19">
        <f t="shared" si="79"/>
        <v>21</v>
      </c>
      <c r="M602" s="21">
        <f t="shared" si="87"/>
        <v>21</v>
      </c>
      <c r="N602" s="22">
        <f t="shared" si="88"/>
        <v>21</v>
      </c>
      <c r="O602" s="22">
        <f t="shared" si="89"/>
        <v>0</v>
      </c>
      <c r="P602" s="20">
        <f t="shared" si="90"/>
        <v>0</v>
      </c>
      <c r="Q602" s="23">
        <f t="shared" si="85"/>
        <v>240</v>
      </c>
      <c r="R602" s="20">
        <f t="shared" si="86"/>
        <v>240</v>
      </c>
      <c r="S602" s="20">
        <f t="shared" si="86"/>
        <v>240</v>
      </c>
      <c r="T602" s="18">
        <f t="shared" si="91"/>
        <v>5040</v>
      </c>
      <c r="U602" s="18"/>
      <c r="V602" s="25"/>
    </row>
    <row r="603" spans="1:22" ht="24" customHeight="1">
      <c r="A603" s="26"/>
      <c r="B603" s="15"/>
      <c r="C603" s="15"/>
      <c r="D603" s="16">
        <v>600</v>
      </c>
      <c r="E603" s="16" t="s">
        <v>594</v>
      </c>
      <c r="F603" s="16" t="s">
        <v>24</v>
      </c>
      <c r="G603" s="17">
        <v>1</v>
      </c>
      <c r="H603" s="18">
        <v>14</v>
      </c>
      <c r="I603" s="19"/>
      <c r="J603" s="19">
        <v>135</v>
      </c>
      <c r="K603" s="19"/>
      <c r="L603" s="19">
        <f t="shared" si="79"/>
        <v>14</v>
      </c>
      <c r="M603" s="21">
        <f t="shared" si="87"/>
        <v>14</v>
      </c>
      <c r="N603" s="22">
        <f t="shared" si="88"/>
        <v>14</v>
      </c>
      <c r="O603" s="22">
        <f t="shared" si="89"/>
        <v>0</v>
      </c>
      <c r="P603" s="20">
        <f t="shared" si="90"/>
        <v>0</v>
      </c>
      <c r="Q603" s="23">
        <f t="shared" si="85"/>
        <v>135</v>
      </c>
      <c r="R603" s="20">
        <f t="shared" si="86"/>
        <v>135</v>
      </c>
      <c r="S603" s="20">
        <f t="shared" si="86"/>
        <v>135</v>
      </c>
      <c r="T603" s="18">
        <f t="shared" si="91"/>
        <v>1890</v>
      </c>
      <c r="U603" s="18"/>
      <c r="V603" s="25"/>
    </row>
    <row r="604" spans="1:22" ht="24" customHeight="1">
      <c r="A604" s="26"/>
      <c r="B604" s="15"/>
      <c r="C604" s="15"/>
      <c r="D604" s="16">
        <v>601</v>
      </c>
      <c r="E604" s="16" t="s">
        <v>595</v>
      </c>
      <c r="F604" s="16" t="s">
        <v>24</v>
      </c>
      <c r="G604" s="17">
        <v>1</v>
      </c>
      <c r="H604" s="18">
        <v>13</v>
      </c>
      <c r="I604" s="19"/>
      <c r="J604" s="19">
        <v>96</v>
      </c>
      <c r="K604" s="19"/>
      <c r="L604" s="19">
        <f t="shared" si="79"/>
        <v>13</v>
      </c>
      <c r="M604" s="21">
        <f t="shared" si="87"/>
        <v>13</v>
      </c>
      <c r="N604" s="22">
        <f t="shared" si="88"/>
        <v>13</v>
      </c>
      <c r="O604" s="22">
        <f t="shared" si="89"/>
        <v>0</v>
      </c>
      <c r="P604" s="20">
        <f t="shared" si="90"/>
        <v>0</v>
      </c>
      <c r="Q604" s="23">
        <f t="shared" si="85"/>
        <v>96</v>
      </c>
      <c r="R604" s="20">
        <f t="shared" si="86"/>
        <v>96</v>
      </c>
      <c r="S604" s="20">
        <f t="shared" si="86"/>
        <v>96</v>
      </c>
      <c r="T604" s="18">
        <f t="shared" si="91"/>
        <v>1248</v>
      </c>
      <c r="U604" s="18"/>
      <c r="V604" s="25"/>
    </row>
    <row r="605" spans="1:22" ht="24" customHeight="1">
      <c r="A605" s="26"/>
      <c r="B605" s="15"/>
      <c r="C605" s="15"/>
      <c r="D605" s="16">
        <v>602</v>
      </c>
      <c r="E605" s="16" t="s">
        <v>596</v>
      </c>
      <c r="F605" s="16" t="s">
        <v>24</v>
      </c>
      <c r="G605" s="17">
        <v>1</v>
      </c>
      <c r="H605" s="18">
        <v>16</v>
      </c>
      <c r="I605" s="19"/>
      <c r="J605" s="19">
        <v>280</v>
      </c>
      <c r="K605" s="19"/>
      <c r="L605" s="19">
        <f t="shared" si="79"/>
        <v>16</v>
      </c>
      <c r="M605" s="21">
        <f t="shared" si="87"/>
        <v>16</v>
      </c>
      <c r="N605" s="22">
        <f t="shared" si="88"/>
        <v>16</v>
      </c>
      <c r="O605" s="22">
        <f t="shared" si="89"/>
        <v>0</v>
      </c>
      <c r="P605" s="20">
        <f t="shared" si="90"/>
        <v>0</v>
      </c>
      <c r="Q605" s="23">
        <f t="shared" ref="Q605:Q668" si="92">IFERROR(J605*G605,"")</f>
        <v>280</v>
      </c>
      <c r="R605" s="20">
        <f t="shared" si="86"/>
        <v>280</v>
      </c>
      <c r="S605" s="20">
        <f t="shared" si="86"/>
        <v>280</v>
      </c>
      <c r="T605" s="18">
        <f t="shared" si="91"/>
        <v>4480</v>
      </c>
      <c r="U605" s="18"/>
      <c r="V605" s="25"/>
    </row>
    <row r="606" spans="1:22" ht="24" customHeight="1">
      <c r="A606" s="26"/>
      <c r="B606" s="15"/>
      <c r="C606" s="15"/>
      <c r="D606" s="16">
        <v>603</v>
      </c>
      <c r="E606" s="16" t="s">
        <v>597</v>
      </c>
      <c r="F606" s="16" t="s">
        <v>24</v>
      </c>
      <c r="G606" s="17">
        <v>1</v>
      </c>
      <c r="H606" s="18">
        <v>1</v>
      </c>
      <c r="I606" s="19"/>
      <c r="J606" s="19">
        <v>3500</v>
      </c>
      <c r="K606" s="19"/>
      <c r="L606" s="19">
        <f t="shared" si="79"/>
        <v>1</v>
      </c>
      <c r="M606" s="21">
        <f t="shared" si="87"/>
        <v>1</v>
      </c>
      <c r="N606" s="22">
        <f t="shared" si="88"/>
        <v>1</v>
      </c>
      <c r="O606" s="22">
        <f t="shared" si="89"/>
        <v>0</v>
      </c>
      <c r="P606" s="20">
        <f t="shared" si="90"/>
        <v>0</v>
      </c>
      <c r="Q606" s="23">
        <f t="shared" si="92"/>
        <v>3500</v>
      </c>
      <c r="R606" s="20">
        <f t="shared" si="86"/>
        <v>3500</v>
      </c>
      <c r="S606" s="20">
        <f t="shared" si="86"/>
        <v>3500</v>
      </c>
      <c r="T606" s="18">
        <f t="shared" si="91"/>
        <v>3500</v>
      </c>
      <c r="U606" s="18"/>
      <c r="V606" s="25"/>
    </row>
    <row r="607" spans="1:22" ht="24" customHeight="1">
      <c r="A607" s="26"/>
      <c r="B607" s="15"/>
      <c r="C607" s="15"/>
      <c r="D607" s="16">
        <v>604</v>
      </c>
      <c r="E607" s="16" t="s">
        <v>598</v>
      </c>
      <c r="F607" s="16" t="s">
        <v>24</v>
      </c>
      <c r="G607" s="17">
        <v>1</v>
      </c>
      <c r="H607" s="18">
        <v>1</v>
      </c>
      <c r="I607" s="19"/>
      <c r="J607" s="19">
        <v>250</v>
      </c>
      <c r="K607" s="19"/>
      <c r="L607" s="19">
        <f t="shared" si="79"/>
        <v>1</v>
      </c>
      <c r="M607" s="21">
        <f t="shared" si="87"/>
        <v>1</v>
      </c>
      <c r="N607" s="22">
        <f t="shared" si="88"/>
        <v>1</v>
      </c>
      <c r="O607" s="22">
        <f t="shared" si="89"/>
        <v>0</v>
      </c>
      <c r="P607" s="20">
        <f t="shared" si="90"/>
        <v>0</v>
      </c>
      <c r="Q607" s="23">
        <f t="shared" si="92"/>
        <v>250</v>
      </c>
      <c r="R607" s="20">
        <f t="shared" si="86"/>
        <v>250</v>
      </c>
      <c r="S607" s="20">
        <f t="shared" si="86"/>
        <v>250</v>
      </c>
      <c r="T607" s="18">
        <f t="shared" si="91"/>
        <v>250</v>
      </c>
      <c r="U607" s="18"/>
      <c r="V607" s="25"/>
    </row>
    <row r="608" spans="1:22" ht="24" customHeight="1">
      <c r="A608" s="26"/>
      <c r="B608" s="15"/>
      <c r="C608" s="15"/>
      <c r="D608" s="16">
        <v>605</v>
      </c>
      <c r="E608" s="16" t="s">
        <v>599</v>
      </c>
      <c r="F608" s="16" t="s">
        <v>24</v>
      </c>
      <c r="G608" s="17">
        <v>1</v>
      </c>
      <c r="H608" s="18">
        <v>1</v>
      </c>
      <c r="I608" s="19"/>
      <c r="J608" s="19">
        <v>2000</v>
      </c>
      <c r="K608" s="19"/>
      <c r="L608" s="19">
        <f t="shared" si="79"/>
        <v>1</v>
      </c>
      <c r="M608" s="21">
        <f t="shared" si="87"/>
        <v>1</v>
      </c>
      <c r="N608" s="22">
        <f t="shared" si="88"/>
        <v>1</v>
      </c>
      <c r="O608" s="22">
        <f t="shared" si="89"/>
        <v>0</v>
      </c>
      <c r="P608" s="20">
        <f t="shared" si="90"/>
        <v>0</v>
      </c>
      <c r="Q608" s="23">
        <f t="shared" si="92"/>
        <v>2000</v>
      </c>
      <c r="R608" s="20">
        <f t="shared" si="86"/>
        <v>2000</v>
      </c>
      <c r="S608" s="20">
        <f t="shared" si="86"/>
        <v>2000</v>
      </c>
      <c r="T608" s="18">
        <f t="shared" si="91"/>
        <v>2000</v>
      </c>
      <c r="U608" s="18"/>
      <c r="V608" s="25"/>
    </row>
    <row r="609" spans="1:22" ht="24" customHeight="1">
      <c r="A609" s="26"/>
      <c r="B609" s="15"/>
      <c r="C609" s="15"/>
      <c r="D609" s="16">
        <v>606</v>
      </c>
      <c r="E609" s="16" t="s">
        <v>600</v>
      </c>
      <c r="F609" s="16" t="s">
        <v>24</v>
      </c>
      <c r="G609" s="17">
        <v>1</v>
      </c>
      <c r="H609" s="18">
        <v>1</v>
      </c>
      <c r="I609" s="19"/>
      <c r="J609" s="19">
        <v>600</v>
      </c>
      <c r="K609" s="19"/>
      <c r="L609" s="19">
        <f t="shared" si="79"/>
        <v>1</v>
      </c>
      <c r="M609" s="21">
        <f t="shared" si="87"/>
        <v>1</v>
      </c>
      <c r="N609" s="22">
        <f t="shared" si="88"/>
        <v>1</v>
      </c>
      <c r="O609" s="22">
        <f t="shared" si="89"/>
        <v>0</v>
      </c>
      <c r="P609" s="20">
        <f t="shared" si="90"/>
        <v>0</v>
      </c>
      <c r="Q609" s="23">
        <f t="shared" si="92"/>
        <v>600</v>
      </c>
      <c r="R609" s="20">
        <f t="shared" si="86"/>
        <v>600</v>
      </c>
      <c r="S609" s="20">
        <f t="shared" si="86"/>
        <v>600</v>
      </c>
      <c r="T609" s="18">
        <f t="shared" si="91"/>
        <v>600</v>
      </c>
      <c r="U609" s="18"/>
      <c r="V609" s="25"/>
    </row>
    <row r="610" spans="1:22" ht="24" customHeight="1">
      <c r="A610" s="26"/>
      <c r="B610" s="15"/>
      <c r="C610" s="15"/>
      <c r="D610" s="16">
        <v>607</v>
      </c>
      <c r="E610" s="16" t="s">
        <v>601</v>
      </c>
      <c r="F610" s="16" t="s">
        <v>24</v>
      </c>
      <c r="G610" s="17">
        <v>1</v>
      </c>
      <c r="H610" s="18">
        <v>2</v>
      </c>
      <c r="I610" s="19"/>
      <c r="J610" s="19">
        <v>2000</v>
      </c>
      <c r="K610" s="19"/>
      <c r="L610" s="19">
        <f t="shared" si="79"/>
        <v>2</v>
      </c>
      <c r="M610" s="21">
        <f t="shared" si="87"/>
        <v>2</v>
      </c>
      <c r="N610" s="22">
        <f t="shared" si="88"/>
        <v>2</v>
      </c>
      <c r="O610" s="22">
        <f t="shared" si="89"/>
        <v>0</v>
      </c>
      <c r="P610" s="20">
        <f t="shared" si="90"/>
        <v>0</v>
      </c>
      <c r="Q610" s="23">
        <f t="shared" si="92"/>
        <v>2000</v>
      </c>
      <c r="R610" s="20">
        <f t="shared" si="86"/>
        <v>2000</v>
      </c>
      <c r="S610" s="20">
        <f t="shared" si="86"/>
        <v>2000</v>
      </c>
      <c r="T610" s="18">
        <f t="shared" si="91"/>
        <v>4000</v>
      </c>
      <c r="U610" s="18"/>
      <c r="V610" s="25"/>
    </row>
    <row r="611" spans="1:22" ht="24" customHeight="1">
      <c r="A611" s="26"/>
      <c r="B611" s="15"/>
      <c r="C611" s="15"/>
      <c r="D611" s="16">
        <v>608</v>
      </c>
      <c r="E611" s="16" t="s">
        <v>602</v>
      </c>
      <c r="F611" s="16" t="s">
        <v>24</v>
      </c>
      <c r="G611" s="17">
        <v>1</v>
      </c>
      <c r="H611" s="18">
        <v>11</v>
      </c>
      <c r="I611" s="19"/>
      <c r="J611" s="19">
        <v>210</v>
      </c>
      <c r="K611" s="19"/>
      <c r="L611" s="19">
        <f t="shared" si="79"/>
        <v>11</v>
      </c>
      <c r="M611" s="21">
        <f t="shared" si="87"/>
        <v>11</v>
      </c>
      <c r="N611" s="22">
        <f t="shared" si="88"/>
        <v>11</v>
      </c>
      <c r="O611" s="22">
        <f t="shared" si="89"/>
        <v>0</v>
      </c>
      <c r="P611" s="20">
        <f t="shared" si="90"/>
        <v>0</v>
      </c>
      <c r="Q611" s="23">
        <f t="shared" si="92"/>
        <v>210</v>
      </c>
      <c r="R611" s="20">
        <f t="shared" si="86"/>
        <v>210</v>
      </c>
      <c r="S611" s="20">
        <f t="shared" si="86"/>
        <v>210</v>
      </c>
      <c r="T611" s="18">
        <f t="shared" si="91"/>
        <v>2310</v>
      </c>
      <c r="U611" s="18"/>
      <c r="V611" s="25"/>
    </row>
    <row r="612" spans="1:22" ht="24" customHeight="1">
      <c r="A612" s="26"/>
      <c r="B612" s="15"/>
      <c r="C612" s="15"/>
      <c r="D612" s="16">
        <v>609</v>
      </c>
      <c r="E612" s="16" t="s">
        <v>161</v>
      </c>
      <c r="F612" s="16" t="s">
        <v>24</v>
      </c>
      <c r="G612" s="17">
        <v>1</v>
      </c>
      <c r="H612" s="18">
        <v>13</v>
      </c>
      <c r="I612" s="19"/>
      <c r="J612" s="19">
        <v>300</v>
      </c>
      <c r="K612" s="19"/>
      <c r="L612" s="19">
        <f t="shared" si="79"/>
        <v>13</v>
      </c>
      <c r="M612" s="21">
        <f t="shared" si="87"/>
        <v>13</v>
      </c>
      <c r="N612" s="22">
        <f t="shared" si="88"/>
        <v>13</v>
      </c>
      <c r="O612" s="22">
        <f t="shared" si="89"/>
        <v>0</v>
      </c>
      <c r="P612" s="20">
        <f t="shared" si="90"/>
        <v>0</v>
      </c>
      <c r="Q612" s="23">
        <f t="shared" si="92"/>
        <v>300</v>
      </c>
      <c r="R612" s="20">
        <f t="shared" si="86"/>
        <v>300</v>
      </c>
      <c r="S612" s="20">
        <f t="shared" si="86"/>
        <v>300</v>
      </c>
      <c r="T612" s="18">
        <f t="shared" si="91"/>
        <v>3900</v>
      </c>
      <c r="U612" s="18"/>
      <c r="V612" s="25"/>
    </row>
    <row r="613" spans="1:22" ht="24" customHeight="1">
      <c r="A613" s="26"/>
      <c r="B613" s="15"/>
      <c r="C613" s="15"/>
      <c r="D613" s="16">
        <v>610</v>
      </c>
      <c r="E613" s="16" t="s">
        <v>149</v>
      </c>
      <c r="F613" s="16" t="s">
        <v>24</v>
      </c>
      <c r="G613" s="17">
        <v>1</v>
      </c>
      <c r="H613" s="18">
        <v>12</v>
      </c>
      <c r="I613" s="19"/>
      <c r="J613" s="19">
        <v>270</v>
      </c>
      <c r="K613" s="19"/>
      <c r="L613" s="19">
        <f t="shared" si="79"/>
        <v>12</v>
      </c>
      <c r="M613" s="21">
        <f t="shared" si="87"/>
        <v>12</v>
      </c>
      <c r="N613" s="22">
        <f t="shared" si="88"/>
        <v>12</v>
      </c>
      <c r="O613" s="22">
        <f t="shared" si="89"/>
        <v>0</v>
      </c>
      <c r="P613" s="20">
        <f t="shared" si="90"/>
        <v>0</v>
      </c>
      <c r="Q613" s="23">
        <f t="shared" si="92"/>
        <v>270</v>
      </c>
      <c r="R613" s="20">
        <f t="shared" si="86"/>
        <v>270</v>
      </c>
      <c r="S613" s="20">
        <f t="shared" si="86"/>
        <v>270</v>
      </c>
      <c r="T613" s="18">
        <f t="shared" si="91"/>
        <v>3240</v>
      </c>
      <c r="U613" s="18"/>
      <c r="V613" s="25"/>
    </row>
    <row r="614" spans="1:22" ht="24" customHeight="1">
      <c r="A614" s="26"/>
      <c r="B614" s="15"/>
      <c r="C614" s="15"/>
      <c r="D614" s="16">
        <v>611</v>
      </c>
      <c r="E614" s="16" t="s">
        <v>603</v>
      </c>
      <c r="F614" s="16" t="s">
        <v>24</v>
      </c>
      <c r="G614" s="17">
        <v>1</v>
      </c>
      <c r="H614" s="18">
        <v>18</v>
      </c>
      <c r="I614" s="19"/>
      <c r="J614" s="19">
        <v>400</v>
      </c>
      <c r="K614" s="19"/>
      <c r="L614" s="19">
        <f t="shared" si="79"/>
        <v>18</v>
      </c>
      <c r="M614" s="21">
        <f t="shared" si="87"/>
        <v>18</v>
      </c>
      <c r="N614" s="22">
        <f t="shared" si="88"/>
        <v>18</v>
      </c>
      <c r="O614" s="22">
        <f t="shared" si="89"/>
        <v>0</v>
      </c>
      <c r="P614" s="20">
        <f t="shared" si="90"/>
        <v>0</v>
      </c>
      <c r="Q614" s="23">
        <f t="shared" si="92"/>
        <v>400</v>
      </c>
      <c r="R614" s="20">
        <f t="shared" si="86"/>
        <v>400</v>
      </c>
      <c r="S614" s="20">
        <f t="shared" si="86"/>
        <v>400</v>
      </c>
      <c r="T614" s="18">
        <f t="shared" si="91"/>
        <v>7200</v>
      </c>
      <c r="U614" s="18"/>
      <c r="V614" s="25"/>
    </row>
    <row r="615" spans="1:22" ht="24" customHeight="1">
      <c r="A615" s="26"/>
      <c r="B615" s="15"/>
      <c r="C615" s="15"/>
      <c r="D615" s="16">
        <v>612</v>
      </c>
      <c r="E615" s="16" t="s">
        <v>604</v>
      </c>
      <c r="F615" s="16" t="s">
        <v>24</v>
      </c>
      <c r="G615" s="17">
        <v>1</v>
      </c>
      <c r="H615" s="18">
        <v>24</v>
      </c>
      <c r="I615" s="19"/>
      <c r="J615" s="19">
        <v>270</v>
      </c>
      <c r="K615" s="19"/>
      <c r="L615" s="19">
        <f t="shared" si="79"/>
        <v>24</v>
      </c>
      <c r="M615" s="21">
        <f t="shared" si="87"/>
        <v>24</v>
      </c>
      <c r="N615" s="22">
        <f t="shared" si="88"/>
        <v>24</v>
      </c>
      <c r="O615" s="22">
        <f t="shared" si="89"/>
        <v>0</v>
      </c>
      <c r="P615" s="20">
        <f t="shared" si="90"/>
        <v>0</v>
      </c>
      <c r="Q615" s="23">
        <f t="shared" si="92"/>
        <v>270</v>
      </c>
      <c r="R615" s="20">
        <f t="shared" si="86"/>
        <v>270</v>
      </c>
      <c r="S615" s="20">
        <f t="shared" si="86"/>
        <v>270</v>
      </c>
      <c r="T615" s="18">
        <f t="shared" si="91"/>
        <v>6480</v>
      </c>
      <c r="U615" s="18"/>
      <c r="V615" s="25"/>
    </row>
    <row r="616" spans="1:22" ht="24" customHeight="1">
      <c r="A616" s="26"/>
      <c r="B616" s="15"/>
      <c r="C616" s="15"/>
      <c r="D616" s="16">
        <v>613</v>
      </c>
      <c r="E616" s="16" t="s">
        <v>605</v>
      </c>
      <c r="F616" s="16" t="s">
        <v>24</v>
      </c>
      <c r="G616" s="17">
        <v>1</v>
      </c>
      <c r="H616" s="18">
        <v>12</v>
      </c>
      <c r="I616" s="19"/>
      <c r="J616" s="19">
        <v>250</v>
      </c>
      <c r="K616" s="19"/>
      <c r="L616" s="19">
        <f t="shared" si="79"/>
        <v>12</v>
      </c>
      <c r="M616" s="21">
        <f t="shared" si="87"/>
        <v>12</v>
      </c>
      <c r="N616" s="22">
        <f t="shared" si="88"/>
        <v>12</v>
      </c>
      <c r="O616" s="22">
        <f t="shared" si="89"/>
        <v>0</v>
      </c>
      <c r="P616" s="20">
        <f t="shared" si="90"/>
        <v>0</v>
      </c>
      <c r="Q616" s="23">
        <f t="shared" si="92"/>
        <v>250</v>
      </c>
      <c r="R616" s="20">
        <f t="shared" si="86"/>
        <v>250</v>
      </c>
      <c r="S616" s="20">
        <f t="shared" si="86"/>
        <v>250</v>
      </c>
      <c r="T616" s="18">
        <f t="shared" si="91"/>
        <v>3000</v>
      </c>
      <c r="U616" s="18"/>
      <c r="V616" s="25"/>
    </row>
    <row r="617" spans="1:22" ht="24" customHeight="1">
      <c r="A617" s="26"/>
      <c r="B617" s="15"/>
      <c r="C617" s="15"/>
      <c r="D617" s="16">
        <v>614</v>
      </c>
      <c r="E617" s="16" t="s">
        <v>606</v>
      </c>
      <c r="F617" s="16" t="s">
        <v>24</v>
      </c>
      <c r="G617" s="17">
        <v>1</v>
      </c>
      <c r="H617" s="18">
        <v>13</v>
      </c>
      <c r="I617" s="19"/>
      <c r="J617" s="19">
        <v>400</v>
      </c>
      <c r="K617" s="19"/>
      <c r="L617" s="19">
        <f t="shared" si="79"/>
        <v>13</v>
      </c>
      <c r="M617" s="21">
        <f t="shared" si="87"/>
        <v>13</v>
      </c>
      <c r="N617" s="22">
        <f t="shared" si="88"/>
        <v>13</v>
      </c>
      <c r="O617" s="22">
        <f t="shared" si="89"/>
        <v>0</v>
      </c>
      <c r="P617" s="20">
        <f t="shared" si="90"/>
        <v>0</v>
      </c>
      <c r="Q617" s="23">
        <f t="shared" si="92"/>
        <v>400</v>
      </c>
      <c r="R617" s="20">
        <f t="shared" si="86"/>
        <v>400</v>
      </c>
      <c r="S617" s="20">
        <f t="shared" si="86"/>
        <v>400</v>
      </c>
      <c r="T617" s="18">
        <f t="shared" si="91"/>
        <v>5200</v>
      </c>
      <c r="U617" s="18"/>
      <c r="V617" s="25"/>
    </row>
    <row r="618" spans="1:22" ht="24" customHeight="1">
      <c r="A618" s="26"/>
      <c r="B618" s="15"/>
      <c r="C618" s="15"/>
      <c r="D618" s="16">
        <v>615</v>
      </c>
      <c r="E618" s="16" t="s">
        <v>607</v>
      </c>
      <c r="F618" s="16" t="s">
        <v>24</v>
      </c>
      <c r="G618" s="17">
        <v>1</v>
      </c>
      <c r="H618" s="18">
        <v>1</v>
      </c>
      <c r="I618" s="19"/>
      <c r="J618" s="19">
        <v>400</v>
      </c>
      <c r="K618" s="19"/>
      <c r="L618" s="19">
        <f t="shared" si="79"/>
        <v>1</v>
      </c>
      <c r="M618" s="21">
        <f t="shared" si="87"/>
        <v>1</v>
      </c>
      <c r="N618" s="22">
        <f t="shared" si="88"/>
        <v>1</v>
      </c>
      <c r="O618" s="22">
        <f t="shared" si="89"/>
        <v>0</v>
      </c>
      <c r="P618" s="20">
        <f t="shared" si="90"/>
        <v>0</v>
      </c>
      <c r="Q618" s="23">
        <f t="shared" si="92"/>
        <v>400</v>
      </c>
      <c r="R618" s="20">
        <f t="shared" si="86"/>
        <v>400</v>
      </c>
      <c r="S618" s="20">
        <f t="shared" si="86"/>
        <v>400</v>
      </c>
      <c r="T618" s="18">
        <f t="shared" si="91"/>
        <v>400</v>
      </c>
      <c r="U618" s="18"/>
      <c r="V618" s="25"/>
    </row>
    <row r="619" spans="1:22" ht="24" customHeight="1">
      <c r="A619" s="26"/>
      <c r="B619" s="15"/>
      <c r="C619" s="15"/>
      <c r="D619" s="16">
        <v>616</v>
      </c>
      <c r="E619" s="16" t="s">
        <v>608</v>
      </c>
      <c r="F619" s="16" t="s">
        <v>24</v>
      </c>
      <c r="G619" s="17">
        <v>1</v>
      </c>
      <c r="H619" s="18">
        <v>3</v>
      </c>
      <c r="I619" s="19"/>
      <c r="J619" s="19">
        <v>240</v>
      </c>
      <c r="K619" s="19"/>
      <c r="L619" s="19">
        <f t="shared" si="79"/>
        <v>3</v>
      </c>
      <c r="M619" s="21">
        <f t="shared" si="87"/>
        <v>3</v>
      </c>
      <c r="N619" s="22">
        <f t="shared" si="88"/>
        <v>3</v>
      </c>
      <c r="O619" s="22">
        <f t="shared" si="89"/>
        <v>0</v>
      </c>
      <c r="P619" s="20">
        <f t="shared" si="90"/>
        <v>0</v>
      </c>
      <c r="Q619" s="23">
        <f t="shared" si="92"/>
        <v>240</v>
      </c>
      <c r="R619" s="20">
        <f t="shared" si="86"/>
        <v>240</v>
      </c>
      <c r="S619" s="20">
        <f t="shared" si="86"/>
        <v>240</v>
      </c>
      <c r="T619" s="18">
        <f t="shared" si="91"/>
        <v>720</v>
      </c>
      <c r="U619" s="18"/>
      <c r="V619" s="25"/>
    </row>
    <row r="620" spans="1:22" ht="24" customHeight="1">
      <c r="A620" s="26"/>
      <c r="B620" s="15"/>
      <c r="C620" s="15"/>
      <c r="D620" s="16">
        <v>617</v>
      </c>
      <c r="E620" s="16" t="s">
        <v>609</v>
      </c>
      <c r="F620" s="16" t="s">
        <v>24</v>
      </c>
      <c r="G620" s="17">
        <v>1</v>
      </c>
      <c r="H620" s="18">
        <v>51</v>
      </c>
      <c r="I620" s="19"/>
      <c r="J620" s="19">
        <v>900</v>
      </c>
      <c r="K620" s="19"/>
      <c r="L620" s="19">
        <f t="shared" si="79"/>
        <v>51</v>
      </c>
      <c r="M620" s="21">
        <f t="shared" si="87"/>
        <v>51</v>
      </c>
      <c r="N620" s="22">
        <f t="shared" si="88"/>
        <v>51</v>
      </c>
      <c r="O620" s="22">
        <f t="shared" si="89"/>
        <v>0</v>
      </c>
      <c r="P620" s="20">
        <f t="shared" si="90"/>
        <v>0</v>
      </c>
      <c r="Q620" s="23">
        <f t="shared" si="92"/>
        <v>900</v>
      </c>
      <c r="R620" s="20">
        <f t="shared" si="86"/>
        <v>900</v>
      </c>
      <c r="S620" s="20">
        <f t="shared" si="86"/>
        <v>900</v>
      </c>
      <c r="T620" s="18">
        <f t="shared" si="91"/>
        <v>45900</v>
      </c>
      <c r="U620" s="18"/>
      <c r="V620" s="25"/>
    </row>
    <row r="621" spans="1:22" ht="24" customHeight="1">
      <c r="A621" s="26"/>
      <c r="B621" s="15"/>
      <c r="C621" s="15"/>
      <c r="D621" s="16">
        <v>618</v>
      </c>
      <c r="E621" s="16" t="s">
        <v>610</v>
      </c>
      <c r="F621" s="16" t="s">
        <v>24</v>
      </c>
      <c r="G621" s="17">
        <v>1</v>
      </c>
      <c r="H621" s="18">
        <v>3</v>
      </c>
      <c r="I621" s="19"/>
      <c r="J621" s="19">
        <v>250</v>
      </c>
      <c r="K621" s="19"/>
      <c r="L621" s="19">
        <f t="shared" si="79"/>
        <v>3</v>
      </c>
      <c r="M621" s="21">
        <f t="shared" si="87"/>
        <v>3</v>
      </c>
      <c r="N621" s="22">
        <f t="shared" si="88"/>
        <v>3</v>
      </c>
      <c r="O621" s="22">
        <f t="shared" si="89"/>
        <v>0</v>
      </c>
      <c r="P621" s="20">
        <f t="shared" si="90"/>
        <v>0</v>
      </c>
      <c r="Q621" s="23">
        <f t="shared" si="92"/>
        <v>250</v>
      </c>
      <c r="R621" s="20">
        <f t="shared" si="86"/>
        <v>250</v>
      </c>
      <c r="S621" s="20">
        <f t="shared" si="86"/>
        <v>250</v>
      </c>
      <c r="T621" s="18">
        <f t="shared" si="91"/>
        <v>750</v>
      </c>
      <c r="U621" s="18"/>
      <c r="V621" s="25"/>
    </row>
    <row r="622" spans="1:22" ht="24" customHeight="1">
      <c r="A622" s="26"/>
      <c r="B622" s="15"/>
      <c r="C622" s="15"/>
      <c r="D622" s="16">
        <v>619</v>
      </c>
      <c r="E622" s="16" t="s">
        <v>292</v>
      </c>
      <c r="F622" s="16" t="s">
        <v>24</v>
      </c>
      <c r="G622" s="17">
        <v>10</v>
      </c>
      <c r="H622" s="18">
        <v>2</v>
      </c>
      <c r="I622" s="19"/>
      <c r="J622" s="19">
        <v>200</v>
      </c>
      <c r="K622" s="19"/>
      <c r="L622" s="19">
        <f t="shared" si="79"/>
        <v>2</v>
      </c>
      <c r="M622" s="21">
        <f t="shared" si="87"/>
        <v>0.2</v>
      </c>
      <c r="N622" s="22">
        <f t="shared" si="88"/>
        <v>2</v>
      </c>
      <c r="O622" s="22">
        <f t="shared" si="89"/>
        <v>0</v>
      </c>
      <c r="P622" s="20">
        <f t="shared" si="90"/>
        <v>0</v>
      </c>
      <c r="Q622" s="23">
        <f t="shared" si="92"/>
        <v>2000</v>
      </c>
      <c r="R622" s="20">
        <f t="shared" si="86"/>
        <v>200</v>
      </c>
      <c r="S622" s="20">
        <f t="shared" si="86"/>
        <v>2000</v>
      </c>
      <c r="T622" s="18">
        <f t="shared" si="91"/>
        <v>400</v>
      </c>
      <c r="U622" s="18"/>
      <c r="V622" s="25"/>
    </row>
    <row r="623" spans="1:22" ht="24" customHeight="1">
      <c r="A623" s="26"/>
      <c r="B623" s="15"/>
      <c r="C623" s="15"/>
      <c r="D623" s="16">
        <v>620</v>
      </c>
      <c r="E623" s="16" t="s">
        <v>56</v>
      </c>
      <c r="F623" s="16" t="s">
        <v>24</v>
      </c>
      <c r="G623" s="17">
        <v>1</v>
      </c>
      <c r="H623" s="18">
        <v>32</v>
      </c>
      <c r="I623" s="19"/>
      <c r="J623" s="19">
        <v>200</v>
      </c>
      <c r="K623" s="19"/>
      <c r="L623" s="19">
        <f t="shared" si="79"/>
        <v>32</v>
      </c>
      <c r="M623" s="21">
        <f t="shared" si="87"/>
        <v>32</v>
      </c>
      <c r="N623" s="22">
        <f t="shared" si="88"/>
        <v>32</v>
      </c>
      <c r="O623" s="22">
        <f t="shared" si="89"/>
        <v>0</v>
      </c>
      <c r="P623" s="20">
        <f t="shared" si="90"/>
        <v>0</v>
      </c>
      <c r="Q623" s="23">
        <f t="shared" si="92"/>
        <v>200</v>
      </c>
      <c r="R623" s="20">
        <f t="shared" ref="R623:S686" si="93">IFERROR(IF(J623&gt;0,J623,IF(J623&lt;0,P623,IF(J623=0,P623))),"")</f>
        <v>200</v>
      </c>
      <c r="S623" s="20">
        <f t="shared" si="93"/>
        <v>200</v>
      </c>
      <c r="T623" s="18">
        <f t="shared" si="91"/>
        <v>6400</v>
      </c>
      <c r="U623" s="18"/>
      <c r="V623" s="25"/>
    </row>
    <row r="624" spans="1:22" ht="24" customHeight="1">
      <c r="A624" s="26"/>
      <c r="B624" s="15"/>
      <c r="C624" s="15"/>
      <c r="D624" s="16">
        <v>621</v>
      </c>
      <c r="E624" s="16" t="s">
        <v>611</v>
      </c>
      <c r="F624" s="16" t="s">
        <v>24</v>
      </c>
      <c r="G624" s="17">
        <v>50</v>
      </c>
      <c r="H624" s="18">
        <v>25</v>
      </c>
      <c r="I624" s="19"/>
      <c r="J624" s="19">
        <v>700</v>
      </c>
      <c r="K624" s="19"/>
      <c r="L624" s="19">
        <f t="shared" si="79"/>
        <v>25</v>
      </c>
      <c r="M624" s="21">
        <f t="shared" si="87"/>
        <v>0.5</v>
      </c>
      <c r="N624" s="22">
        <f t="shared" si="88"/>
        <v>25</v>
      </c>
      <c r="O624" s="22">
        <f t="shared" si="89"/>
        <v>0</v>
      </c>
      <c r="P624" s="20">
        <f t="shared" si="90"/>
        <v>0</v>
      </c>
      <c r="Q624" s="23">
        <f t="shared" si="92"/>
        <v>35000</v>
      </c>
      <c r="R624" s="20">
        <f t="shared" si="93"/>
        <v>700</v>
      </c>
      <c r="S624" s="20">
        <f t="shared" si="93"/>
        <v>35000</v>
      </c>
      <c r="T624" s="18">
        <f t="shared" si="91"/>
        <v>17500</v>
      </c>
      <c r="U624" s="18"/>
      <c r="V624" s="25"/>
    </row>
    <row r="625" spans="1:22" ht="24" customHeight="1">
      <c r="A625" s="26"/>
      <c r="B625" s="15"/>
      <c r="C625" s="15"/>
      <c r="D625" s="16">
        <v>622</v>
      </c>
      <c r="E625" s="16" t="s">
        <v>612</v>
      </c>
      <c r="F625" s="16" t="s">
        <v>24</v>
      </c>
      <c r="G625" s="17">
        <v>10</v>
      </c>
      <c r="H625" s="18">
        <v>63</v>
      </c>
      <c r="I625" s="19">
        <v>6</v>
      </c>
      <c r="J625" s="19">
        <v>35</v>
      </c>
      <c r="K625" s="19">
        <v>365</v>
      </c>
      <c r="L625" s="19">
        <f t="shared" si="79"/>
        <v>123</v>
      </c>
      <c r="M625" s="21">
        <f t="shared" si="87"/>
        <v>12.3</v>
      </c>
      <c r="N625" s="22">
        <f t="shared" si="88"/>
        <v>3.0000000000000071</v>
      </c>
      <c r="O625" s="22">
        <f t="shared" si="89"/>
        <v>12</v>
      </c>
      <c r="P625" s="20">
        <f t="shared" si="90"/>
        <v>36.5</v>
      </c>
      <c r="Q625" s="23">
        <f t="shared" si="92"/>
        <v>350</v>
      </c>
      <c r="R625" s="20">
        <f t="shared" si="93"/>
        <v>35</v>
      </c>
      <c r="S625" s="20">
        <f t="shared" si="93"/>
        <v>365</v>
      </c>
      <c r="T625" s="18">
        <f t="shared" si="91"/>
        <v>4395</v>
      </c>
      <c r="U625" s="18"/>
      <c r="V625" s="25"/>
    </row>
    <row r="626" spans="1:22" ht="24" customHeight="1">
      <c r="A626" s="26"/>
      <c r="B626" s="15"/>
      <c r="C626" s="15"/>
      <c r="D626" s="16">
        <v>623</v>
      </c>
      <c r="E626" s="16" t="s">
        <v>613</v>
      </c>
      <c r="F626" s="16" t="s">
        <v>24</v>
      </c>
      <c r="G626" s="17">
        <v>1</v>
      </c>
      <c r="H626" s="18">
        <v>12</v>
      </c>
      <c r="I626" s="19"/>
      <c r="J626" s="19">
        <v>225</v>
      </c>
      <c r="K626" s="19"/>
      <c r="L626" s="19">
        <f t="shared" si="79"/>
        <v>12</v>
      </c>
      <c r="M626" s="21">
        <f t="shared" si="87"/>
        <v>12</v>
      </c>
      <c r="N626" s="22">
        <f t="shared" si="88"/>
        <v>12</v>
      </c>
      <c r="O626" s="22">
        <f t="shared" si="89"/>
        <v>0</v>
      </c>
      <c r="P626" s="20">
        <f t="shared" si="90"/>
        <v>0</v>
      </c>
      <c r="Q626" s="23">
        <f t="shared" si="92"/>
        <v>225</v>
      </c>
      <c r="R626" s="20">
        <f t="shared" si="93"/>
        <v>225</v>
      </c>
      <c r="S626" s="20">
        <f t="shared" si="93"/>
        <v>225</v>
      </c>
      <c r="T626" s="18">
        <f t="shared" si="91"/>
        <v>2700</v>
      </c>
      <c r="U626" s="18"/>
      <c r="V626" s="25"/>
    </row>
    <row r="627" spans="1:22" ht="24" customHeight="1">
      <c r="A627" s="26"/>
      <c r="B627" s="15"/>
      <c r="C627" s="15"/>
      <c r="D627" s="16">
        <v>624</v>
      </c>
      <c r="E627" s="16" t="s">
        <v>614</v>
      </c>
      <c r="F627" s="16" t="s">
        <v>24</v>
      </c>
      <c r="G627" s="17">
        <v>50</v>
      </c>
      <c r="H627" s="18">
        <v>58</v>
      </c>
      <c r="I627" s="19">
        <v>1</v>
      </c>
      <c r="J627" s="19">
        <v>25</v>
      </c>
      <c r="K627" s="19">
        <v>1250</v>
      </c>
      <c r="L627" s="19">
        <f t="shared" si="79"/>
        <v>108</v>
      </c>
      <c r="M627" s="21">
        <f t="shared" si="87"/>
        <v>2.16</v>
      </c>
      <c r="N627" s="22">
        <f t="shared" si="88"/>
        <v>8.0000000000000071</v>
      </c>
      <c r="O627" s="22">
        <f t="shared" si="89"/>
        <v>2</v>
      </c>
      <c r="P627" s="20">
        <f t="shared" si="90"/>
        <v>25</v>
      </c>
      <c r="Q627" s="23">
        <f t="shared" si="92"/>
        <v>1250</v>
      </c>
      <c r="R627" s="20">
        <f t="shared" si="93"/>
        <v>25</v>
      </c>
      <c r="S627" s="20">
        <f t="shared" si="93"/>
        <v>1250</v>
      </c>
      <c r="T627" s="18">
        <f t="shared" si="91"/>
        <v>2700</v>
      </c>
      <c r="U627" s="18"/>
      <c r="V627" s="25"/>
    </row>
    <row r="628" spans="1:22" ht="24" customHeight="1">
      <c r="A628" s="26"/>
      <c r="B628" s="15"/>
      <c r="C628" s="15"/>
      <c r="D628" s="16">
        <v>625</v>
      </c>
      <c r="E628" s="16" t="s">
        <v>615</v>
      </c>
      <c r="F628" s="16" t="s">
        <v>24</v>
      </c>
      <c r="G628" s="17">
        <v>1</v>
      </c>
      <c r="H628" s="18">
        <v>3</v>
      </c>
      <c r="I628" s="19"/>
      <c r="J628" s="19">
        <v>250</v>
      </c>
      <c r="K628" s="19"/>
      <c r="L628" s="19">
        <f t="shared" si="79"/>
        <v>3</v>
      </c>
      <c r="M628" s="21">
        <f t="shared" si="87"/>
        <v>3</v>
      </c>
      <c r="N628" s="22">
        <f t="shared" si="88"/>
        <v>3</v>
      </c>
      <c r="O628" s="22">
        <f t="shared" si="89"/>
        <v>0</v>
      </c>
      <c r="P628" s="20">
        <f t="shared" si="90"/>
        <v>0</v>
      </c>
      <c r="Q628" s="23">
        <f t="shared" si="92"/>
        <v>250</v>
      </c>
      <c r="R628" s="20">
        <f t="shared" si="93"/>
        <v>250</v>
      </c>
      <c r="S628" s="20">
        <f t="shared" si="93"/>
        <v>250</v>
      </c>
      <c r="T628" s="18">
        <f t="shared" si="91"/>
        <v>750</v>
      </c>
      <c r="U628" s="18"/>
      <c r="V628" s="25"/>
    </row>
    <row r="629" spans="1:22" ht="24" customHeight="1">
      <c r="A629" s="26"/>
      <c r="B629" s="15"/>
      <c r="C629" s="15"/>
      <c r="D629" s="16">
        <v>626</v>
      </c>
      <c r="E629" s="16" t="s">
        <v>616</v>
      </c>
      <c r="F629" s="16" t="s">
        <v>24</v>
      </c>
      <c r="G629" s="17">
        <v>1</v>
      </c>
      <c r="H629" s="18">
        <v>10</v>
      </c>
      <c r="I629" s="19"/>
      <c r="J629" s="19">
        <v>90</v>
      </c>
      <c r="K629" s="19"/>
      <c r="L629" s="19">
        <f t="shared" si="79"/>
        <v>10</v>
      </c>
      <c r="M629" s="21">
        <f t="shared" si="87"/>
        <v>10</v>
      </c>
      <c r="N629" s="22">
        <f t="shared" si="88"/>
        <v>10</v>
      </c>
      <c r="O629" s="22">
        <f t="shared" si="89"/>
        <v>0</v>
      </c>
      <c r="P629" s="20">
        <f t="shared" si="90"/>
        <v>0</v>
      </c>
      <c r="Q629" s="23">
        <f t="shared" si="92"/>
        <v>90</v>
      </c>
      <c r="R629" s="20">
        <f t="shared" si="93"/>
        <v>90</v>
      </c>
      <c r="S629" s="20">
        <f t="shared" si="93"/>
        <v>90</v>
      </c>
      <c r="T629" s="18">
        <f t="shared" si="91"/>
        <v>900</v>
      </c>
      <c r="U629" s="18"/>
      <c r="V629" s="25"/>
    </row>
    <row r="630" spans="1:22" ht="24" customHeight="1">
      <c r="A630" s="26"/>
      <c r="B630" s="15"/>
      <c r="C630" s="15"/>
      <c r="D630" s="16">
        <v>627</v>
      </c>
      <c r="E630" s="16" t="s">
        <v>617</v>
      </c>
      <c r="F630" s="16" t="s">
        <v>24</v>
      </c>
      <c r="G630" s="17">
        <v>1</v>
      </c>
      <c r="H630" s="18">
        <v>1</v>
      </c>
      <c r="I630" s="19"/>
      <c r="J630" s="19">
        <v>2000</v>
      </c>
      <c r="K630" s="19"/>
      <c r="L630" s="19">
        <f t="shared" si="79"/>
        <v>1</v>
      </c>
      <c r="M630" s="21">
        <f t="shared" si="87"/>
        <v>1</v>
      </c>
      <c r="N630" s="22">
        <f t="shared" si="88"/>
        <v>1</v>
      </c>
      <c r="O630" s="22">
        <f t="shared" si="89"/>
        <v>0</v>
      </c>
      <c r="P630" s="20">
        <f t="shared" si="90"/>
        <v>0</v>
      </c>
      <c r="Q630" s="23">
        <f t="shared" si="92"/>
        <v>2000</v>
      </c>
      <c r="R630" s="20">
        <f t="shared" si="93"/>
        <v>2000</v>
      </c>
      <c r="S630" s="20">
        <f t="shared" si="93"/>
        <v>2000</v>
      </c>
      <c r="T630" s="18">
        <f t="shared" si="91"/>
        <v>2000</v>
      </c>
      <c r="U630" s="18"/>
      <c r="V630" s="25"/>
    </row>
    <row r="631" spans="1:22" ht="24" customHeight="1">
      <c r="A631" s="26"/>
      <c r="B631" s="15"/>
      <c r="C631" s="15"/>
      <c r="D631" s="16">
        <v>628</v>
      </c>
      <c r="E631" s="16" t="s">
        <v>618</v>
      </c>
      <c r="F631" s="16" t="s">
        <v>24</v>
      </c>
      <c r="G631" s="17">
        <v>1</v>
      </c>
      <c r="H631" s="18">
        <v>1</v>
      </c>
      <c r="I631" s="19"/>
      <c r="J631" s="19">
        <v>2500</v>
      </c>
      <c r="K631" s="19"/>
      <c r="L631" s="19">
        <f t="shared" si="79"/>
        <v>1</v>
      </c>
      <c r="M631" s="21">
        <f t="shared" si="87"/>
        <v>1</v>
      </c>
      <c r="N631" s="22">
        <f t="shared" si="88"/>
        <v>1</v>
      </c>
      <c r="O631" s="22">
        <f t="shared" si="89"/>
        <v>0</v>
      </c>
      <c r="P631" s="20">
        <f t="shared" si="90"/>
        <v>0</v>
      </c>
      <c r="Q631" s="23">
        <f t="shared" si="92"/>
        <v>2500</v>
      </c>
      <c r="R631" s="20">
        <f t="shared" si="93"/>
        <v>2500</v>
      </c>
      <c r="S631" s="20">
        <f t="shared" si="93"/>
        <v>2500</v>
      </c>
      <c r="T631" s="18">
        <f t="shared" si="91"/>
        <v>2500</v>
      </c>
      <c r="U631" s="18"/>
      <c r="V631" s="25"/>
    </row>
    <row r="632" spans="1:22" ht="24" customHeight="1">
      <c r="A632" s="26"/>
      <c r="B632" s="15"/>
      <c r="C632" s="15"/>
      <c r="D632" s="16">
        <v>629</v>
      </c>
      <c r="E632" s="16" t="s">
        <v>619</v>
      </c>
      <c r="F632" s="16" t="s">
        <v>24</v>
      </c>
      <c r="G632" s="17">
        <v>1</v>
      </c>
      <c r="H632" s="18">
        <v>1</v>
      </c>
      <c r="I632" s="19"/>
      <c r="J632" s="19">
        <v>900</v>
      </c>
      <c r="K632" s="19"/>
      <c r="L632" s="19">
        <f t="shared" si="79"/>
        <v>1</v>
      </c>
      <c r="M632" s="21">
        <f t="shared" si="87"/>
        <v>1</v>
      </c>
      <c r="N632" s="22">
        <f t="shared" si="88"/>
        <v>1</v>
      </c>
      <c r="O632" s="22">
        <f t="shared" si="89"/>
        <v>0</v>
      </c>
      <c r="P632" s="20">
        <f t="shared" si="90"/>
        <v>0</v>
      </c>
      <c r="Q632" s="23">
        <f t="shared" si="92"/>
        <v>900</v>
      </c>
      <c r="R632" s="20">
        <f t="shared" si="93"/>
        <v>900</v>
      </c>
      <c r="S632" s="20">
        <f t="shared" si="93"/>
        <v>900</v>
      </c>
      <c r="T632" s="18">
        <f t="shared" si="91"/>
        <v>900</v>
      </c>
      <c r="U632" s="18"/>
      <c r="V632" s="25"/>
    </row>
    <row r="633" spans="1:22" ht="24" customHeight="1">
      <c r="A633" s="26"/>
      <c r="B633" s="15"/>
      <c r="C633" s="15"/>
      <c r="D633" s="16">
        <v>630</v>
      </c>
      <c r="E633" s="16" t="s">
        <v>620</v>
      </c>
      <c r="F633" s="16" t="s">
        <v>24</v>
      </c>
      <c r="G633" s="17">
        <v>1</v>
      </c>
      <c r="H633" s="18">
        <v>3</v>
      </c>
      <c r="I633" s="19"/>
      <c r="J633" s="19">
        <v>90</v>
      </c>
      <c r="K633" s="19"/>
      <c r="L633" s="19">
        <f t="shared" si="79"/>
        <v>3</v>
      </c>
      <c r="M633" s="21">
        <f t="shared" si="87"/>
        <v>3</v>
      </c>
      <c r="N633" s="22">
        <f t="shared" si="88"/>
        <v>3</v>
      </c>
      <c r="O633" s="22">
        <f t="shared" si="89"/>
        <v>0</v>
      </c>
      <c r="P633" s="20">
        <f t="shared" si="90"/>
        <v>0</v>
      </c>
      <c r="Q633" s="23">
        <f t="shared" si="92"/>
        <v>90</v>
      </c>
      <c r="R633" s="20">
        <f t="shared" si="93"/>
        <v>90</v>
      </c>
      <c r="S633" s="20">
        <f t="shared" si="93"/>
        <v>90</v>
      </c>
      <c r="T633" s="18">
        <f t="shared" si="91"/>
        <v>270</v>
      </c>
      <c r="U633" s="18"/>
      <c r="V633" s="25"/>
    </row>
    <row r="634" spans="1:22" ht="24" customHeight="1">
      <c r="A634" s="26"/>
      <c r="B634" s="15"/>
      <c r="C634" s="15"/>
      <c r="D634" s="16">
        <v>631</v>
      </c>
      <c r="E634" s="16" t="s">
        <v>621</v>
      </c>
      <c r="F634" s="16" t="s">
        <v>24</v>
      </c>
      <c r="G634" s="17">
        <v>1</v>
      </c>
      <c r="H634" s="18">
        <v>1</v>
      </c>
      <c r="I634" s="19"/>
      <c r="J634" s="19">
        <v>1200</v>
      </c>
      <c r="K634" s="19"/>
      <c r="L634" s="19">
        <f t="shared" si="79"/>
        <v>1</v>
      </c>
      <c r="M634" s="21">
        <f t="shared" si="87"/>
        <v>1</v>
      </c>
      <c r="N634" s="22">
        <f t="shared" si="88"/>
        <v>1</v>
      </c>
      <c r="O634" s="22">
        <f t="shared" si="89"/>
        <v>0</v>
      </c>
      <c r="P634" s="20">
        <f t="shared" si="90"/>
        <v>0</v>
      </c>
      <c r="Q634" s="23">
        <f t="shared" si="92"/>
        <v>1200</v>
      </c>
      <c r="R634" s="20">
        <f t="shared" si="93"/>
        <v>1200</v>
      </c>
      <c r="S634" s="20">
        <f t="shared" si="93"/>
        <v>1200</v>
      </c>
      <c r="T634" s="18">
        <f t="shared" si="91"/>
        <v>1200</v>
      </c>
      <c r="U634" s="18"/>
      <c r="V634" s="25"/>
    </row>
    <row r="635" spans="1:22" ht="24" customHeight="1">
      <c r="A635" s="26"/>
      <c r="B635" s="15"/>
      <c r="C635" s="15"/>
      <c r="D635" s="16">
        <v>632</v>
      </c>
      <c r="E635" s="16" t="s">
        <v>622</v>
      </c>
      <c r="F635" s="16" t="s">
        <v>24</v>
      </c>
      <c r="G635" s="17">
        <v>1</v>
      </c>
      <c r="H635" s="18">
        <v>6</v>
      </c>
      <c r="I635" s="19"/>
      <c r="J635" s="19">
        <v>370</v>
      </c>
      <c r="K635" s="19"/>
      <c r="L635" s="19">
        <f t="shared" si="79"/>
        <v>6</v>
      </c>
      <c r="M635" s="21">
        <f t="shared" si="87"/>
        <v>6</v>
      </c>
      <c r="N635" s="22">
        <f t="shared" si="88"/>
        <v>6</v>
      </c>
      <c r="O635" s="22">
        <f t="shared" si="89"/>
        <v>0</v>
      </c>
      <c r="P635" s="20">
        <f t="shared" si="90"/>
        <v>0</v>
      </c>
      <c r="Q635" s="23">
        <f t="shared" si="92"/>
        <v>370</v>
      </c>
      <c r="R635" s="20">
        <f t="shared" si="93"/>
        <v>370</v>
      </c>
      <c r="S635" s="20">
        <f t="shared" si="93"/>
        <v>370</v>
      </c>
      <c r="T635" s="18">
        <f t="shared" si="91"/>
        <v>2220</v>
      </c>
      <c r="U635" s="18"/>
      <c r="V635" s="25"/>
    </row>
    <row r="636" spans="1:22" ht="24" customHeight="1">
      <c r="A636" s="26"/>
      <c r="B636" s="15"/>
      <c r="C636" s="15"/>
      <c r="D636" s="16">
        <v>633</v>
      </c>
      <c r="E636" s="16" t="s">
        <v>623</v>
      </c>
      <c r="F636" s="16" t="s">
        <v>24</v>
      </c>
      <c r="G636" s="17">
        <v>6</v>
      </c>
      <c r="H636" s="18">
        <v>8</v>
      </c>
      <c r="I636" s="19">
        <v>11</v>
      </c>
      <c r="J636" s="19">
        <v>350</v>
      </c>
      <c r="K636" s="19"/>
      <c r="L636" s="19">
        <f t="shared" si="79"/>
        <v>74</v>
      </c>
      <c r="M636" s="21">
        <f t="shared" si="87"/>
        <v>12.333333333333334</v>
      </c>
      <c r="N636" s="22">
        <f t="shared" si="88"/>
        <v>2.0000000000000036</v>
      </c>
      <c r="O636" s="22">
        <f t="shared" si="89"/>
        <v>12</v>
      </c>
      <c r="P636" s="20">
        <f t="shared" si="90"/>
        <v>0</v>
      </c>
      <c r="Q636" s="23">
        <f t="shared" si="92"/>
        <v>2100</v>
      </c>
      <c r="R636" s="20">
        <f t="shared" si="93"/>
        <v>350</v>
      </c>
      <c r="S636" s="20">
        <f t="shared" si="93"/>
        <v>2100</v>
      </c>
      <c r="T636" s="18">
        <f t="shared" si="91"/>
        <v>25900</v>
      </c>
      <c r="U636" s="18"/>
      <c r="V636" s="25"/>
    </row>
    <row r="637" spans="1:22" ht="24" customHeight="1">
      <c r="A637" s="26"/>
      <c r="B637" s="15"/>
      <c r="C637" s="15"/>
      <c r="D637" s="16">
        <v>634</v>
      </c>
      <c r="E637" s="16" t="s">
        <v>925</v>
      </c>
      <c r="F637" s="16" t="s">
        <v>24</v>
      </c>
      <c r="G637" s="17">
        <v>1</v>
      </c>
      <c r="H637" s="18">
        <v>1</v>
      </c>
      <c r="I637" s="19"/>
      <c r="J637" s="19">
        <v>700</v>
      </c>
      <c r="K637" s="19"/>
      <c r="L637" s="19">
        <f t="shared" si="79"/>
        <v>1</v>
      </c>
      <c r="M637" s="21">
        <f t="shared" si="87"/>
        <v>1</v>
      </c>
      <c r="N637" s="22">
        <f t="shared" si="88"/>
        <v>1</v>
      </c>
      <c r="O637" s="22">
        <f t="shared" si="89"/>
        <v>0</v>
      </c>
      <c r="P637" s="20">
        <f t="shared" si="90"/>
        <v>0</v>
      </c>
      <c r="Q637" s="23">
        <f t="shared" si="92"/>
        <v>700</v>
      </c>
      <c r="R637" s="20">
        <f t="shared" si="93"/>
        <v>700</v>
      </c>
      <c r="S637" s="20">
        <f t="shared" si="93"/>
        <v>700</v>
      </c>
      <c r="T637" s="18">
        <f t="shared" si="91"/>
        <v>700</v>
      </c>
      <c r="U637" s="18"/>
      <c r="V637" s="25"/>
    </row>
    <row r="638" spans="1:22" ht="24" customHeight="1">
      <c r="A638" s="26"/>
      <c r="B638" s="15"/>
      <c r="C638" s="15"/>
      <c r="D638" s="16">
        <v>635</v>
      </c>
      <c r="E638" s="16" t="s">
        <v>624</v>
      </c>
      <c r="F638" s="16" t="s">
        <v>24</v>
      </c>
      <c r="G638" s="17">
        <v>1</v>
      </c>
      <c r="H638" s="18">
        <v>1</v>
      </c>
      <c r="I638" s="19"/>
      <c r="J638" s="19">
        <v>1200</v>
      </c>
      <c r="K638" s="19"/>
      <c r="L638" s="19">
        <f t="shared" si="79"/>
        <v>1</v>
      </c>
      <c r="M638" s="21">
        <f t="shared" si="87"/>
        <v>1</v>
      </c>
      <c r="N638" s="22">
        <f t="shared" si="88"/>
        <v>1</v>
      </c>
      <c r="O638" s="22">
        <f t="shared" si="89"/>
        <v>0</v>
      </c>
      <c r="P638" s="20">
        <f t="shared" si="90"/>
        <v>0</v>
      </c>
      <c r="Q638" s="23">
        <f t="shared" si="92"/>
        <v>1200</v>
      </c>
      <c r="R638" s="20">
        <f t="shared" si="93"/>
        <v>1200</v>
      </c>
      <c r="S638" s="20">
        <f t="shared" si="93"/>
        <v>1200</v>
      </c>
      <c r="T638" s="18">
        <f t="shared" si="91"/>
        <v>1200</v>
      </c>
      <c r="U638" s="18"/>
      <c r="V638" s="25"/>
    </row>
    <row r="639" spans="1:22" ht="24" customHeight="1">
      <c r="A639" s="26"/>
      <c r="B639" s="15"/>
      <c r="C639" s="15"/>
      <c r="D639" s="16">
        <v>636</v>
      </c>
      <c r="E639" s="16" t="s">
        <v>625</v>
      </c>
      <c r="F639" s="16" t="s">
        <v>24</v>
      </c>
      <c r="G639" s="17">
        <v>4</v>
      </c>
      <c r="H639" s="18">
        <v>60</v>
      </c>
      <c r="I639" s="19">
        <v>15</v>
      </c>
      <c r="J639" s="19">
        <v>86</v>
      </c>
      <c r="K639" s="19"/>
      <c r="L639" s="19">
        <f t="shared" si="79"/>
        <v>120</v>
      </c>
      <c r="M639" s="21">
        <f t="shared" si="87"/>
        <v>30</v>
      </c>
      <c r="N639" s="22">
        <f t="shared" si="88"/>
        <v>0</v>
      </c>
      <c r="O639" s="22">
        <f t="shared" si="89"/>
        <v>30</v>
      </c>
      <c r="P639" s="20">
        <f t="shared" si="90"/>
        <v>0</v>
      </c>
      <c r="Q639" s="23">
        <f t="shared" si="92"/>
        <v>344</v>
      </c>
      <c r="R639" s="20">
        <f t="shared" si="93"/>
        <v>86</v>
      </c>
      <c r="S639" s="20">
        <f t="shared" si="93"/>
        <v>344</v>
      </c>
      <c r="T639" s="18">
        <f t="shared" si="91"/>
        <v>10320</v>
      </c>
      <c r="U639" s="18"/>
      <c r="V639" s="25"/>
    </row>
    <row r="640" spans="1:22" ht="24" customHeight="1">
      <c r="A640" s="26"/>
      <c r="B640" s="15"/>
      <c r="C640" s="15"/>
      <c r="D640" s="16">
        <v>637</v>
      </c>
      <c r="E640" s="16" t="s">
        <v>626</v>
      </c>
      <c r="F640" s="16" t="s">
        <v>24</v>
      </c>
      <c r="G640" s="17">
        <v>4</v>
      </c>
      <c r="H640" s="18">
        <v>56</v>
      </c>
      <c r="I640" s="19">
        <v>14</v>
      </c>
      <c r="J640" s="19">
        <v>41</v>
      </c>
      <c r="K640" s="19">
        <v>162</v>
      </c>
      <c r="L640" s="19">
        <f t="shared" si="79"/>
        <v>112</v>
      </c>
      <c r="M640" s="21">
        <f t="shared" si="87"/>
        <v>28</v>
      </c>
      <c r="N640" s="22">
        <f t="shared" si="88"/>
        <v>0</v>
      </c>
      <c r="O640" s="22">
        <f t="shared" si="89"/>
        <v>28</v>
      </c>
      <c r="P640" s="20">
        <f t="shared" si="90"/>
        <v>40.5</v>
      </c>
      <c r="Q640" s="23">
        <f t="shared" si="92"/>
        <v>164</v>
      </c>
      <c r="R640" s="20">
        <f t="shared" si="93"/>
        <v>41</v>
      </c>
      <c r="S640" s="20">
        <f t="shared" si="93"/>
        <v>162</v>
      </c>
      <c r="T640" s="18">
        <f t="shared" si="91"/>
        <v>4564</v>
      </c>
      <c r="U640" s="18"/>
      <c r="V640" s="25"/>
    </row>
    <row r="641" spans="1:22" ht="24" customHeight="1">
      <c r="A641" s="26"/>
      <c r="B641" s="15"/>
      <c r="C641" s="15"/>
      <c r="D641" s="16">
        <v>638</v>
      </c>
      <c r="E641" s="16" t="s">
        <v>627</v>
      </c>
      <c r="F641" s="16" t="s">
        <v>24</v>
      </c>
      <c r="G641" s="17">
        <v>2</v>
      </c>
      <c r="H641" s="18">
        <v>54</v>
      </c>
      <c r="I641" s="19">
        <v>27</v>
      </c>
      <c r="J641" s="19">
        <v>83</v>
      </c>
      <c r="K641" s="19"/>
      <c r="L641" s="19">
        <f t="shared" si="79"/>
        <v>108</v>
      </c>
      <c r="M641" s="21">
        <f t="shared" si="87"/>
        <v>54</v>
      </c>
      <c r="N641" s="22">
        <f t="shared" si="88"/>
        <v>0</v>
      </c>
      <c r="O641" s="22">
        <f t="shared" si="89"/>
        <v>54</v>
      </c>
      <c r="P641" s="20">
        <f t="shared" si="90"/>
        <v>0</v>
      </c>
      <c r="Q641" s="23">
        <f t="shared" si="92"/>
        <v>166</v>
      </c>
      <c r="R641" s="20">
        <f t="shared" si="93"/>
        <v>83</v>
      </c>
      <c r="S641" s="20">
        <f t="shared" si="93"/>
        <v>166</v>
      </c>
      <c r="T641" s="18">
        <f t="shared" si="91"/>
        <v>8964</v>
      </c>
      <c r="U641" s="18"/>
      <c r="V641" s="25"/>
    </row>
    <row r="642" spans="1:22" ht="24" customHeight="1">
      <c r="A642" s="26"/>
      <c r="B642" s="15"/>
      <c r="C642" s="15"/>
      <c r="D642" s="16">
        <v>639</v>
      </c>
      <c r="E642" s="16" t="s">
        <v>628</v>
      </c>
      <c r="F642" s="16" t="s">
        <v>24</v>
      </c>
      <c r="G642" s="17">
        <v>2</v>
      </c>
      <c r="H642" s="18">
        <v>8</v>
      </c>
      <c r="I642" s="19">
        <v>4</v>
      </c>
      <c r="J642" s="19">
        <v>700</v>
      </c>
      <c r="K642" s="19"/>
      <c r="L642" s="19">
        <f t="shared" si="79"/>
        <v>16</v>
      </c>
      <c r="M642" s="21">
        <f t="shared" si="87"/>
        <v>8</v>
      </c>
      <c r="N642" s="22">
        <f t="shared" si="88"/>
        <v>0</v>
      </c>
      <c r="O642" s="22">
        <f t="shared" si="89"/>
        <v>8</v>
      </c>
      <c r="P642" s="20">
        <f t="shared" si="90"/>
        <v>0</v>
      </c>
      <c r="Q642" s="23">
        <f t="shared" si="92"/>
        <v>1400</v>
      </c>
      <c r="R642" s="20">
        <f t="shared" si="93"/>
        <v>700</v>
      </c>
      <c r="S642" s="20">
        <f t="shared" si="93"/>
        <v>1400</v>
      </c>
      <c r="T642" s="18">
        <f t="shared" si="91"/>
        <v>11200</v>
      </c>
      <c r="U642" s="18"/>
      <c r="V642" s="25"/>
    </row>
    <row r="643" spans="1:22" ht="24" customHeight="1">
      <c r="A643" s="26"/>
      <c r="B643" s="15"/>
      <c r="C643" s="15"/>
      <c r="D643" s="16">
        <v>640</v>
      </c>
      <c r="E643" s="16" t="s">
        <v>629</v>
      </c>
      <c r="F643" s="16" t="s">
        <v>24</v>
      </c>
      <c r="G643" s="17">
        <v>1</v>
      </c>
      <c r="H643" s="18">
        <v>4</v>
      </c>
      <c r="I643" s="19">
        <v>4</v>
      </c>
      <c r="J643" s="19">
        <v>600</v>
      </c>
      <c r="K643" s="19"/>
      <c r="L643" s="19">
        <f t="shared" si="79"/>
        <v>8</v>
      </c>
      <c r="M643" s="21">
        <f t="shared" ref="M643:M706" si="94">IFERROR(L643/G643,"")</f>
        <v>8</v>
      </c>
      <c r="N643" s="22">
        <f t="shared" ref="N643:N706" si="95">IF(G643=1,L643,IF(G643&gt;1,IFERROR((M643-O643)*G643,""),""))</f>
        <v>8</v>
      </c>
      <c r="O643" s="22">
        <f t="shared" ref="O643:O706" si="96">IFERROR(IF(G643=1,0,IF(G643&gt;1,ROUNDDOWN(M643,0))),"")</f>
        <v>0</v>
      </c>
      <c r="P643" s="20">
        <f t="shared" si="90"/>
        <v>0</v>
      </c>
      <c r="Q643" s="23">
        <f t="shared" si="92"/>
        <v>600</v>
      </c>
      <c r="R643" s="20">
        <f t="shared" si="93"/>
        <v>600</v>
      </c>
      <c r="S643" s="20">
        <f t="shared" si="93"/>
        <v>600</v>
      </c>
      <c r="T643" s="18">
        <f t="shared" si="91"/>
        <v>4800</v>
      </c>
      <c r="U643" s="18"/>
      <c r="V643" s="25"/>
    </row>
    <row r="644" spans="1:22" ht="24" customHeight="1">
      <c r="A644" s="26"/>
      <c r="B644" s="15"/>
      <c r="C644" s="15"/>
      <c r="D644" s="16">
        <v>641</v>
      </c>
      <c r="E644" s="16" t="s">
        <v>630</v>
      </c>
      <c r="F644" s="16" t="s">
        <v>24</v>
      </c>
      <c r="G644" s="17">
        <v>1</v>
      </c>
      <c r="H644" s="18">
        <v>12</v>
      </c>
      <c r="I644" s="19"/>
      <c r="J644" s="19">
        <v>270</v>
      </c>
      <c r="K644" s="19"/>
      <c r="L644" s="19">
        <f t="shared" si="79"/>
        <v>12</v>
      </c>
      <c r="M644" s="21">
        <f t="shared" si="94"/>
        <v>12</v>
      </c>
      <c r="N644" s="22">
        <f t="shared" si="95"/>
        <v>12</v>
      </c>
      <c r="O644" s="22">
        <f t="shared" si="96"/>
        <v>0</v>
      </c>
      <c r="P644" s="20">
        <f t="shared" ref="P644:P707" si="97">IFERROR(K644/G644,"")</f>
        <v>0</v>
      </c>
      <c r="Q644" s="23">
        <f t="shared" si="92"/>
        <v>270</v>
      </c>
      <c r="R644" s="20">
        <f t="shared" si="93"/>
        <v>270</v>
      </c>
      <c r="S644" s="20">
        <f t="shared" si="93"/>
        <v>270</v>
      </c>
      <c r="T644" s="18">
        <f t="shared" si="91"/>
        <v>3240</v>
      </c>
      <c r="U644" s="18"/>
      <c r="V644" s="25"/>
    </row>
    <row r="645" spans="1:22" ht="24" customHeight="1">
      <c r="A645" s="26"/>
      <c r="B645" s="15"/>
      <c r="C645" s="15"/>
      <c r="D645" s="16">
        <v>642</v>
      </c>
      <c r="E645" s="16" t="s">
        <v>631</v>
      </c>
      <c r="F645" s="16" t="s">
        <v>24</v>
      </c>
      <c r="G645" s="17">
        <v>1</v>
      </c>
      <c r="H645" s="18">
        <v>7</v>
      </c>
      <c r="I645" s="19"/>
      <c r="J645" s="19">
        <v>110</v>
      </c>
      <c r="K645" s="19"/>
      <c r="L645" s="19">
        <f t="shared" si="79"/>
        <v>7</v>
      </c>
      <c r="M645" s="21">
        <f t="shared" si="94"/>
        <v>7</v>
      </c>
      <c r="N645" s="22">
        <f t="shared" si="95"/>
        <v>7</v>
      </c>
      <c r="O645" s="22">
        <f t="shared" si="96"/>
        <v>0</v>
      </c>
      <c r="P645" s="20">
        <f t="shared" si="97"/>
        <v>0</v>
      </c>
      <c r="Q645" s="23">
        <f t="shared" si="92"/>
        <v>110</v>
      </c>
      <c r="R645" s="20">
        <f t="shared" si="93"/>
        <v>110</v>
      </c>
      <c r="S645" s="20">
        <f t="shared" si="93"/>
        <v>110</v>
      </c>
      <c r="T645" s="18">
        <f t="shared" ref="T645:T708" si="98">IFERROR(S645*I645+R645*H645,"")</f>
        <v>770</v>
      </c>
      <c r="U645" s="18"/>
      <c r="V645" s="25"/>
    </row>
    <row r="646" spans="1:22" ht="24" customHeight="1">
      <c r="A646" s="26"/>
      <c r="B646" s="15"/>
      <c r="C646" s="15"/>
      <c r="D646" s="16">
        <v>643</v>
      </c>
      <c r="E646" s="16" t="s">
        <v>632</v>
      </c>
      <c r="F646" s="16" t="s">
        <v>24</v>
      </c>
      <c r="G646" s="17">
        <v>1</v>
      </c>
      <c r="H646" s="18">
        <v>5</v>
      </c>
      <c r="I646" s="19"/>
      <c r="J646" s="19">
        <v>70</v>
      </c>
      <c r="K646" s="19"/>
      <c r="L646" s="19">
        <f t="shared" si="79"/>
        <v>5</v>
      </c>
      <c r="M646" s="21">
        <f t="shared" si="94"/>
        <v>5</v>
      </c>
      <c r="N646" s="22">
        <f t="shared" si="95"/>
        <v>5</v>
      </c>
      <c r="O646" s="22">
        <f t="shared" si="96"/>
        <v>0</v>
      </c>
      <c r="P646" s="20">
        <f t="shared" si="97"/>
        <v>0</v>
      </c>
      <c r="Q646" s="23">
        <f t="shared" si="92"/>
        <v>70</v>
      </c>
      <c r="R646" s="20">
        <f t="shared" si="93"/>
        <v>70</v>
      </c>
      <c r="S646" s="20">
        <f t="shared" si="93"/>
        <v>70</v>
      </c>
      <c r="T646" s="18">
        <f t="shared" si="98"/>
        <v>350</v>
      </c>
      <c r="U646" s="18"/>
      <c r="V646" s="25"/>
    </row>
    <row r="647" spans="1:22" ht="24" customHeight="1">
      <c r="A647" s="26"/>
      <c r="B647" s="15"/>
      <c r="C647" s="15"/>
      <c r="D647" s="16">
        <v>644</v>
      </c>
      <c r="E647" s="16" t="s">
        <v>633</v>
      </c>
      <c r="F647" s="16" t="s">
        <v>24</v>
      </c>
      <c r="G647" s="17">
        <v>1</v>
      </c>
      <c r="H647" s="18">
        <v>6</v>
      </c>
      <c r="I647" s="19"/>
      <c r="J647" s="19">
        <v>130</v>
      </c>
      <c r="K647" s="19"/>
      <c r="L647" s="19">
        <f t="shared" si="79"/>
        <v>6</v>
      </c>
      <c r="M647" s="21">
        <f t="shared" si="94"/>
        <v>6</v>
      </c>
      <c r="N647" s="22">
        <f t="shared" si="95"/>
        <v>6</v>
      </c>
      <c r="O647" s="22">
        <f t="shared" si="96"/>
        <v>0</v>
      </c>
      <c r="P647" s="20">
        <f t="shared" si="97"/>
        <v>0</v>
      </c>
      <c r="Q647" s="23">
        <f t="shared" si="92"/>
        <v>130</v>
      </c>
      <c r="R647" s="20">
        <f t="shared" si="93"/>
        <v>130</v>
      </c>
      <c r="S647" s="20">
        <f t="shared" si="93"/>
        <v>130</v>
      </c>
      <c r="T647" s="18">
        <f t="shared" si="98"/>
        <v>780</v>
      </c>
      <c r="U647" s="18"/>
      <c r="V647" s="25"/>
    </row>
    <row r="648" spans="1:22" ht="24" customHeight="1">
      <c r="A648" s="26"/>
      <c r="B648" s="15"/>
      <c r="C648" s="15"/>
      <c r="D648" s="16">
        <v>645</v>
      </c>
      <c r="E648" s="16" t="s">
        <v>634</v>
      </c>
      <c r="F648" s="16" t="s">
        <v>24</v>
      </c>
      <c r="G648" s="17">
        <v>1</v>
      </c>
      <c r="H648" s="18">
        <v>11</v>
      </c>
      <c r="I648" s="19"/>
      <c r="J648" s="19">
        <v>171</v>
      </c>
      <c r="K648" s="19"/>
      <c r="L648" s="19">
        <f t="shared" si="79"/>
        <v>11</v>
      </c>
      <c r="M648" s="21">
        <f t="shared" si="94"/>
        <v>11</v>
      </c>
      <c r="N648" s="22">
        <f t="shared" si="95"/>
        <v>11</v>
      </c>
      <c r="O648" s="22">
        <f t="shared" si="96"/>
        <v>0</v>
      </c>
      <c r="P648" s="20">
        <f t="shared" si="97"/>
        <v>0</v>
      </c>
      <c r="Q648" s="23">
        <f t="shared" si="92"/>
        <v>171</v>
      </c>
      <c r="R648" s="20">
        <f t="shared" si="93"/>
        <v>171</v>
      </c>
      <c r="S648" s="20">
        <f t="shared" si="93"/>
        <v>171</v>
      </c>
      <c r="T648" s="18">
        <f t="shared" si="98"/>
        <v>1881</v>
      </c>
      <c r="U648" s="18"/>
      <c r="V648" s="25"/>
    </row>
    <row r="649" spans="1:22" ht="24" customHeight="1">
      <c r="A649" s="26"/>
      <c r="B649" s="15"/>
      <c r="C649" s="15"/>
      <c r="D649" s="16">
        <v>646</v>
      </c>
      <c r="E649" s="16" t="s">
        <v>635</v>
      </c>
      <c r="F649" s="16" t="s">
        <v>24</v>
      </c>
      <c r="G649" s="17">
        <v>1</v>
      </c>
      <c r="H649" s="18">
        <v>12</v>
      </c>
      <c r="I649" s="19"/>
      <c r="J649" s="19">
        <v>150</v>
      </c>
      <c r="K649" s="19"/>
      <c r="L649" s="19">
        <f t="shared" si="79"/>
        <v>12</v>
      </c>
      <c r="M649" s="21">
        <f t="shared" si="94"/>
        <v>12</v>
      </c>
      <c r="N649" s="22">
        <f t="shared" si="95"/>
        <v>12</v>
      </c>
      <c r="O649" s="22">
        <f t="shared" si="96"/>
        <v>0</v>
      </c>
      <c r="P649" s="20">
        <f t="shared" si="97"/>
        <v>0</v>
      </c>
      <c r="Q649" s="23">
        <f t="shared" si="92"/>
        <v>150</v>
      </c>
      <c r="R649" s="20">
        <f t="shared" si="93"/>
        <v>150</v>
      </c>
      <c r="S649" s="20">
        <f t="shared" si="93"/>
        <v>150</v>
      </c>
      <c r="T649" s="18">
        <f t="shared" si="98"/>
        <v>1800</v>
      </c>
      <c r="U649" s="18"/>
      <c r="V649" s="25"/>
    </row>
    <row r="650" spans="1:22" ht="24" customHeight="1">
      <c r="A650" s="26"/>
      <c r="B650" s="15"/>
      <c r="C650" s="15"/>
      <c r="D650" s="16">
        <v>647</v>
      </c>
      <c r="E650" s="16" t="s">
        <v>636</v>
      </c>
      <c r="F650" s="16" t="s">
        <v>24</v>
      </c>
      <c r="G650" s="17">
        <v>1</v>
      </c>
      <c r="H650" s="18">
        <v>6</v>
      </c>
      <c r="I650" s="19"/>
      <c r="J650" s="19">
        <v>230</v>
      </c>
      <c r="K650" s="19"/>
      <c r="L650" s="19">
        <f t="shared" si="79"/>
        <v>6</v>
      </c>
      <c r="M650" s="21">
        <f t="shared" si="94"/>
        <v>6</v>
      </c>
      <c r="N650" s="22">
        <f t="shared" si="95"/>
        <v>6</v>
      </c>
      <c r="O650" s="22">
        <f t="shared" si="96"/>
        <v>0</v>
      </c>
      <c r="P650" s="20">
        <f t="shared" si="97"/>
        <v>0</v>
      </c>
      <c r="Q650" s="23">
        <f t="shared" si="92"/>
        <v>230</v>
      </c>
      <c r="R650" s="20">
        <f t="shared" si="93"/>
        <v>230</v>
      </c>
      <c r="S650" s="20">
        <f t="shared" si="93"/>
        <v>230</v>
      </c>
      <c r="T650" s="18">
        <f t="shared" si="98"/>
        <v>1380</v>
      </c>
      <c r="U650" s="18"/>
      <c r="V650" s="25"/>
    </row>
    <row r="651" spans="1:22" ht="24" customHeight="1">
      <c r="A651" s="26"/>
      <c r="B651" s="15"/>
      <c r="C651" s="15"/>
      <c r="D651" s="16">
        <v>648</v>
      </c>
      <c r="E651" s="16" t="s">
        <v>637</v>
      </c>
      <c r="F651" s="16" t="s">
        <v>24</v>
      </c>
      <c r="G651" s="17">
        <v>1</v>
      </c>
      <c r="H651" s="18">
        <v>10</v>
      </c>
      <c r="I651" s="19"/>
      <c r="J651" s="19">
        <v>470</v>
      </c>
      <c r="K651" s="19"/>
      <c r="L651" s="19">
        <f t="shared" si="79"/>
        <v>10</v>
      </c>
      <c r="M651" s="21">
        <f t="shared" si="94"/>
        <v>10</v>
      </c>
      <c r="N651" s="22">
        <f t="shared" si="95"/>
        <v>10</v>
      </c>
      <c r="O651" s="22">
        <f t="shared" si="96"/>
        <v>0</v>
      </c>
      <c r="P651" s="20">
        <f t="shared" si="97"/>
        <v>0</v>
      </c>
      <c r="Q651" s="23">
        <f t="shared" si="92"/>
        <v>470</v>
      </c>
      <c r="R651" s="20">
        <f t="shared" si="93"/>
        <v>470</v>
      </c>
      <c r="S651" s="20">
        <f t="shared" si="93"/>
        <v>470</v>
      </c>
      <c r="T651" s="18">
        <f t="shared" si="98"/>
        <v>4700</v>
      </c>
      <c r="U651" s="18"/>
      <c r="V651" s="25"/>
    </row>
    <row r="652" spans="1:22" ht="24" customHeight="1">
      <c r="A652" s="26"/>
      <c r="B652" s="15"/>
      <c r="C652" s="15"/>
      <c r="D652" s="16">
        <v>649</v>
      </c>
      <c r="E652" s="16" t="s">
        <v>638</v>
      </c>
      <c r="F652" s="16" t="s">
        <v>24</v>
      </c>
      <c r="G652" s="17">
        <v>10</v>
      </c>
      <c r="H652" s="18">
        <v>2</v>
      </c>
      <c r="I652" s="19">
        <v>5</v>
      </c>
      <c r="J652" s="19">
        <v>92</v>
      </c>
      <c r="K652" s="19">
        <v>960</v>
      </c>
      <c r="L652" s="19">
        <f t="shared" si="79"/>
        <v>52</v>
      </c>
      <c r="M652" s="21">
        <f t="shared" si="94"/>
        <v>5.2</v>
      </c>
      <c r="N652" s="22">
        <f t="shared" si="95"/>
        <v>2.0000000000000018</v>
      </c>
      <c r="O652" s="22">
        <f t="shared" si="96"/>
        <v>5</v>
      </c>
      <c r="P652" s="20">
        <f t="shared" si="97"/>
        <v>96</v>
      </c>
      <c r="Q652" s="23">
        <f t="shared" si="92"/>
        <v>920</v>
      </c>
      <c r="R652" s="20">
        <f t="shared" si="93"/>
        <v>92</v>
      </c>
      <c r="S652" s="20">
        <f t="shared" si="93"/>
        <v>960</v>
      </c>
      <c r="T652" s="18">
        <f t="shared" si="98"/>
        <v>4984</v>
      </c>
      <c r="U652" s="18"/>
      <c r="V652" s="25"/>
    </row>
    <row r="653" spans="1:22" ht="24" customHeight="1">
      <c r="A653" s="26"/>
      <c r="B653" s="15"/>
      <c r="C653" s="15"/>
      <c r="D653" s="16">
        <v>650</v>
      </c>
      <c r="E653" s="16" t="s">
        <v>639</v>
      </c>
      <c r="F653" s="16" t="s">
        <v>24</v>
      </c>
      <c r="G653" s="17">
        <v>1</v>
      </c>
      <c r="H653" s="18">
        <v>11</v>
      </c>
      <c r="I653" s="19"/>
      <c r="J653" s="19">
        <v>360</v>
      </c>
      <c r="K653" s="19"/>
      <c r="L653" s="19">
        <f t="shared" si="79"/>
        <v>11</v>
      </c>
      <c r="M653" s="21">
        <f t="shared" si="94"/>
        <v>11</v>
      </c>
      <c r="N653" s="22">
        <f t="shared" si="95"/>
        <v>11</v>
      </c>
      <c r="O653" s="22">
        <f t="shared" si="96"/>
        <v>0</v>
      </c>
      <c r="P653" s="20">
        <f t="shared" si="97"/>
        <v>0</v>
      </c>
      <c r="Q653" s="23">
        <f t="shared" si="92"/>
        <v>360</v>
      </c>
      <c r="R653" s="20">
        <f t="shared" si="93"/>
        <v>360</v>
      </c>
      <c r="S653" s="20">
        <f t="shared" si="93"/>
        <v>360</v>
      </c>
      <c r="T653" s="18">
        <f t="shared" si="98"/>
        <v>3960</v>
      </c>
      <c r="U653" s="18"/>
      <c r="V653" s="25"/>
    </row>
    <row r="654" spans="1:22" ht="24" customHeight="1">
      <c r="A654" s="26"/>
      <c r="B654" s="15"/>
      <c r="C654" s="15"/>
      <c r="D654" s="16">
        <v>651</v>
      </c>
      <c r="E654" s="16" t="s">
        <v>640</v>
      </c>
      <c r="F654" s="16" t="s">
        <v>24</v>
      </c>
      <c r="G654" s="17">
        <v>1</v>
      </c>
      <c r="H654" s="18">
        <v>8</v>
      </c>
      <c r="I654" s="19"/>
      <c r="J654" s="19">
        <v>230</v>
      </c>
      <c r="K654" s="19"/>
      <c r="L654" s="19">
        <f t="shared" si="79"/>
        <v>8</v>
      </c>
      <c r="M654" s="21">
        <f t="shared" si="94"/>
        <v>8</v>
      </c>
      <c r="N654" s="22">
        <f t="shared" si="95"/>
        <v>8</v>
      </c>
      <c r="O654" s="22">
        <f t="shared" si="96"/>
        <v>0</v>
      </c>
      <c r="P654" s="20">
        <f t="shared" si="97"/>
        <v>0</v>
      </c>
      <c r="Q654" s="23">
        <f t="shared" si="92"/>
        <v>230</v>
      </c>
      <c r="R654" s="20">
        <f t="shared" si="93"/>
        <v>230</v>
      </c>
      <c r="S654" s="20">
        <f t="shared" si="93"/>
        <v>230</v>
      </c>
      <c r="T654" s="18">
        <f t="shared" si="98"/>
        <v>1840</v>
      </c>
      <c r="U654" s="18"/>
      <c r="V654" s="25"/>
    </row>
    <row r="655" spans="1:22" ht="24" customHeight="1">
      <c r="A655" s="26"/>
      <c r="B655" s="15"/>
      <c r="C655" s="15"/>
      <c r="D655" s="16">
        <v>652</v>
      </c>
      <c r="E655" s="16" t="s">
        <v>641</v>
      </c>
      <c r="F655" s="16" t="s">
        <v>24</v>
      </c>
      <c r="G655" s="17">
        <v>1</v>
      </c>
      <c r="H655" s="18">
        <v>4</v>
      </c>
      <c r="I655" s="19"/>
      <c r="J655" s="19">
        <v>900</v>
      </c>
      <c r="K655" s="19"/>
      <c r="L655" s="19">
        <f t="shared" si="79"/>
        <v>4</v>
      </c>
      <c r="M655" s="21">
        <f t="shared" si="94"/>
        <v>4</v>
      </c>
      <c r="N655" s="22">
        <f t="shared" si="95"/>
        <v>4</v>
      </c>
      <c r="O655" s="22">
        <f t="shared" si="96"/>
        <v>0</v>
      </c>
      <c r="P655" s="20">
        <f t="shared" si="97"/>
        <v>0</v>
      </c>
      <c r="Q655" s="23">
        <f t="shared" si="92"/>
        <v>900</v>
      </c>
      <c r="R655" s="20">
        <f t="shared" si="93"/>
        <v>900</v>
      </c>
      <c r="S655" s="20">
        <f t="shared" si="93"/>
        <v>900</v>
      </c>
      <c r="T655" s="18">
        <f t="shared" si="98"/>
        <v>3600</v>
      </c>
      <c r="U655" s="18"/>
      <c r="V655" s="25"/>
    </row>
    <row r="656" spans="1:22" ht="24" customHeight="1">
      <c r="A656" s="26"/>
      <c r="B656" s="15"/>
      <c r="C656" s="15"/>
      <c r="D656" s="16">
        <v>653</v>
      </c>
      <c r="E656" s="16" t="s">
        <v>148</v>
      </c>
      <c r="F656" s="16" t="s">
        <v>24</v>
      </c>
      <c r="G656" s="17">
        <v>1</v>
      </c>
      <c r="H656" s="18">
        <v>3</v>
      </c>
      <c r="I656" s="19"/>
      <c r="J656" s="19">
        <v>750</v>
      </c>
      <c r="K656" s="19"/>
      <c r="L656" s="19">
        <f t="shared" si="79"/>
        <v>3</v>
      </c>
      <c r="M656" s="21">
        <f t="shared" si="94"/>
        <v>3</v>
      </c>
      <c r="N656" s="22">
        <f t="shared" si="95"/>
        <v>3</v>
      </c>
      <c r="O656" s="22">
        <f t="shared" si="96"/>
        <v>0</v>
      </c>
      <c r="P656" s="20">
        <f t="shared" si="97"/>
        <v>0</v>
      </c>
      <c r="Q656" s="23">
        <f t="shared" si="92"/>
        <v>750</v>
      </c>
      <c r="R656" s="20">
        <f t="shared" si="93"/>
        <v>750</v>
      </c>
      <c r="S656" s="20">
        <f t="shared" si="93"/>
        <v>750</v>
      </c>
      <c r="T656" s="18">
        <f t="shared" si="98"/>
        <v>2250</v>
      </c>
      <c r="U656" s="18"/>
      <c r="V656" s="25"/>
    </row>
    <row r="657" spans="1:22" ht="24" customHeight="1">
      <c r="A657" s="26"/>
      <c r="B657" s="15"/>
      <c r="C657" s="15"/>
      <c r="D657" s="16">
        <v>654</v>
      </c>
      <c r="E657" s="16" t="s">
        <v>642</v>
      </c>
      <c r="F657" s="16" t="s">
        <v>24</v>
      </c>
      <c r="G657" s="17">
        <v>1</v>
      </c>
      <c r="H657" s="18">
        <v>7</v>
      </c>
      <c r="I657" s="19"/>
      <c r="J657" s="19">
        <v>240</v>
      </c>
      <c r="K657" s="19"/>
      <c r="L657" s="19">
        <f t="shared" si="79"/>
        <v>7</v>
      </c>
      <c r="M657" s="21">
        <f t="shared" si="94"/>
        <v>7</v>
      </c>
      <c r="N657" s="22">
        <f t="shared" si="95"/>
        <v>7</v>
      </c>
      <c r="O657" s="22">
        <f t="shared" si="96"/>
        <v>0</v>
      </c>
      <c r="P657" s="20">
        <f t="shared" si="97"/>
        <v>0</v>
      </c>
      <c r="Q657" s="23">
        <f t="shared" si="92"/>
        <v>240</v>
      </c>
      <c r="R657" s="20">
        <f t="shared" si="93"/>
        <v>240</v>
      </c>
      <c r="S657" s="20">
        <f t="shared" si="93"/>
        <v>240</v>
      </c>
      <c r="T657" s="18">
        <f t="shared" si="98"/>
        <v>1680</v>
      </c>
      <c r="U657" s="18"/>
      <c r="V657" s="25"/>
    </row>
    <row r="658" spans="1:22" ht="24" customHeight="1">
      <c r="A658" s="26"/>
      <c r="B658" s="15"/>
      <c r="C658" s="15"/>
      <c r="D658" s="16">
        <v>655</v>
      </c>
      <c r="E658" s="16" t="s">
        <v>643</v>
      </c>
      <c r="F658" s="16" t="s">
        <v>24</v>
      </c>
      <c r="G658" s="17">
        <v>6</v>
      </c>
      <c r="H658" s="18">
        <v>48</v>
      </c>
      <c r="I658" s="19">
        <v>8</v>
      </c>
      <c r="J658" s="19"/>
      <c r="K658" s="19">
        <v>271</v>
      </c>
      <c r="L658" s="19">
        <f t="shared" si="79"/>
        <v>96</v>
      </c>
      <c r="M658" s="21">
        <f t="shared" si="94"/>
        <v>16</v>
      </c>
      <c r="N658" s="22">
        <f t="shared" si="95"/>
        <v>0</v>
      </c>
      <c r="O658" s="22">
        <f t="shared" si="96"/>
        <v>16</v>
      </c>
      <c r="P658" s="20">
        <f t="shared" si="97"/>
        <v>45.166666666666664</v>
      </c>
      <c r="Q658" s="23">
        <f t="shared" si="92"/>
        <v>0</v>
      </c>
      <c r="R658" s="20">
        <f t="shared" si="93"/>
        <v>45.166666666666664</v>
      </c>
      <c r="S658" s="20">
        <f t="shared" si="93"/>
        <v>271</v>
      </c>
      <c r="T658" s="18">
        <f t="shared" si="98"/>
        <v>4336</v>
      </c>
      <c r="U658" s="18"/>
      <c r="V658" s="25"/>
    </row>
    <row r="659" spans="1:22" ht="24" customHeight="1">
      <c r="A659" s="26"/>
      <c r="B659" s="15"/>
      <c r="C659" s="15"/>
      <c r="D659" s="16">
        <v>656</v>
      </c>
      <c r="E659" s="16" t="s">
        <v>644</v>
      </c>
      <c r="F659" s="16" t="s">
        <v>24</v>
      </c>
      <c r="G659" s="17">
        <v>1</v>
      </c>
      <c r="H659" s="18">
        <v>8</v>
      </c>
      <c r="I659" s="19"/>
      <c r="J659" s="19">
        <v>150</v>
      </c>
      <c r="K659" s="19"/>
      <c r="L659" s="19">
        <f t="shared" si="79"/>
        <v>8</v>
      </c>
      <c r="M659" s="21">
        <f t="shared" si="94"/>
        <v>8</v>
      </c>
      <c r="N659" s="22">
        <f t="shared" si="95"/>
        <v>8</v>
      </c>
      <c r="O659" s="22">
        <f t="shared" si="96"/>
        <v>0</v>
      </c>
      <c r="P659" s="20">
        <f t="shared" si="97"/>
        <v>0</v>
      </c>
      <c r="Q659" s="23">
        <f t="shared" si="92"/>
        <v>150</v>
      </c>
      <c r="R659" s="20">
        <f t="shared" si="93"/>
        <v>150</v>
      </c>
      <c r="S659" s="20">
        <f t="shared" si="93"/>
        <v>150</v>
      </c>
      <c r="T659" s="18">
        <f t="shared" si="98"/>
        <v>1200</v>
      </c>
      <c r="U659" s="18"/>
      <c r="V659" s="25"/>
    </row>
    <row r="660" spans="1:22" ht="24" customHeight="1">
      <c r="A660" s="26"/>
      <c r="B660" s="15"/>
      <c r="C660" s="15"/>
      <c r="D660" s="16">
        <v>657</v>
      </c>
      <c r="E660" s="16" t="s">
        <v>145</v>
      </c>
      <c r="F660" s="16" t="s">
        <v>24</v>
      </c>
      <c r="G660" s="17">
        <v>1</v>
      </c>
      <c r="H660" s="18">
        <v>1</v>
      </c>
      <c r="I660" s="19"/>
      <c r="J660" s="19">
        <v>1700</v>
      </c>
      <c r="K660" s="19"/>
      <c r="L660" s="19">
        <f t="shared" si="79"/>
        <v>1</v>
      </c>
      <c r="M660" s="21">
        <f t="shared" si="94"/>
        <v>1</v>
      </c>
      <c r="N660" s="22">
        <f t="shared" si="95"/>
        <v>1</v>
      </c>
      <c r="O660" s="22">
        <f t="shared" si="96"/>
        <v>0</v>
      </c>
      <c r="P660" s="20">
        <f t="shared" si="97"/>
        <v>0</v>
      </c>
      <c r="Q660" s="23">
        <f t="shared" si="92"/>
        <v>1700</v>
      </c>
      <c r="R660" s="20">
        <f t="shared" si="93"/>
        <v>1700</v>
      </c>
      <c r="S660" s="20">
        <f t="shared" si="93"/>
        <v>1700</v>
      </c>
      <c r="T660" s="18">
        <f t="shared" si="98"/>
        <v>1700</v>
      </c>
      <c r="U660" s="18"/>
      <c r="V660" s="25"/>
    </row>
    <row r="661" spans="1:22" ht="24" customHeight="1">
      <c r="A661" s="26"/>
      <c r="B661" s="15"/>
      <c r="C661" s="15"/>
      <c r="D661" s="16">
        <v>658</v>
      </c>
      <c r="E661" s="16" t="s">
        <v>645</v>
      </c>
      <c r="F661" s="16" t="s">
        <v>24</v>
      </c>
      <c r="G661" s="17">
        <v>1</v>
      </c>
      <c r="H661" s="18">
        <v>1</v>
      </c>
      <c r="I661" s="19"/>
      <c r="J661" s="19">
        <v>1700</v>
      </c>
      <c r="K661" s="19"/>
      <c r="L661" s="19">
        <f t="shared" si="79"/>
        <v>1</v>
      </c>
      <c r="M661" s="21">
        <f t="shared" si="94"/>
        <v>1</v>
      </c>
      <c r="N661" s="22">
        <f t="shared" si="95"/>
        <v>1</v>
      </c>
      <c r="O661" s="22">
        <f t="shared" si="96"/>
        <v>0</v>
      </c>
      <c r="P661" s="20">
        <f t="shared" si="97"/>
        <v>0</v>
      </c>
      <c r="Q661" s="23">
        <f t="shared" si="92"/>
        <v>1700</v>
      </c>
      <c r="R661" s="20">
        <f t="shared" si="93"/>
        <v>1700</v>
      </c>
      <c r="S661" s="20">
        <f t="shared" si="93"/>
        <v>1700</v>
      </c>
      <c r="T661" s="18">
        <f t="shared" si="98"/>
        <v>1700</v>
      </c>
      <c r="U661" s="18"/>
      <c r="V661" s="25"/>
    </row>
    <row r="662" spans="1:22" ht="24" customHeight="1">
      <c r="A662" s="26"/>
      <c r="B662" s="15"/>
      <c r="C662" s="15"/>
      <c r="D662" s="16">
        <v>659</v>
      </c>
      <c r="E662" s="46" t="s">
        <v>646</v>
      </c>
      <c r="F662" s="16" t="s">
        <v>24</v>
      </c>
      <c r="G662" s="17">
        <v>1</v>
      </c>
      <c r="H662" s="18">
        <v>6</v>
      </c>
      <c r="I662" s="19"/>
      <c r="J662" s="19">
        <v>1700</v>
      </c>
      <c r="K662" s="19"/>
      <c r="L662" s="19">
        <f t="shared" si="79"/>
        <v>6</v>
      </c>
      <c r="M662" s="21">
        <f t="shared" si="94"/>
        <v>6</v>
      </c>
      <c r="N662" s="22">
        <f t="shared" si="95"/>
        <v>6</v>
      </c>
      <c r="O662" s="22">
        <f t="shared" si="96"/>
        <v>0</v>
      </c>
      <c r="P662" s="20">
        <f t="shared" si="97"/>
        <v>0</v>
      </c>
      <c r="Q662" s="23">
        <f t="shared" si="92"/>
        <v>1700</v>
      </c>
      <c r="R662" s="20">
        <f t="shared" si="93"/>
        <v>1700</v>
      </c>
      <c r="S662" s="20">
        <f t="shared" si="93"/>
        <v>1700</v>
      </c>
      <c r="T662" s="18">
        <f t="shared" si="98"/>
        <v>10200</v>
      </c>
      <c r="U662" s="18" t="s">
        <v>152</v>
      </c>
      <c r="V662" s="25"/>
    </row>
    <row r="663" spans="1:22" ht="24" customHeight="1">
      <c r="A663" s="26"/>
      <c r="B663" s="15"/>
      <c r="C663" s="15"/>
      <c r="D663" s="16">
        <v>660</v>
      </c>
      <c r="E663" s="16" t="s">
        <v>647</v>
      </c>
      <c r="F663" s="16" t="s">
        <v>24</v>
      </c>
      <c r="G663" s="17">
        <v>1</v>
      </c>
      <c r="H663" s="18">
        <v>2</v>
      </c>
      <c r="I663" s="19"/>
      <c r="J663" s="19">
        <v>1700</v>
      </c>
      <c r="K663" s="19"/>
      <c r="L663" s="19">
        <f t="shared" si="79"/>
        <v>2</v>
      </c>
      <c r="M663" s="21">
        <f t="shared" si="94"/>
        <v>2</v>
      </c>
      <c r="N663" s="22">
        <f t="shared" si="95"/>
        <v>2</v>
      </c>
      <c r="O663" s="22">
        <f t="shared" si="96"/>
        <v>0</v>
      </c>
      <c r="P663" s="20">
        <f t="shared" si="97"/>
        <v>0</v>
      </c>
      <c r="Q663" s="23">
        <f t="shared" si="92"/>
        <v>1700</v>
      </c>
      <c r="R663" s="20">
        <f t="shared" si="93"/>
        <v>1700</v>
      </c>
      <c r="S663" s="20">
        <f t="shared" si="93"/>
        <v>1700</v>
      </c>
      <c r="T663" s="18">
        <f t="shared" si="98"/>
        <v>3400</v>
      </c>
      <c r="U663" s="18"/>
      <c r="V663" s="25"/>
    </row>
    <row r="664" spans="1:22" ht="24" customHeight="1">
      <c r="A664" s="26"/>
      <c r="B664" s="15"/>
      <c r="C664" s="15"/>
      <c r="D664" s="16">
        <v>661</v>
      </c>
      <c r="E664" s="16" t="s">
        <v>648</v>
      </c>
      <c r="F664" s="16" t="s">
        <v>24</v>
      </c>
      <c r="G664" s="17">
        <v>1</v>
      </c>
      <c r="H664" s="18">
        <v>8</v>
      </c>
      <c r="I664" s="19"/>
      <c r="J664" s="19">
        <v>1700</v>
      </c>
      <c r="K664" s="19"/>
      <c r="L664" s="19">
        <f t="shared" si="79"/>
        <v>8</v>
      </c>
      <c r="M664" s="21">
        <f t="shared" si="94"/>
        <v>8</v>
      </c>
      <c r="N664" s="22">
        <f t="shared" si="95"/>
        <v>8</v>
      </c>
      <c r="O664" s="22">
        <f t="shared" si="96"/>
        <v>0</v>
      </c>
      <c r="P664" s="20">
        <f t="shared" si="97"/>
        <v>0</v>
      </c>
      <c r="Q664" s="23">
        <f t="shared" si="92"/>
        <v>1700</v>
      </c>
      <c r="R664" s="20">
        <f t="shared" si="93"/>
        <v>1700</v>
      </c>
      <c r="S664" s="20">
        <f t="shared" si="93"/>
        <v>1700</v>
      </c>
      <c r="T664" s="18">
        <f t="shared" si="98"/>
        <v>13600</v>
      </c>
      <c r="U664" s="18"/>
      <c r="V664" s="25"/>
    </row>
    <row r="665" spans="1:22" ht="24" customHeight="1">
      <c r="A665" s="26"/>
      <c r="B665" s="15"/>
      <c r="C665" s="15"/>
      <c r="D665" s="16">
        <v>662</v>
      </c>
      <c r="E665" s="16" t="s">
        <v>649</v>
      </c>
      <c r="F665" s="16" t="s">
        <v>24</v>
      </c>
      <c r="G665" s="17">
        <v>1</v>
      </c>
      <c r="H665" s="18">
        <v>1</v>
      </c>
      <c r="I665" s="19"/>
      <c r="J665" s="19">
        <v>1700</v>
      </c>
      <c r="K665" s="19"/>
      <c r="L665" s="19">
        <f t="shared" si="79"/>
        <v>1</v>
      </c>
      <c r="M665" s="21">
        <f t="shared" si="94"/>
        <v>1</v>
      </c>
      <c r="N665" s="22">
        <f t="shared" si="95"/>
        <v>1</v>
      </c>
      <c r="O665" s="22">
        <f t="shared" si="96"/>
        <v>0</v>
      </c>
      <c r="P665" s="20">
        <f t="shared" si="97"/>
        <v>0</v>
      </c>
      <c r="Q665" s="23">
        <f t="shared" si="92"/>
        <v>1700</v>
      </c>
      <c r="R665" s="20">
        <f t="shared" si="93"/>
        <v>1700</v>
      </c>
      <c r="S665" s="20">
        <f t="shared" si="93"/>
        <v>1700</v>
      </c>
      <c r="T665" s="18">
        <f t="shared" si="98"/>
        <v>1700</v>
      </c>
      <c r="U665" s="18"/>
      <c r="V665" s="25"/>
    </row>
    <row r="666" spans="1:22" ht="24" customHeight="1">
      <c r="A666" s="26"/>
      <c r="B666" s="15"/>
      <c r="C666" s="15"/>
      <c r="D666" s="16">
        <v>663</v>
      </c>
      <c r="E666" s="16" t="s">
        <v>650</v>
      </c>
      <c r="F666" s="16" t="s">
        <v>24</v>
      </c>
      <c r="G666" s="17">
        <v>1</v>
      </c>
      <c r="H666" s="18">
        <v>1</v>
      </c>
      <c r="I666" s="19"/>
      <c r="J666" s="19">
        <v>1700</v>
      </c>
      <c r="K666" s="19"/>
      <c r="L666" s="19">
        <f t="shared" si="79"/>
        <v>1</v>
      </c>
      <c r="M666" s="21">
        <f t="shared" si="94"/>
        <v>1</v>
      </c>
      <c r="N666" s="22">
        <f t="shared" si="95"/>
        <v>1</v>
      </c>
      <c r="O666" s="22">
        <f t="shared" si="96"/>
        <v>0</v>
      </c>
      <c r="P666" s="20">
        <f t="shared" si="97"/>
        <v>0</v>
      </c>
      <c r="Q666" s="23">
        <f t="shared" si="92"/>
        <v>1700</v>
      </c>
      <c r="R666" s="20">
        <f t="shared" si="93"/>
        <v>1700</v>
      </c>
      <c r="S666" s="20">
        <f t="shared" si="93"/>
        <v>1700</v>
      </c>
      <c r="T666" s="18">
        <f t="shared" si="98"/>
        <v>1700</v>
      </c>
      <c r="U666" s="18"/>
      <c r="V666" s="25"/>
    </row>
    <row r="667" spans="1:22" ht="24" customHeight="1">
      <c r="A667" s="26"/>
      <c r="B667" s="15"/>
      <c r="C667" s="15"/>
      <c r="D667" s="16">
        <v>664</v>
      </c>
      <c r="E667" s="16" t="s">
        <v>651</v>
      </c>
      <c r="F667" s="16" t="s">
        <v>24</v>
      </c>
      <c r="G667" s="17">
        <v>1</v>
      </c>
      <c r="H667" s="18">
        <v>5</v>
      </c>
      <c r="I667" s="19"/>
      <c r="J667" s="19">
        <v>2320</v>
      </c>
      <c r="K667" s="19"/>
      <c r="L667" s="19">
        <f t="shared" si="79"/>
        <v>5</v>
      </c>
      <c r="M667" s="21">
        <f t="shared" si="94"/>
        <v>5</v>
      </c>
      <c r="N667" s="22">
        <f t="shared" si="95"/>
        <v>5</v>
      </c>
      <c r="O667" s="22">
        <f t="shared" si="96"/>
        <v>0</v>
      </c>
      <c r="P667" s="20">
        <f t="shared" si="97"/>
        <v>0</v>
      </c>
      <c r="Q667" s="23">
        <f t="shared" si="92"/>
        <v>2320</v>
      </c>
      <c r="R667" s="20">
        <f t="shared" si="93"/>
        <v>2320</v>
      </c>
      <c r="S667" s="20">
        <f t="shared" si="93"/>
        <v>2320</v>
      </c>
      <c r="T667" s="18">
        <f t="shared" si="98"/>
        <v>11600</v>
      </c>
      <c r="U667" s="18"/>
      <c r="V667" s="25"/>
    </row>
    <row r="668" spans="1:22" ht="24" customHeight="1">
      <c r="A668" s="26"/>
      <c r="B668" s="15"/>
      <c r="C668" s="15"/>
      <c r="D668" s="16">
        <v>665</v>
      </c>
      <c r="E668" s="16" t="s">
        <v>652</v>
      </c>
      <c r="F668" s="16" t="s">
        <v>24</v>
      </c>
      <c r="G668" s="17">
        <v>1</v>
      </c>
      <c r="H668" s="18">
        <v>3</v>
      </c>
      <c r="I668" s="19"/>
      <c r="J668" s="19">
        <v>2320</v>
      </c>
      <c r="K668" s="19"/>
      <c r="L668" s="19">
        <f t="shared" si="79"/>
        <v>3</v>
      </c>
      <c r="M668" s="21">
        <f t="shared" si="94"/>
        <v>3</v>
      </c>
      <c r="N668" s="22">
        <f t="shared" si="95"/>
        <v>3</v>
      </c>
      <c r="O668" s="22">
        <f t="shared" si="96"/>
        <v>0</v>
      </c>
      <c r="P668" s="20">
        <f t="shared" si="97"/>
        <v>0</v>
      </c>
      <c r="Q668" s="23">
        <f t="shared" si="92"/>
        <v>2320</v>
      </c>
      <c r="R668" s="20">
        <f t="shared" si="93"/>
        <v>2320</v>
      </c>
      <c r="S668" s="20">
        <f t="shared" si="93"/>
        <v>2320</v>
      </c>
      <c r="T668" s="18">
        <f t="shared" si="98"/>
        <v>6960</v>
      </c>
      <c r="U668" s="18"/>
      <c r="V668" s="25"/>
    </row>
    <row r="669" spans="1:22" ht="24" customHeight="1">
      <c r="A669" s="26"/>
      <c r="B669" s="15"/>
      <c r="C669" s="15"/>
      <c r="D669" s="16">
        <v>666</v>
      </c>
      <c r="E669" s="16" t="s">
        <v>653</v>
      </c>
      <c r="F669" s="16" t="s">
        <v>24</v>
      </c>
      <c r="G669" s="17">
        <v>1</v>
      </c>
      <c r="H669" s="18">
        <v>3</v>
      </c>
      <c r="I669" s="19"/>
      <c r="J669" s="19">
        <v>1700</v>
      </c>
      <c r="K669" s="19"/>
      <c r="L669" s="19">
        <f t="shared" si="79"/>
        <v>3</v>
      </c>
      <c r="M669" s="21">
        <f t="shared" si="94"/>
        <v>3</v>
      </c>
      <c r="N669" s="22">
        <f t="shared" si="95"/>
        <v>3</v>
      </c>
      <c r="O669" s="22">
        <f t="shared" si="96"/>
        <v>0</v>
      </c>
      <c r="P669" s="20">
        <f t="shared" si="97"/>
        <v>0</v>
      </c>
      <c r="Q669" s="23">
        <f t="shared" ref="Q669:Q731" si="99">IFERROR(J669*G669,"")</f>
        <v>1700</v>
      </c>
      <c r="R669" s="20">
        <f t="shared" si="93"/>
        <v>1700</v>
      </c>
      <c r="S669" s="20">
        <f t="shared" si="93"/>
        <v>1700</v>
      </c>
      <c r="T669" s="18">
        <f t="shared" si="98"/>
        <v>5100</v>
      </c>
      <c r="U669" s="18"/>
      <c r="V669" s="25"/>
    </row>
    <row r="670" spans="1:22" ht="24" customHeight="1">
      <c r="A670" s="26"/>
      <c r="B670" s="15"/>
      <c r="C670" s="15"/>
      <c r="D670" s="16">
        <v>667</v>
      </c>
      <c r="E670" s="16" t="s">
        <v>654</v>
      </c>
      <c r="F670" s="16" t="s">
        <v>24</v>
      </c>
      <c r="G670" s="17">
        <v>1</v>
      </c>
      <c r="H670" s="18">
        <v>2</v>
      </c>
      <c r="I670" s="19"/>
      <c r="J670" s="19">
        <v>1700</v>
      </c>
      <c r="K670" s="19"/>
      <c r="L670" s="19">
        <f t="shared" si="79"/>
        <v>2</v>
      </c>
      <c r="M670" s="21">
        <f t="shared" si="94"/>
        <v>2</v>
      </c>
      <c r="N670" s="22">
        <f t="shared" si="95"/>
        <v>2</v>
      </c>
      <c r="O670" s="22">
        <f t="shared" si="96"/>
        <v>0</v>
      </c>
      <c r="P670" s="20">
        <f t="shared" si="97"/>
        <v>0</v>
      </c>
      <c r="Q670" s="23">
        <f t="shared" si="99"/>
        <v>1700</v>
      </c>
      <c r="R670" s="20">
        <f t="shared" si="93"/>
        <v>1700</v>
      </c>
      <c r="S670" s="20">
        <f t="shared" si="93"/>
        <v>1700</v>
      </c>
      <c r="T670" s="18">
        <f t="shared" si="98"/>
        <v>3400</v>
      </c>
      <c r="U670" s="18"/>
      <c r="V670" s="25"/>
    </row>
    <row r="671" spans="1:22" ht="24" customHeight="1">
      <c r="A671" s="26"/>
      <c r="B671" s="15"/>
      <c r="C671" s="15"/>
      <c r="D671" s="16">
        <v>668</v>
      </c>
      <c r="E671" s="16" t="s">
        <v>655</v>
      </c>
      <c r="F671" s="16" t="s">
        <v>24</v>
      </c>
      <c r="G671" s="17">
        <v>1</v>
      </c>
      <c r="H671" s="18">
        <v>42</v>
      </c>
      <c r="I671" s="19"/>
      <c r="J671" s="19">
        <v>79</v>
      </c>
      <c r="K671" s="19"/>
      <c r="L671" s="19">
        <f t="shared" si="79"/>
        <v>42</v>
      </c>
      <c r="M671" s="21">
        <f t="shared" si="94"/>
        <v>42</v>
      </c>
      <c r="N671" s="22">
        <f t="shared" si="95"/>
        <v>42</v>
      </c>
      <c r="O671" s="22">
        <f t="shared" si="96"/>
        <v>0</v>
      </c>
      <c r="P671" s="20">
        <f t="shared" si="97"/>
        <v>0</v>
      </c>
      <c r="Q671" s="23">
        <f t="shared" si="99"/>
        <v>79</v>
      </c>
      <c r="R671" s="20">
        <f t="shared" si="93"/>
        <v>79</v>
      </c>
      <c r="S671" s="20">
        <f t="shared" si="93"/>
        <v>79</v>
      </c>
      <c r="T671" s="18">
        <f t="shared" si="98"/>
        <v>3318</v>
      </c>
      <c r="U671" s="18"/>
      <c r="V671" s="25"/>
    </row>
    <row r="672" spans="1:22" ht="24" customHeight="1">
      <c r="A672" s="26"/>
      <c r="B672" s="15"/>
      <c r="C672" s="15"/>
      <c r="D672" s="16">
        <v>669</v>
      </c>
      <c r="E672" s="16" t="s">
        <v>656</v>
      </c>
      <c r="F672" s="16" t="s">
        <v>24</v>
      </c>
      <c r="G672" s="17">
        <v>1</v>
      </c>
      <c r="H672" s="18">
        <v>5</v>
      </c>
      <c r="I672" s="19"/>
      <c r="J672" s="19">
        <v>550</v>
      </c>
      <c r="K672" s="19"/>
      <c r="L672" s="19">
        <f t="shared" si="79"/>
        <v>5</v>
      </c>
      <c r="M672" s="21">
        <f t="shared" si="94"/>
        <v>5</v>
      </c>
      <c r="N672" s="22">
        <f t="shared" si="95"/>
        <v>5</v>
      </c>
      <c r="O672" s="22">
        <f t="shared" si="96"/>
        <v>0</v>
      </c>
      <c r="P672" s="20">
        <f t="shared" si="97"/>
        <v>0</v>
      </c>
      <c r="Q672" s="23">
        <f t="shared" si="99"/>
        <v>550</v>
      </c>
      <c r="R672" s="20">
        <f t="shared" si="93"/>
        <v>550</v>
      </c>
      <c r="S672" s="20">
        <f t="shared" si="93"/>
        <v>550</v>
      </c>
      <c r="T672" s="18">
        <f t="shared" si="98"/>
        <v>2750</v>
      </c>
      <c r="U672" s="18"/>
      <c r="V672" s="25"/>
    </row>
    <row r="673" spans="1:22" ht="24" customHeight="1">
      <c r="A673" s="26"/>
      <c r="B673" s="15"/>
      <c r="C673" s="15"/>
      <c r="D673" s="16">
        <v>670</v>
      </c>
      <c r="E673" s="16" t="s">
        <v>657</v>
      </c>
      <c r="F673" s="16" t="s">
        <v>24</v>
      </c>
      <c r="G673" s="17">
        <v>1</v>
      </c>
      <c r="H673" s="18">
        <v>6</v>
      </c>
      <c r="I673" s="19"/>
      <c r="J673" s="19">
        <v>320</v>
      </c>
      <c r="K673" s="19"/>
      <c r="L673" s="19">
        <f t="shared" si="79"/>
        <v>6</v>
      </c>
      <c r="M673" s="21">
        <f t="shared" si="94"/>
        <v>6</v>
      </c>
      <c r="N673" s="22">
        <f t="shared" si="95"/>
        <v>6</v>
      </c>
      <c r="O673" s="22">
        <f t="shared" si="96"/>
        <v>0</v>
      </c>
      <c r="P673" s="20">
        <f t="shared" si="97"/>
        <v>0</v>
      </c>
      <c r="Q673" s="23">
        <f t="shared" si="99"/>
        <v>320</v>
      </c>
      <c r="R673" s="20">
        <f t="shared" si="93"/>
        <v>320</v>
      </c>
      <c r="S673" s="20">
        <f t="shared" si="93"/>
        <v>320</v>
      </c>
      <c r="T673" s="18">
        <f t="shared" si="98"/>
        <v>1920</v>
      </c>
      <c r="U673" s="18"/>
      <c r="V673" s="25"/>
    </row>
    <row r="674" spans="1:22" ht="24" customHeight="1">
      <c r="A674" s="26"/>
      <c r="B674" s="15"/>
      <c r="C674" s="15"/>
      <c r="D674" s="16">
        <v>671</v>
      </c>
      <c r="E674" s="16" t="s">
        <v>658</v>
      </c>
      <c r="F674" s="16" t="s">
        <v>24</v>
      </c>
      <c r="G674" s="17">
        <v>1</v>
      </c>
      <c r="H674" s="18">
        <v>5</v>
      </c>
      <c r="I674" s="19"/>
      <c r="J674" s="19">
        <v>210</v>
      </c>
      <c r="K674" s="19"/>
      <c r="L674" s="19">
        <f t="shared" si="79"/>
        <v>5</v>
      </c>
      <c r="M674" s="21">
        <f t="shared" si="94"/>
        <v>5</v>
      </c>
      <c r="N674" s="22">
        <f t="shared" si="95"/>
        <v>5</v>
      </c>
      <c r="O674" s="22">
        <f t="shared" si="96"/>
        <v>0</v>
      </c>
      <c r="P674" s="20">
        <f t="shared" si="97"/>
        <v>0</v>
      </c>
      <c r="Q674" s="23">
        <f t="shared" si="99"/>
        <v>210</v>
      </c>
      <c r="R674" s="20">
        <f t="shared" si="93"/>
        <v>210</v>
      </c>
      <c r="S674" s="20">
        <f t="shared" si="93"/>
        <v>210</v>
      </c>
      <c r="T674" s="18">
        <f t="shared" si="98"/>
        <v>1050</v>
      </c>
      <c r="U674" s="18"/>
      <c r="V674" s="25"/>
    </row>
    <row r="675" spans="1:22" ht="24" customHeight="1">
      <c r="A675" s="26"/>
      <c r="B675" s="15"/>
      <c r="C675" s="15"/>
      <c r="D675" s="16">
        <v>672</v>
      </c>
      <c r="E675" s="16" t="s">
        <v>659</v>
      </c>
      <c r="F675" s="16" t="s">
        <v>24</v>
      </c>
      <c r="G675" s="17">
        <v>1</v>
      </c>
      <c r="H675" s="18">
        <v>21</v>
      </c>
      <c r="I675" s="19"/>
      <c r="J675" s="19">
        <v>91</v>
      </c>
      <c r="K675" s="19"/>
      <c r="L675" s="19">
        <f t="shared" si="79"/>
        <v>21</v>
      </c>
      <c r="M675" s="21">
        <f t="shared" si="94"/>
        <v>21</v>
      </c>
      <c r="N675" s="22">
        <f t="shared" si="95"/>
        <v>21</v>
      </c>
      <c r="O675" s="22">
        <f t="shared" si="96"/>
        <v>0</v>
      </c>
      <c r="P675" s="20">
        <f t="shared" si="97"/>
        <v>0</v>
      </c>
      <c r="Q675" s="23">
        <f t="shared" si="99"/>
        <v>91</v>
      </c>
      <c r="R675" s="20">
        <f t="shared" si="93"/>
        <v>91</v>
      </c>
      <c r="S675" s="20">
        <f t="shared" si="93"/>
        <v>91</v>
      </c>
      <c r="T675" s="18">
        <f t="shared" si="98"/>
        <v>1911</v>
      </c>
      <c r="U675" s="18"/>
      <c r="V675" s="25"/>
    </row>
    <row r="676" spans="1:22" ht="24" customHeight="1">
      <c r="A676" s="26"/>
      <c r="B676" s="15"/>
      <c r="C676" s="15"/>
      <c r="D676" s="16">
        <v>673</v>
      </c>
      <c r="E676" s="16" t="s">
        <v>660</v>
      </c>
      <c r="F676" s="16" t="s">
        <v>24</v>
      </c>
      <c r="G676" s="17">
        <v>1</v>
      </c>
      <c r="H676" s="18">
        <v>6</v>
      </c>
      <c r="I676" s="19"/>
      <c r="J676" s="19">
        <v>390</v>
      </c>
      <c r="K676" s="19"/>
      <c r="L676" s="19">
        <f t="shared" si="79"/>
        <v>6</v>
      </c>
      <c r="M676" s="21">
        <f t="shared" si="94"/>
        <v>6</v>
      </c>
      <c r="N676" s="22">
        <f t="shared" si="95"/>
        <v>6</v>
      </c>
      <c r="O676" s="22">
        <f t="shared" si="96"/>
        <v>0</v>
      </c>
      <c r="P676" s="20">
        <f t="shared" si="97"/>
        <v>0</v>
      </c>
      <c r="Q676" s="23">
        <f t="shared" si="99"/>
        <v>390</v>
      </c>
      <c r="R676" s="20">
        <f t="shared" si="93"/>
        <v>390</v>
      </c>
      <c r="S676" s="20">
        <f t="shared" si="93"/>
        <v>390</v>
      </c>
      <c r="T676" s="18">
        <f t="shared" si="98"/>
        <v>2340</v>
      </c>
      <c r="U676" s="18"/>
      <c r="V676" s="25"/>
    </row>
    <row r="677" spans="1:22" ht="24" customHeight="1">
      <c r="A677" s="26"/>
      <c r="B677" s="15"/>
      <c r="C677" s="15"/>
      <c r="D677" s="16">
        <v>674</v>
      </c>
      <c r="E677" s="16" t="s">
        <v>661</v>
      </c>
      <c r="F677" s="16" t="s">
        <v>24</v>
      </c>
      <c r="G677" s="17">
        <v>1</v>
      </c>
      <c r="H677" s="18">
        <v>6</v>
      </c>
      <c r="I677" s="19"/>
      <c r="J677" s="19">
        <v>230</v>
      </c>
      <c r="K677" s="19"/>
      <c r="L677" s="19">
        <f t="shared" si="79"/>
        <v>6</v>
      </c>
      <c r="M677" s="21">
        <f t="shared" si="94"/>
        <v>6</v>
      </c>
      <c r="N677" s="22">
        <f t="shared" si="95"/>
        <v>6</v>
      </c>
      <c r="O677" s="22">
        <f t="shared" si="96"/>
        <v>0</v>
      </c>
      <c r="P677" s="20">
        <f t="shared" si="97"/>
        <v>0</v>
      </c>
      <c r="Q677" s="23">
        <f t="shared" si="99"/>
        <v>230</v>
      </c>
      <c r="R677" s="20">
        <f t="shared" si="93"/>
        <v>230</v>
      </c>
      <c r="S677" s="20">
        <f t="shared" si="93"/>
        <v>230</v>
      </c>
      <c r="T677" s="18">
        <f t="shared" si="98"/>
        <v>1380</v>
      </c>
      <c r="U677" s="18"/>
      <c r="V677" s="25"/>
    </row>
    <row r="678" spans="1:22" ht="24" customHeight="1">
      <c r="A678" s="26"/>
      <c r="B678" s="15"/>
      <c r="C678" s="15"/>
      <c r="D678" s="16">
        <v>675</v>
      </c>
      <c r="E678" s="16" t="s">
        <v>662</v>
      </c>
      <c r="F678" s="16" t="s">
        <v>24</v>
      </c>
      <c r="G678" s="17">
        <v>1</v>
      </c>
      <c r="H678" s="18">
        <v>3</v>
      </c>
      <c r="I678" s="19"/>
      <c r="J678" s="19">
        <v>200</v>
      </c>
      <c r="K678" s="19"/>
      <c r="L678" s="19">
        <f t="shared" ref="L678:L740" si="100">I678*G678+H678</f>
        <v>3</v>
      </c>
      <c r="M678" s="21">
        <f t="shared" si="94"/>
        <v>3</v>
      </c>
      <c r="N678" s="22">
        <f t="shared" si="95"/>
        <v>3</v>
      </c>
      <c r="O678" s="22">
        <f t="shared" si="96"/>
        <v>0</v>
      </c>
      <c r="P678" s="20">
        <f t="shared" si="97"/>
        <v>0</v>
      </c>
      <c r="Q678" s="23">
        <f t="shared" si="99"/>
        <v>200</v>
      </c>
      <c r="R678" s="20">
        <f t="shared" si="93"/>
        <v>200</v>
      </c>
      <c r="S678" s="20">
        <f t="shared" si="93"/>
        <v>200</v>
      </c>
      <c r="T678" s="18">
        <f t="shared" si="98"/>
        <v>600</v>
      </c>
      <c r="U678" s="18"/>
      <c r="V678" s="25"/>
    </row>
    <row r="679" spans="1:22" ht="24" customHeight="1">
      <c r="A679" s="26"/>
      <c r="B679" s="15"/>
      <c r="C679" s="15"/>
      <c r="D679" s="16">
        <v>676</v>
      </c>
      <c r="E679" s="16" t="s">
        <v>663</v>
      </c>
      <c r="F679" s="16" t="s">
        <v>24</v>
      </c>
      <c r="G679" s="17">
        <v>100</v>
      </c>
      <c r="H679" s="18">
        <v>300</v>
      </c>
      <c r="I679" s="19">
        <v>3</v>
      </c>
      <c r="J679" s="19"/>
      <c r="K679" s="19">
        <v>200</v>
      </c>
      <c r="L679" s="19">
        <f t="shared" si="100"/>
        <v>600</v>
      </c>
      <c r="M679" s="21">
        <f t="shared" si="94"/>
        <v>6</v>
      </c>
      <c r="N679" s="22">
        <f t="shared" si="95"/>
        <v>0</v>
      </c>
      <c r="O679" s="22">
        <f t="shared" si="96"/>
        <v>6</v>
      </c>
      <c r="P679" s="20">
        <f t="shared" si="97"/>
        <v>2</v>
      </c>
      <c r="Q679" s="23">
        <f t="shared" si="99"/>
        <v>0</v>
      </c>
      <c r="R679" s="20">
        <f t="shared" si="93"/>
        <v>2</v>
      </c>
      <c r="S679" s="20">
        <f t="shared" si="93"/>
        <v>200</v>
      </c>
      <c r="T679" s="18">
        <f t="shared" si="98"/>
        <v>1200</v>
      </c>
      <c r="U679" s="18"/>
      <c r="V679" s="25"/>
    </row>
    <row r="680" spans="1:22" ht="24" customHeight="1">
      <c r="A680" s="26"/>
      <c r="B680" s="15"/>
      <c r="C680" s="15"/>
      <c r="D680" s="16">
        <v>677</v>
      </c>
      <c r="E680" s="16" t="s">
        <v>664</v>
      </c>
      <c r="F680" s="16" t="s">
        <v>24</v>
      </c>
      <c r="G680" s="17">
        <v>1</v>
      </c>
      <c r="H680" s="18">
        <v>6</v>
      </c>
      <c r="I680" s="19"/>
      <c r="J680" s="19">
        <v>470</v>
      </c>
      <c r="K680" s="19"/>
      <c r="L680" s="19">
        <f t="shared" si="100"/>
        <v>6</v>
      </c>
      <c r="M680" s="21">
        <f t="shared" si="94"/>
        <v>6</v>
      </c>
      <c r="N680" s="22">
        <f t="shared" si="95"/>
        <v>6</v>
      </c>
      <c r="O680" s="22">
        <f t="shared" si="96"/>
        <v>0</v>
      </c>
      <c r="P680" s="20">
        <f t="shared" si="97"/>
        <v>0</v>
      </c>
      <c r="Q680" s="23">
        <f t="shared" si="99"/>
        <v>470</v>
      </c>
      <c r="R680" s="20">
        <f t="shared" si="93"/>
        <v>470</v>
      </c>
      <c r="S680" s="20">
        <f t="shared" si="93"/>
        <v>470</v>
      </c>
      <c r="T680" s="18">
        <f t="shared" si="98"/>
        <v>2820</v>
      </c>
      <c r="U680" s="18"/>
      <c r="V680" s="25"/>
    </row>
    <row r="681" spans="1:22" ht="24" customHeight="1">
      <c r="A681" s="26"/>
      <c r="B681" s="15"/>
      <c r="C681" s="15"/>
      <c r="D681" s="16">
        <v>678</v>
      </c>
      <c r="E681" s="16" t="s">
        <v>665</v>
      </c>
      <c r="F681" s="16" t="s">
        <v>24</v>
      </c>
      <c r="G681" s="17">
        <v>1</v>
      </c>
      <c r="H681" s="18">
        <v>5</v>
      </c>
      <c r="I681" s="19"/>
      <c r="J681" s="19">
        <v>360</v>
      </c>
      <c r="K681" s="19"/>
      <c r="L681" s="19">
        <f t="shared" si="100"/>
        <v>5</v>
      </c>
      <c r="M681" s="21">
        <f t="shared" si="94"/>
        <v>5</v>
      </c>
      <c r="N681" s="22">
        <f t="shared" si="95"/>
        <v>5</v>
      </c>
      <c r="O681" s="22">
        <f t="shared" si="96"/>
        <v>0</v>
      </c>
      <c r="P681" s="20">
        <f t="shared" si="97"/>
        <v>0</v>
      </c>
      <c r="Q681" s="23">
        <f t="shared" si="99"/>
        <v>360</v>
      </c>
      <c r="R681" s="20">
        <f t="shared" si="93"/>
        <v>360</v>
      </c>
      <c r="S681" s="20">
        <f t="shared" si="93"/>
        <v>360</v>
      </c>
      <c r="T681" s="18">
        <f t="shared" si="98"/>
        <v>1800</v>
      </c>
      <c r="U681" s="18"/>
      <c r="V681" s="25"/>
    </row>
    <row r="682" spans="1:22" ht="24" customHeight="1">
      <c r="A682" s="26"/>
      <c r="B682" s="15"/>
      <c r="C682" s="15"/>
      <c r="D682" s="16">
        <v>679</v>
      </c>
      <c r="E682" s="16" t="s">
        <v>666</v>
      </c>
      <c r="F682" s="16" t="s">
        <v>24</v>
      </c>
      <c r="G682" s="17">
        <v>1</v>
      </c>
      <c r="H682" s="18">
        <v>4</v>
      </c>
      <c r="I682" s="19"/>
      <c r="J682" s="19">
        <v>200</v>
      </c>
      <c r="K682" s="19"/>
      <c r="L682" s="19">
        <f t="shared" si="100"/>
        <v>4</v>
      </c>
      <c r="M682" s="21">
        <f t="shared" si="94"/>
        <v>4</v>
      </c>
      <c r="N682" s="22">
        <f t="shared" si="95"/>
        <v>4</v>
      </c>
      <c r="O682" s="22">
        <f t="shared" si="96"/>
        <v>0</v>
      </c>
      <c r="P682" s="20">
        <f t="shared" si="97"/>
        <v>0</v>
      </c>
      <c r="Q682" s="23">
        <f t="shared" si="99"/>
        <v>200</v>
      </c>
      <c r="R682" s="20">
        <f t="shared" si="93"/>
        <v>200</v>
      </c>
      <c r="S682" s="20">
        <f t="shared" si="93"/>
        <v>200</v>
      </c>
      <c r="T682" s="18">
        <f t="shared" si="98"/>
        <v>800</v>
      </c>
      <c r="U682" s="18"/>
      <c r="V682" s="25"/>
    </row>
    <row r="683" spans="1:22" ht="24" customHeight="1">
      <c r="A683" s="26"/>
      <c r="B683" s="15"/>
      <c r="C683" s="15"/>
      <c r="D683" s="16">
        <v>680</v>
      </c>
      <c r="E683" s="16" t="s">
        <v>667</v>
      </c>
      <c r="F683" s="16" t="s">
        <v>24</v>
      </c>
      <c r="G683" s="17">
        <v>1</v>
      </c>
      <c r="H683" s="18">
        <v>1</v>
      </c>
      <c r="I683" s="19"/>
      <c r="J683" s="19">
        <v>130</v>
      </c>
      <c r="K683" s="19"/>
      <c r="L683" s="19">
        <f t="shared" si="100"/>
        <v>1</v>
      </c>
      <c r="M683" s="21">
        <f t="shared" si="94"/>
        <v>1</v>
      </c>
      <c r="N683" s="22">
        <f t="shared" si="95"/>
        <v>1</v>
      </c>
      <c r="O683" s="22">
        <f t="shared" si="96"/>
        <v>0</v>
      </c>
      <c r="P683" s="20">
        <f t="shared" si="97"/>
        <v>0</v>
      </c>
      <c r="Q683" s="23">
        <f t="shared" si="99"/>
        <v>130</v>
      </c>
      <c r="R683" s="20">
        <f t="shared" si="93"/>
        <v>130</v>
      </c>
      <c r="S683" s="20">
        <f t="shared" si="93"/>
        <v>130</v>
      </c>
      <c r="T683" s="18">
        <f t="shared" si="98"/>
        <v>130</v>
      </c>
      <c r="U683" s="18"/>
      <c r="V683" s="25"/>
    </row>
    <row r="684" spans="1:22" ht="24" customHeight="1">
      <c r="A684" s="26"/>
      <c r="B684" s="15"/>
      <c r="C684" s="15"/>
      <c r="D684" s="16">
        <v>681</v>
      </c>
      <c r="E684" s="16" t="s">
        <v>668</v>
      </c>
      <c r="F684" s="16" t="s">
        <v>24</v>
      </c>
      <c r="G684" s="17">
        <v>1</v>
      </c>
      <c r="H684" s="18">
        <v>1</v>
      </c>
      <c r="I684" s="19"/>
      <c r="J684" s="19">
        <v>210</v>
      </c>
      <c r="K684" s="19"/>
      <c r="L684" s="19">
        <f t="shared" si="100"/>
        <v>1</v>
      </c>
      <c r="M684" s="21">
        <f t="shared" si="94"/>
        <v>1</v>
      </c>
      <c r="N684" s="22">
        <f t="shared" si="95"/>
        <v>1</v>
      </c>
      <c r="O684" s="22">
        <f t="shared" si="96"/>
        <v>0</v>
      </c>
      <c r="P684" s="20">
        <f t="shared" si="97"/>
        <v>0</v>
      </c>
      <c r="Q684" s="23">
        <f t="shared" si="99"/>
        <v>210</v>
      </c>
      <c r="R684" s="20">
        <f t="shared" si="93"/>
        <v>210</v>
      </c>
      <c r="S684" s="20">
        <f t="shared" si="93"/>
        <v>210</v>
      </c>
      <c r="T684" s="18">
        <f t="shared" si="98"/>
        <v>210</v>
      </c>
      <c r="U684" s="18"/>
      <c r="V684" s="25"/>
    </row>
    <row r="685" spans="1:22" ht="24" customHeight="1">
      <c r="A685" s="26"/>
      <c r="B685" s="15"/>
      <c r="C685" s="15"/>
      <c r="D685" s="16">
        <v>682</v>
      </c>
      <c r="E685" s="16" t="s">
        <v>669</v>
      </c>
      <c r="F685" s="16" t="s">
        <v>24</v>
      </c>
      <c r="G685" s="17">
        <v>12</v>
      </c>
      <c r="H685" s="18">
        <v>7</v>
      </c>
      <c r="I685" s="19">
        <v>1</v>
      </c>
      <c r="J685" s="19">
        <v>182</v>
      </c>
      <c r="K685" s="19"/>
      <c r="L685" s="19">
        <f t="shared" si="100"/>
        <v>19</v>
      </c>
      <c r="M685" s="21">
        <f t="shared" si="94"/>
        <v>1.5833333333333333</v>
      </c>
      <c r="N685" s="22">
        <f t="shared" si="95"/>
        <v>6.9999999999999991</v>
      </c>
      <c r="O685" s="22">
        <f t="shared" si="96"/>
        <v>1</v>
      </c>
      <c r="P685" s="20">
        <f t="shared" si="97"/>
        <v>0</v>
      </c>
      <c r="Q685" s="23">
        <f t="shared" si="99"/>
        <v>2184</v>
      </c>
      <c r="R685" s="20">
        <f t="shared" si="93"/>
        <v>182</v>
      </c>
      <c r="S685" s="20">
        <f t="shared" si="93"/>
        <v>2184</v>
      </c>
      <c r="T685" s="18">
        <f t="shared" si="98"/>
        <v>3458</v>
      </c>
      <c r="U685" s="18"/>
      <c r="V685" s="25"/>
    </row>
    <row r="686" spans="1:22" ht="24" customHeight="1">
      <c r="A686" s="26"/>
      <c r="B686" s="15"/>
      <c r="C686" s="15"/>
      <c r="D686" s="16">
        <v>683</v>
      </c>
      <c r="E686" s="16" t="s">
        <v>670</v>
      </c>
      <c r="F686" s="16" t="s">
        <v>24</v>
      </c>
      <c r="G686" s="17">
        <v>1</v>
      </c>
      <c r="H686" s="18">
        <v>9</v>
      </c>
      <c r="I686" s="19"/>
      <c r="J686" s="19">
        <v>200</v>
      </c>
      <c r="K686" s="19"/>
      <c r="L686" s="19">
        <f t="shared" si="100"/>
        <v>9</v>
      </c>
      <c r="M686" s="21">
        <f t="shared" si="94"/>
        <v>9</v>
      </c>
      <c r="N686" s="22">
        <f t="shared" si="95"/>
        <v>9</v>
      </c>
      <c r="O686" s="22">
        <f t="shared" si="96"/>
        <v>0</v>
      </c>
      <c r="P686" s="20">
        <f t="shared" si="97"/>
        <v>0</v>
      </c>
      <c r="Q686" s="23">
        <f t="shared" si="99"/>
        <v>200</v>
      </c>
      <c r="R686" s="20">
        <f t="shared" si="93"/>
        <v>200</v>
      </c>
      <c r="S686" s="20">
        <f t="shared" si="93"/>
        <v>200</v>
      </c>
      <c r="T686" s="18">
        <f t="shared" si="98"/>
        <v>1800</v>
      </c>
      <c r="U686" s="18"/>
      <c r="V686" s="25"/>
    </row>
    <row r="687" spans="1:22" ht="24" customHeight="1">
      <c r="A687" s="26"/>
      <c r="B687" s="15"/>
      <c r="C687" s="15"/>
      <c r="D687" s="16">
        <v>684</v>
      </c>
      <c r="E687" s="46" t="s">
        <v>671</v>
      </c>
      <c r="F687" s="16" t="s">
        <v>24</v>
      </c>
      <c r="G687" s="17">
        <v>1</v>
      </c>
      <c r="H687" s="18">
        <v>3</v>
      </c>
      <c r="I687" s="19"/>
      <c r="J687" s="19">
        <v>200</v>
      </c>
      <c r="K687" s="19"/>
      <c r="L687" s="19">
        <f t="shared" si="100"/>
        <v>3</v>
      </c>
      <c r="M687" s="21">
        <f t="shared" si="94"/>
        <v>3</v>
      </c>
      <c r="N687" s="22">
        <f t="shared" si="95"/>
        <v>3</v>
      </c>
      <c r="O687" s="22">
        <f t="shared" si="96"/>
        <v>0</v>
      </c>
      <c r="P687" s="20">
        <f t="shared" si="97"/>
        <v>0</v>
      </c>
      <c r="Q687" s="23">
        <f t="shared" si="99"/>
        <v>200</v>
      </c>
      <c r="R687" s="20">
        <f t="shared" ref="R687:S749" si="101">IFERROR(IF(J687&gt;0,J687,IF(J687&lt;0,P687,IF(J687=0,P687))),"")</f>
        <v>200</v>
      </c>
      <c r="S687" s="20">
        <f t="shared" si="101"/>
        <v>200</v>
      </c>
      <c r="T687" s="18">
        <f t="shared" si="98"/>
        <v>600</v>
      </c>
      <c r="U687" s="18" t="s">
        <v>152</v>
      </c>
      <c r="V687" s="25"/>
    </row>
    <row r="688" spans="1:22" ht="24" customHeight="1">
      <c r="A688" s="26"/>
      <c r="B688" s="15"/>
      <c r="C688" s="15"/>
      <c r="D688" s="16">
        <v>685</v>
      </c>
      <c r="E688" s="16" t="s">
        <v>672</v>
      </c>
      <c r="F688" s="16" t="s">
        <v>24</v>
      </c>
      <c r="G688" s="17">
        <v>1</v>
      </c>
      <c r="H688" s="18">
        <v>93</v>
      </c>
      <c r="I688" s="19"/>
      <c r="J688" s="19">
        <v>19</v>
      </c>
      <c r="K688" s="19"/>
      <c r="L688" s="19">
        <f t="shared" si="100"/>
        <v>93</v>
      </c>
      <c r="M688" s="21">
        <f t="shared" si="94"/>
        <v>93</v>
      </c>
      <c r="N688" s="22">
        <f t="shared" si="95"/>
        <v>93</v>
      </c>
      <c r="O688" s="22">
        <f t="shared" si="96"/>
        <v>0</v>
      </c>
      <c r="P688" s="20">
        <f t="shared" si="97"/>
        <v>0</v>
      </c>
      <c r="Q688" s="23">
        <f t="shared" si="99"/>
        <v>19</v>
      </c>
      <c r="R688" s="20">
        <f t="shared" si="101"/>
        <v>19</v>
      </c>
      <c r="S688" s="20">
        <f t="shared" si="101"/>
        <v>19</v>
      </c>
      <c r="T688" s="18">
        <f t="shared" si="98"/>
        <v>1767</v>
      </c>
      <c r="U688" s="18"/>
      <c r="V688" s="25"/>
    </row>
    <row r="689" spans="1:22" ht="24" customHeight="1">
      <c r="A689" s="26"/>
      <c r="B689" s="15"/>
      <c r="C689" s="15"/>
      <c r="D689" s="16">
        <v>686</v>
      </c>
      <c r="E689" s="16" t="s">
        <v>673</v>
      </c>
      <c r="F689" s="16" t="s">
        <v>24</v>
      </c>
      <c r="G689" s="17">
        <v>1</v>
      </c>
      <c r="H689" s="18">
        <v>27</v>
      </c>
      <c r="I689" s="19"/>
      <c r="J689" s="19">
        <v>130</v>
      </c>
      <c r="K689" s="19"/>
      <c r="L689" s="19">
        <f t="shared" si="100"/>
        <v>27</v>
      </c>
      <c r="M689" s="21">
        <f t="shared" si="94"/>
        <v>27</v>
      </c>
      <c r="N689" s="22">
        <f t="shared" si="95"/>
        <v>27</v>
      </c>
      <c r="O689" s="22">
        <f t="shared" si="96"/>
        <v>0</v>
      </c>
      <c r="P689" s="20">
        <f t="shared" si="97"/>
        <v>0</v>
      </c>
      <c r="Q689" s="23">
        <f t="shared" si="99"/>
        <v>130</v>
      </c>
      <c r="R689" s="20">
        <f t="shared" si="101"/>
        <v>130</v>
      </c>
      <c r="S689" s="20">
        <f t="shared" si="101"/>
        <v>130</v>
      </c>
      <c r="T689" s="18">
        <f t="shared" si="98"/>
        <v>3510</v>
      </c>
      <c r="U689" s="18"/>
      <c r="V689" s="25"/>
    </row>
    <row r="690" spans="1:22" ht="24" customHeight="1">
      <c r="A690" s="26"/>
      <c r="B690" s="15"/>
      <c r="C690" s="15"/>
      <c r="D690" s="16">
        <v>687</v>
      </c>
      <c r="E690" s="16" t="s">
        <v>674</v>
      </c>
      <c r="F690" s="16" t="s">
        <v>24</v>
      </c>
      <c r="G690" s="17">
        <v>1</v>
      </c>
      <c r="H690" s="18">
        <v>11</v>
      </c>
      <c r="I690" s="19"/>
      <c r="J690" s="19">
        <v>300</v>
      </c>
      <c r="K690" s="19"/>
      <c r="L690" s="19">
        <f t="shared" si="100"/>
        <v>11</v>
      </c>
      <c r="M690" s="21">
        <f t="shared" si="94"/>
        <v>11</v>
      </c>
      <c r="N690" s="22">
        <f t="shared" si="95"/>
        <v>11</v>
      </c>
      <c r="O690" s="22">
        <f t="shared" si="96"/>
        <v>0</v>
      </c>
      <c r="P690" s="20">
        <f t="shared" si="97"/>
        <v>0</v>
      </c>
      <c r="Q690" s="23">
        <f t="shared" si="99"/>
        <v>300</v>
      </c>
      <c r="R690" s="20">
        <f t="shared" si="101"/>
        <v>300</v>
      </c>
      <c r="S690" s="20">
        <f t="shared" si="101"/>
        <v>300</v>
      </c>
      <c r="T690" s="18">
        <f t="shared" si="98"/>
        <v>3300</v>
      </c>
      <c r="U690" s="18"/>
      <c r="V690" s="25"/>
    </row>
    <row r="691" spans="1:22" ht="24" customHeight="1">
      <c r="A691" s="26"/>
      <c r="B691" s="15"/>
      <c r="C691" s="15"/>
      <c r="D691" s="16">
        <v>688</v>
      </c>
      <c r="E691" s="16" t="s">
        <v>675</v>
      </c>
      <c r="F691" s="16" t="s">
        <v>24</v>
      </c>
      <c r="G691" s="17">
        <v>1</v>
      </c>
      <c r="H691" s="18">
        <v>12</v>
      </c>
      <c r="I691" s="19"/>
      <c r="J691" s="19">
        <v>250</v>
      </c>
      <c r="K691" s="19"/>
      <c r="L691" s="19">
        <f t="shared" si="100"/>
        <v>12</v>
      </c>
      <c r="M691" s="21">
        <f t="shared" si="94"/>
        <v>12</v>
      </c>
      <c r="N691" s="22">
        <f t="shared" si="95"/>
        <v>12</v>
      </c>
      <c r="O691" s="22">
        <f t="shared" si="96"/>
        <v>0</v>
      </c>
      <c r="P691" s="20">
        <f t="shared" si="97"/>
        <v>0</v>
      </c>
      <c r="Q691" s="23">
        <f t="shared" si="99"/>
        <v>250</v>
      </c>
      <c r="R691" s="20">
        <f t="shared" si="101"/>
        <v>250</v>
      </c>
      <c r="S691" s="20">
        <f t="shared" si="101"/>
        <v>250</v>
      </c>
      <c r="T691" s="18">
        <f t="shared" si="98"/>
        <v>3000</v>
      </c>
      <c r="U691" s="18"/>
      <c r="V691" s="25"/>
    </row>
    <row r="692" spans="1:22" ht="24" customHeight="1">
      <c r="A692" s="26"/>
      <c r="B692" s="15"/>
      <c r="C692" s="15"/>
      <c r="D692" s="16">
        <v>689</v>
      </c>
      <c r="E692" s="16" t="s">
        <v>676</v>
      </c>
      <c r="F692" s="16" t="s">
        <v>24</v>
      </c>
      <c r="G692" s="17">
        <v>1</v>
      </c>
      <c r="H692" s="18">
        <v>57</v>
      </c>
      <c r="I692" s="19"/>
      <c r="J692" s="19">
        <v>70</v>
      </c>
      <c r="K692" s="19"/>
      <c r="L692" s="19">
        <f t="shared" si="100"/>
        <v>57</v>
      </c>
      <c r="M692" s="21">
        <f t="shared" si="94"/>
        <v>57</v>
      </c>
      <c r="N692" s="22">
        <f t="shared" si="95"/>
        <v>57</v>
      </c>
      <c r="O692" s="22">
        <f t="shared" si="96"/>
        <v>0</v>
      </c>
      <c r="P692" s="20">
        <f t="shared" si="97"/>
        <v>0</v>
      </c>
      <c r="Q692" s="23">
        <f t="shared" si="99"/>
        <v>70</v>
      </c>
      <c r="R692" s="20">
        <f t="shared" si="101"/>
        <v>70</v>
      </c>
      <c r="S692" s="20">
        <f t="shared" si="101"/>
        <v>70</v>
      </c>
      <c r="T692" s="18">
        <f t="shared" si="98"/>
        <v>3990</v>
      </c>
      <c r="U692" s="18"/>
      <c r="V692" s="25"/>
    </row>
    <row r="693" spans="1:22" ht="24" customHeight="1">
      <c r="A693" s="26"/>
      <c r="B693" s="15"/>
      <c r="C693" s="15"/>
      <c r="D693" s="16">
        <v>690</v>
      </c>
      <c r="E693" s="16" t="s">
        <v>677</v>
      </c>
      <c r="F693" s="16" t="s">
        <v>24</v>
      </c>
      <c r="G693" s="17">
        <v>24</v>
      </c>
      <c r="H693" s="18"/>
      <c r="I693" s="19">
        <v>3</v>
      </c>
      <c r="J693" s="19">
        <v>46</v>
      </c>
      <c r="K693" s="19"/>
      <c r="L693" s="19">
        <f t="shared" si="100"/>
        <v>72</v>
      </c>
      <c r="M693" s="21">
        <f t="shared" si="94"/>
        <v>3</v>
      </c>
      <c r="N693" s="22">
        <f t="shared" si="95"/>
        <v>0</v>
      </c>
      <c r="O693" s="22">
        <f t="shared" si="96"/>
        <v>3</v>
      </c>
      <c r="P693" s="20">
        <f t="shared" si="97"/>
        <v>0</v>
      </c>
      <c r="Q693" s="23">
        <f t="shared" si="99"/>
        <v>1104</v>
      </c>
      <c r="R693" s="20">
        <f t="shared" si="101"/>
        <v>46</v>
      </c>
      <c r="S693" s="20">
        <f t="shared" si="101"/>
        <v>1104</v>
      </c>
      <c r="T693" s="18">
        <f t="shared" si="98"/>
        <v>3312</v>
      </c>
      <c r="U693" s="18"/>
      <c r="V693" s="25"/>
    </row>
    <row r="694" spans="1:22" ht="24" customHeight="1">
      <c r="A694" s="26"/>
      <c r="B694" s="15"/>
      <c r="C694" s="15"/>
      <c r="D694" s="16">
        <v>691</v>
      </c>
      <c r="E694" s="16" t="s">
        <v>678</v>
      </c>
      <c r="F694" s="16" t="s">
        <v>24</v>
      </c>
      <c r="G694" s="17">
        <v>1</v>
      </c>
      <c r="H694" s="18">
        <v>12</v>
      </c>
      <c r="I694" s="19"/>
      <c r="J694" s="19">
        <v>450</v>
      </c>
      <c r="K694" s="19"/>
      <c r="L694" s="19">
        <f t="shared" si="100"/>
        <v>12</v>
      </c>
      <c r="M694" s="21">
        <f t="shared" si="94"/>
        <v>12</v>
      </c>
      <c r="N694" s="22">
        <f t="shared" si="95"/>
        <v>12</v>
      </c>
      <c r="O694" s="22">
        <f t="shared" si="96"/>
        <v>0</v>
      </c>
      <c r="P694" s="20">
        <f t="shared" si="97"/>
        <v>0</v>
      </c>
      <c r="Q694" s="23">
        <f t="shared" si="99"/>
        <v>450</v>
      </c>
      <c r="R694" s="20">
        <f t="shared" si="101"/>
        <v>450</v>
      </c>
      <c r="S694" s="20">
        <f t="shared" si="101"/>
        <v>450</v>
      </c>
      <c r="T694" s="18">
        <f t="shared" si="98"/>
        <v>5400</v>
      </c>
      <c r="U694" s="18"/>
      <c r="V694" s="25"/>
    </row>
    <row r="695" spans="1:22" ht="24" customHeight="1">
      <c r="A695" s="26"/>
      <c r="B695" s="15"/>
      <c r="C695" s="15"/>
      <c r="D695" s="16">
        <v>692</v>
      </c>
      <c r="E695" s="16" t="s">
        <v>679</v>
      </c>
      <c r="F695" s="16" t="s">
        <v>24</v>
      </c>
      <c r="G695" s="17">
        <v>1</v>
      </c>
      <c r="H695" s="18">
        <v>2</v>
      </c>
      <c r="I695" s="19"/>
      <c r="J695" s="19">
        <v>500</v>
      </c>
      <c r="K695" s="19"/>
      <c r="L695" s="19">
        <f t="shared" si="100"/>
        <v>2</v>
      </c>
      <c r="M695" s="21">
        <f t="shared" si="94"/>
        <v>2</v>
      </c>
      <c r="N695" s="22">
        <f t="shared" si="95"/>
        <v>2</v>
      </c>
      <c r="O695" s="22">
        <f t="shared" si="96"/>
        <v>0</v>
      </c>
      <c r="P695" s="20">
        <f t="shared" si="97"/>
        <v>0</v>
      </c>
      <c r="Q695" s="23">
        <f t="shared" si="99"/>
        <v>500</v>
      </c>
      <c r="R695" s="20">
        <f t="shared" si="101"/>
        <v>500</v>
      </c>
      <c r="S695" s="20">
        <f t="shared" si="101"/>
        <v>500</v>
      </c>
      <c r="T695" s="18">
        <f t="shared" si="98"/>
        <v>1000</v>
      </c>
      <c r="U695" s="18"/>
      <c r="V695" s="25"/>
    </row>
    <row r="696" spans="1:22" ht="24" customHeight="1">
      <c r="A696" s="26"/>
      <c r="B696" s="15"/>
      <c r="C696" s="15"/>
      <c r="D696" s="16">
        <v>693</v>
      </c>
      <c r="E696" s="16" t="s">
        <v>680</v>
      </c>
      <c r="F696" s="16" t="s">
        <v>24</v>
      </c>
      <c r="G696" s="17">
        <v>1</v>
      </c>
      <c r="H696" s="18">
        <v>50</v>
      </c>
      <c r="I696" s="19"/>
      <c r="J696" s="19">
        <v>33</v>
      </c>
      <c r="K696" s="19"/>
      <c r="L696" s="19">
        <f t="shared" si="100"/>
        <v>50</v>
      </c>
      <c r="M696" s="21">
        <f t="shared" si="94"/>
        <v>50</v>
      </c>
      <c r="N696" s="22">
        <f t="shared" si="95"/>
        <v>50</v>
      </c>
      <c r="O696" s="22">
        <f t="shared" si="96"/>
        <v>0</v>
      </c>
      <c r="P696" s="20">
        <f t="shared" si="97"/>
        <v>0</v>
      </c>
      <c r="Q696" s="23">
        <f t="shared" si="99"/>
        <v>33</v>
      </c>
      <c r="R696" s="20">
        <f t="shared" si="101"/>
        <v>33</v>
      </c>
      <c r="S696" s="20">
        <f t="shared" si="101"/>
        <v>33</v>
      </c>
      <c r="T696" s="18">
        <f t="shared" si="98"/>
        <v>1650</v>
      </c>
      <c r="U696" s="18"/>
      <c r="V696" s="25"/>
    </row>
    <row r="697" spans="1:22" ht="24" customHeight="1">
      <c r="A697" s="26"/>
      <c r="B697" s="15"/>
      <c r="C697" s="15"/>
      <c r="D697" s="16">
        <v>694</v>
      </c>
      <c r="E697" s="16" t="s">
        <v>681</v>
      </c>
      <c r="F697" s="16" t="s">
        <v>24</v>
      </c>
      <c r="G697" s="17">
        <v>1</v>
      </c>
      <c r="H697" s="18">
        <v>48</v>
      </c>
      <c r="I697" s="19"/>
      <c r="J697" s="19">
        <v>63</v>
      </c>
      <c r="K697" s="19"/>
      <c r="L697" s="19">
        <f t="shared" si="100"/>
        <v>48</v>
      </c>
      <c r="M697" s="21">
        <f t="shared" si="94"/>
        <v>48</v>
      </c>
      <c r="N697" s="22">
        <f t="shared" si="95"/>
        <v>48</v>
      </c>
      <c r="O697" s="22">
        <f t="shared" si="96"/>
        <v>0</v>
      </c>
      <c r="P697" s="20">
        <f t="shared" si="97"/>
        <v>0</v>
      </c>
      <c r="Q697" s="23">
        <f t="shared" si="99"/>
        <v>63</v>
      </c>
      <c r="R697" s="20">
        <f t="shared" si="101"/>
        <v>63</v>
      </c>
      <c r="S697" s="20">
        <f t="shared" si="101"/>
        <v>63</v>
      </c>
      <c r="T697" s="18">
        <f t="shared" si="98"/>
        <v>3024</v>
      </c>
      <c r="U697" s="18"/>
      <c r="V697" s="25"/>
    </row>
    <row r="698" spans="1:22" ht="24" customHeight="1">
      <c r="A698" s="26"/>
      <c r="B698" s="15"/>
      <c r="C698" s="15"/>
      <c r="D698" s="16">
        <v>695</v>
      </c>
      <c r="E698" s="16" t="s">
        <v>682</v>
      </c>
      <c r="F698" s="16" t="s">
        <v>24</v>
      </c>
      <c r="G698" s="17">
        <v>1</v>
      </c>
      <c r="H698" s="18">
        <v>16</v>
      </c>
      <c r="I698" s="19"/>
      <c r="J698" s="19">
        <v>60</v>
      </c>
      <c r="K698" s="19"/>
      <c r="L698" s="19">
        <f t="shared" si="100"/>
        <v>16</v>
      </c>
      <c r="M698" s="21">
        <f t="shared" si="94"/>
        <v>16</v>
      </c>
      <c r="N698" s="22">
        <f t="shared" si="95"/>
        <v>16</v>
      </c>
      <c r="O698" s="22">
        <f t="shared" si="96"/>
        <v>0</v>
      </c>
      <c r="P698" s="20">
        <f t="shared" si="97"/>
        <v>0</v>
      </c>
      <c r="Q698" s="23">
        <f t="shared" si="99"/>
        <v>60</v>
      </c>
      <c r="R698" s="20">
        <f t="shared" si="101"/>
        <v>60</v>
      </c>
      <c r="S698" s="20">
        <f t="shared" si="101"/>
        <v>60</v>
      </c>
      <c r="T698" s="18">
        <f t="shared" si="98"/>
        <v>960</v>
      </c>
      <c r="U698" s="18"/>
      <c r="V698" s="25"/>
    </row>
    <row r="699" spans="1:22" ht="24" customHeight="1">
      <c r="A699" s="26"/>
      <c r="B699" s="15"/>
      <c r="C699" s="15"/>
      <c r="D699" s="16">
        <v>696</v>
      </c>
      <c r="E699" s="16" t="s">
        <v>683</v>
      </c>
      <c r="F699" s="16" t="s">
        <v>24</v>
      </c>
      <c r="G699" s="17">
        <v>10</v>
      </c>
      <c r="H699" s="18">
        <v>90</v>
      </c>
      <c r="I699" s="19">
        <v>9</v>
      </c>
      <c r="J699" s="19">
        <v>15</v>
      </c>
      <c r="K699" s="19">
        <v>150</v>
      </c>
      <c r="L699" s="19">
        <f t="shared" si="100"/>
        <v>180</v>
      </c>
      <c r="M699" s="21">
        <f t="shared" si="94"/>
        <v>18</v>
      </c>
      <c r="N699" s="22">
        <f t="shared" si="95"/>
        <v>0</v>
      </c>
      <c r="O699" s="22">
        <f t="shared" si="96"/>
        <v>18</v>
      </c>
      <c r="P699" s="20">
        <f t="shared" si="97"/>
        <v>15</v>
      </c>
      <c r="Q699" s="23">
        <f t="shared" si="99"/>
        <v>150</v>
      </c>
      <c r="R699" s="20">
        <f t="shared" si="101"/>
        <v>15</v>
      </c>
      <c r="S699" s="20">
        <f t="shared" si="101"/>
        <v>150</v>
      </c>
      <c r="T699" s="18">
        <f t="shared" si="98"/>
        <v>2700</v>
      </c>
      <c r="U699" s="18"/>
      <c r="V699" s="25"/>
    </row>
    <row r="700" spans="1:22" ht="24" customHeight="1">
      <c r="A700" s="26"/>
      <c r="B700" s="15"/>
      <c r="C700" s="15"/>
      <c r="D700" s="16">
        <v>697</v>
      </c>
      <c r="E700" s="16" t="s">
        <v>684</v>
      </c>
      <c r="F700" s="16" t="s">
        <v>24</v>
      </c>
      <c r="G700" s="17">
        <v>12</v>
      </c>
      <c r="H700" s="18">
        <v>48</v>
      </c>
      <c r="I700" s="19">
        <v>4</v>
      </c>
      <c r="J700" s="19">
        <v>20</v>
      </c>
      <c r="K700" s="19">
        <v>230</v>
      </c>
      <c r="L700" s="19">
        <f t="shared" si="100"/>
        <v>96</v>
      </c>
      <c r="M700" s="21">
        <f t="shared" si="94"/>
        <v>8</v>
      </c>
      <c r="N700" s="22">
        <f t="shared" si="95"/>
        <v>0</v>
      </c>
      <c r="O700" s="22">
        <f t="shared" si="96"/>
        <v>8</v>
      </c>
      <c r="P700" s="20">
        <f t="shared" si="97"/>
        <v>19.166666666666668</v>
      </c>
      <c r="Q700" s="23">
        <f t="shared" si="99"/>
        <v>240</v>
      </c>
      <c r="R700" s="20">
        <f t="shared" si="101"/>
        <v>20</v>
      </c>
      <c r="S700" s="20">
        <f t="shared" si="101"/>
        <v>230</v>
      </c>
      <c r="T700" s="18">
        <f t="shared" si="98"/>
        <v>1880</v>
      </c>
      <c r="U700" s="18"/>
      <c r="V700" s="25"/>
    </row>
    <row r="701" spans="1:22" ht="24" customHeight="1">
      <c r="A701" s="26"/>
      <c r="B701" s="15"/>
      <c r="C701" s="15"/>
      <c r="D701" s="16">
        <v>698</v>
      </c>
      <c r="E701" s="16" t="s">
        <v>685</v>
      </c>
      <c r="F701" s="16" t="s">
        <v>24</v>
      </c>
      <c r="G701" s="17">
        <v>1</v>
      </c>
      <c r="H701" s="18">
        <v>37</v>
      </c>
      <c r="I701" s="19"/>
      <c r="J701" s="19">
        <v>38</v>
      </c>
      <c r="K701" s="19"/>
      <c r="L701" s="19">
        <f t="shared" si="100"/>
        <v>37</v>
      </c>
      <c r="M701" s="21">
        <f t="shared" si="94"/>
        <v>37</v>
      </c>
      <c r="N701" s="22">
        <f t="shared" si="95"/>
        <v>37</v>
      </c>
      <c r="O701" s="22">
        <f t="shared" si="96"/>
        <v>0</v>
      </c>
      <c r="P701" s="20">
        <f t="shared" si="97"/>
        <v>0</v>
      </c>
      <c r="Q701" s="23">
        <f t="shared" si="99"/>
        <v>38</v>
      </c>
      <c r="R701" s="20">
        <f t="shared" si="101"/>
        <v>38</v>
      </c>
      <c r="S701" s="20">
        <f t="shared" si="101"/>
        <v>38</v>
      </c>
      <c r="T701" s="18">
        <f t="shared" si="98"/>
        <v>1406</v>
      </c>
      <c r="U701" s="18"/>
      <c r="V701" s="25"/>
    </row>
    <row r="702" spans="1:22" ht="24" customHeight="1">
      <c r="A702" s="26"/>
      <c r="B702" s="15"/>
      <c r="C702" s="15"/>
      <c r="D702" s="16">
        <v>699</v>
      </c>
      <c r="E702" s="16" t="s">
        <v>686</v>
      </c>
      <c r="F702" s="16" t="s">
        <v>24</v>
      </c>
      <c r="G702" s="17">
        <v>1</v>
      </c>
      <c r="H702" s="18">
        <v>50</v>
      </c>
      <c r="I702" s="19"/>
      <c r="J702" s="19">
        <v>10</v>
      </c>
      <c r="K702" s="19"/>
      <c r="L702" s="19">
        <f t="shared" si="100"/>
        <v>50</v>
      </c>
      <c r="M702" s="21">
        <f t="shared" si="94"/>
        <v>50</v>
      </c>
      <c r="N702" s="22">
        <f t="shared" si="95"/>
        <v>50</v>
      </c>
      <c r="O702" s="22">
        <f t="shared" si="96"/>
        <v>0</v>
      </c>
      <c r="P702" s="20">
        <f t="shared" si="97"/>
        <v>0</v>
      </c>
      <c r="Q702" s="23">
        <f t="shared" si="99"/>
        <v>10</v>
      </c>
      <c r="R702" s="20">
        <f t="shared" si="101"/>
        <v>10</v>
      </c>
      <c r="S702" s="20">
        <f t="shared" si="101"/>
        <v>10</v>
      </c>
      <c r="T702" s="18">
        <f t="shared" si="98"/>
        <v>500</v>
      </c>
      <c r="U702" s="18"/>
      <c r="V702" s="25"/>
    </row>
    <row r="703" spans="1:22" ht="24" customHeight="1">
      <c r="A703" s="26"/>
      <c r="B703" s="15"/>
      <c r="C703" s="15"/>
      <c r="D703" s="16">
        <v>700</v>
      </c>
      <c r="E703" s="16" t="s">
        <v>687</v>
      </c>
      <c r="F703" s="16" t="s">
        <v>24</v>
      </c>
      <c r="G703" s="17">
        <v>1</v>
      </c>
      <c r="H703" s="18">
        <v>75</v>
      </c>
      <c r="I703" s="19"/>
      <c r="J703" s="19">
        <v>22</v>
      </c>
      <c r="K703" s="19"/>
      <c r="L703" s="19">
        <f t="shared" si="100"/>
        <v>75</v>
      </c>
      <c r="M703" s="21">
        <f t="shared" si="94"/>
        <v>75</v>
      </c>
      <c r="N703" s="22">
        <f t="shared" si="95"/>
        <v>75</v>
      </c>
      <c r="O703" s="22">
        <f t="shared" si="96"/>
        <v>0</v>
      </c>
      <c r="P703" s="20">
        <f t="shared" si="97"/>
        <v>0</v>
      </c>
      <c r="Q703" s="23">
        <f t="shared" si="99"/>
        <v>22</v>
      </c>
      <c r="R703" s="20">
        <f t="shared" si="101"/>
        <v>22</v>
      </c>
      <c r="S703" s="20">
        <f t="shared" si="101"/>
        <v>22</v>
      </c>
      <c r="T703" s="18">
        <f t="shared" si="98"/>
        <v>1650</v>
      </c>
      <c r="U703" s="18"/>
      <c r="V703" s="25"/>
    </row>
    <row r="704" spans="1:22" ht="24" customHeight="1">
      <c r="A704" s="26"/>
      <c r="B704" s="15"/>
      <c r="C704" s="15"/>
      <c r="D704" s="16">
        <v>701</v>
      </c>
      <c r="E704" s="16" t="s">
        <v>688</v>
      </c>
      <c r="F704" s="16" t="s">
        <v>24</v>
      </c>
      <c r="G704" s="17">
        <v>1</v>
      </c>
      <c r="H704" s="18">
        <v>20</v>
      </c>
      <c r="I704" s="19"/>
      <c r="J704" s="19">
        <v>17</v>
      </c>
      <c r="K704" s="19"/>
      <c r="L704" s="19">
        <f t="shared" si="100"/>
        <v>20</v>
      </c>
      <c r="M704" s="21">
        <f t="shared" si="94"/>
        <v>20</v>
      </c>
      <c r="N704" s="22">
        <f t="shared" si="95"/>
        <v>20</v>
      </c>
      <c r="O704" s="22">
        <f t="shared" si="96"/>
        <v>0</v>
      </c>
      <c r="P704" s="20">
        <f t="shared" si="97"/>
        <v>0</v>
      </c>
      <c r="Q704" s="23">
        <f t="shared" si="99"/>
        <v>17</v>
      </c>
      <c r="R704" s="20">
        <f t="shared" si="101"/>
        <v>17</v>
      </c>
      <c r="S704" s="20">
        <f t="shared" si="101"/>
        <v>17</v>
      </c>
      <c r="T704" s="18">
        <f t="shared" si="98"/>
        <v>340</v>
      </c>
      <c r="U704" s="18"/>
      <c r="V704" s="25"/>
    </row>
    <row r="705" spans="1:22" ht="24" customHeight="1">
      <c r="A705" s="26"/>
      <c r="B705" s="15"/>
      <c r="C705" s="15"/>
      <c r="D705" s="16">
        <v>702</v>
      </c>
      <c r="E705" s="16" t="s">
        <v>689</v>
      </c>
      <c r="F705" s="16" t="s">
        <v>24</v>
      </c>
      <c r="G705" s="17">
        <v>1</v>
      </c>
      <c r="H705" s="18">
        <v>18</v>
      </c>
      <c r="I705" s="19"/>
      <c r="J705" s="19">
        <v>17</v>
      </c>
      <c r="K705" s="19"/>
      <c r="L705" s="19">
        <f t="shared" si="100"/>
        <v>18</v>
      </c>
      <c r="M705" s="21">
        <f t="shared" si="94"/>
        <v>18</v>
      </c>
      <c r="N705" s="22">
        <f t="shared" si="95"/>
        <v>18</v>
      </c>
      <c r="O705" s="22">
        <f t="shared" si="96"/>
        <v>0</v>
      </c>
      <c r="P705" s="20">
        <f t="shared" si="97"/>
        <v>0</v>
      </c>
      <c r="Q705" s="23">
        <f t="shared" si="99"/>
        <v>17</v>
      </c>
      <c r="R705" s="20">
        <f t="shared" si="101"/>
        <v>17</v>
      </c>
      <c r="S705" s="20">
        <f t="shared" si="101"/>
        <v>17</v>
      </c>
      <c r="T705" s="18">
        <f t="shared" si="98"/>
        <v>306</v>
      </c>
      <c r="U705" s="18"/>
      <c r="V705" s="25"/>
    </row>
    <row r="706" spans="1:22" ht="24" customHeight="1">
      <c r="A706" s="26"/>
      <c r="B706" s="15"/>
      <c r="C706" s="15"/>
      <c r="D706" s="16">
        <v>703</v>
      </c>
      <c r="E706" s="16" t="s">
        <v>690</v>
      </c>
      <c r="F706" s="16" t="s">
        <v>24</v>
      </c>
      <c r="G706" s="17">
        <v>1</v>
      </c>
      <c r="H706" s="18">
        <v>6</v>
      </c>
      <c r="I706" s="19"/>
      <c r="J706" s="19">
        <v>110</v>
      </c>
      <c r="K706" s="19"/>
      <c r="L706" s="19">
        <f t="shared" si="100"/>
        <v>6</v>
      </c>
      <c r="M706" s="21">
        <f t="shared" si="94"/>
        <v>6</v>
      </c>
      <c r="N706" s="22">
        <f t="shared" si="95"/>
        <v>6</v>
      </c>
      <c r="O706" s="22">
        <f t="shared" si="96"/>
        <v>0</v>
      </c>
      <c r="P706" s="20">
        <f t="shared" si="97"/>
        <v>0</v>
      </c>
      <c r="Q706" s="23">
        <f t="shared" si="99"/>
        <v>110</v>
      </c>
      <c r="R706" s="20">
        <f t="shared" si="101"/>
        <v>110</v>
      </c>
      <c r="S706" s="20">
        <f t="shared" si="101"/>
        <v>110</v>
      </c>
      <c r="T706" s="18">
        <f t="shared" si="98"/>
        <v>660</v>
      </c>
      <c r="U706" s="18"/>
      <c r="V706" s="25"/>
    </row>
    <row r="707" spans="1:22" ht="24" customHeight="1">
      <c r="A707" s="26"/>
      <c r="B707" s="15"/>
      <c r="C707" s="15"/>
      <c r="D707" s="16">
        <v>704</v>
      </c>
      <c r="E707" s="16" t="s">
        <v>691</v>
      </c>
      <c r="F707" s="16" t="s">
        <v>24</v>
      </c>
      <c r="G707" s="17">
        <v>1</v>
      </c>
      <c r="H707" s="18">
        <v>150</v>
      </c>
      <c r="I707" s="19"/>
      <c r="J707" s="19">
        <v>15</v>
      </c>
      <c r="K707" s="19"/>
      <c r="L707" s="19">
        <f t="shared" si="100"/>
        <v>150</v>
      </c>
      <c r="M707" s="21">
        <f t="shared" ref="M707:M770" si="102">IFERROR(L707/G707,"")</f>
        <v>150</v>
      </c>
      <c r="N707" s="22">
        <f t="shared" ref="N707:N770" si="103">IF(G707=1,L707,IF(G707&gt;1,IFERROR((M707-O707)*G707,""),""))</f>
        <v>150</v>
      </c>
      <c r="O707" s="22">
        <f t="shared" ref="O707:O770" si="104">IFERROR(IF(G707=1,0,IF(G707&gt;1,ROUNDDOWN(M707,0))),"")</f>
        <v>0</v>
      </c>
      <c r="P707" s="20">
        <f t="shared" si="97"/>
        <v>0</v>
      </c>
      <c r="Q707" s="23">
        <f t="shared" si="99"/>
        <v>15</v>
      </c>
      <c r="R707" s="20">
        <f t="shared" si="101"/>
        <v>15</v>
      </c>
      <c r="S707" s="20">
        <f t="shared" si="101"/>
        <v>15</v>
      </c>
      <c r="T707" s="18">
        <f t="shared" si="98"/>
        <v>2250</v>
      </c>
      <c r="U707" s="18"/>
      <c r="V707" s="25"/>
    </row>
    <row r="708" spans="1:22" ht="24" customHeight="1">
      <c r="A708" s="26"/>
      <c r="B708" s="15"/>
      <c r="C708" s="15"/>
      <c r="D708" s="16">
        <v>705</v>
      </c>
      <c r="E708" s="16" t="s">
        <v>692</v>
      </c>
      <c r="F708" s="16" t="s">
        <v>24</v>
      </c>
      <c r="G708" s="17">
        <v>1</v>
      </c>
      <c r="H708" s="18">
        <v>2</v>
      </c>
      <c r="I708" s="19"/>
      <c r="J708" s="19">
        <v>400</v>
      </c>
      <c r="K708" s="19"/>
      <c r="L708" s="19">
        <f t="shared" si="100"/>
        <v>2</v>
      </c>
      <c r="M708" s="21">
        <f t="shared" si="102"/>
        <v>2</v>
      </c>
      <c r="N708" s="22">
        <f t="shared" si="103"/>
        <v>2</v>
      </c>
      <c r="O708" s="22">
        <f t="shared" si="104"/>
        <v>0</v>
      </c>
      <c r="P708" s="20">
        <f t="shared" ref="P708:P771" si="105">IFERROR(K708/G708,"")</f>
        <v>0</v>
      </c>
      <c r="Q708" s="23">
        <f t="shared" si="99"/>
        <v>400</v>
      </c>
      <c r="R708" s="20">
        <f t="shared" si="101"/>
        <v>400</v>
      </c>
      <c r="S708" s="20">
        <f t="shared" si="101"/>
        <v>400</v>
      </c>
      <c r="T708" s="18">
        <f t="shared" si="98"/>
        <v>800</v>
      </c>
      <c r="U708" s="18"/>
      <c r="V708" s="25"/>
    </row>
    <row r="709" spans="1:22" ht="24" customHeight="1">
      <c r="A709" s="26"/>
      <c r="B709" s="15"/>
      <c r="C709" s="15"/>
      <c r="D709" s="16">
        <v>706</v>
      </c>
      <c r="E709" s="16" t="s">
        <v>693</v>
      </c>
      <c r="F709" s="16" t="s">
        <v>24</v>
      </c>
      <c r="G709" s="17">
        <v>1</v>
      </c>
      <c r="H709" s="18">
        <v>16</v>
      </c>
      <c r="I709" s="19"/>
      <c r="J709" s="19">
        <v>22</v>
      </c>
      <c r="K709" s="19"/>
      <c r="L709" s="19">
        <f t="shared" si="100"/>
        <v>16</v>
      </c>
      <c r="M709" s="21">
        <f t="shared" si="102"/>
        <v>16</v>
      </c>
      <c r="N709" s="22">
        <f t="shared" si="103"/>
        <v>16</v>
      </c>
      <c r="O709" s="22">
        <f t="shared" si="104"/>
        <v>0</v>
      </c>
      <c r="P709" s="20">
        <f t="shared" si="105"/>
        <v>0</v>
      </c>
      <c r="Q709" s="23">
        <f t="shared" si="99"/>
        <v>22</v>
      </c>
      <c r="R709" s="20">
        <f t="shared" si="101"/>
        <v>22</v>
      </c>
      <c r="S709" s="20">
        <f t="shared" si="101"/>
        <v>22</v>
      </c>
      <c r="T709" s="18">
        <f t="shared" ref="T709:T772" si="106">IFERROR(S709*I709+R709*H709,"")</f>
        <v>352</v>
      </c>
      <c r="U709" s="18"/>
      <c r="V709" s="25"/>
    </row>
    <row r="710" spans="1:22" ht="24" customHeight="1">
      <c r="A710" s="26"/>
      <c r="B710" s="15"/>
      <c r="C710" s="15"/>
      <c r="D710" s="16">
        <v>707</v>
      </c>
      <c r="E710" s="16" t="s">
        <v>694</v>
      </c>
      <c r="F710" s="16" t="s">
        <v>24</v>
      </c>
      <c r="G710" s="17">
        <v>1</v>
      </c>
      <c r="H710" s="18">
        <v>85</v>
      </c>
      <c r="I710" s="19"/>
      <c r="J710" s="19">
        <v>14</v>
      </c>
      <c r="K710" s="19"/>
      <c r="L710" s="19">
        <f t="shared" si="100"/>
        <v>85</v>
      </c>
      <c r="M710" s="21">
        <f t="shared" si="102"/>
        <v>85</v>
      </c>
      <c r="N710" s="22">
        <f t="shared" si="103"/>
        <v>85</v>
      </c>
      <c r="O710" s="22">
        <f t="shared" si="104"/>
        <v>0</v>
      </c>
      <c r="P710" s="20">
        <f t="shared" si="105"/>
        <v>0</v>
      </c>
      <c r="Q710" s="23">
        <f t="shared" si="99"/>
        <v>14</v>
      </c>
      <c r="R710" s="20">
        <f t="shared" si="101"/>
        <v>14</v>
      </c>
      <c r="S710" s="20">
        <f t="shared" si="101"/>
        <v>14</v>
      </c>
      <c r="T710" s="18">
        <f t="shared" si="106"/>
        <v>1190</v>
      </c>
      <c r="U710" s="18"/>
      <c r="V710" s="25"/>
    </row>
    <row r="711" spans="1:22" ht="24" customHeight="1">
      <c r="A711" s="26"/>
      <c r="B711" s="15"/>
      <c r="C711" s="15"/>
      <c r="D711" s="16">
        <v>708</v>
      </c>
      <c r="E711" s="16" t="s">
        <v>695</v>
      </c>
      <c r="F711" s="16" t="s">
        <v>24</v>
      </c>
      <c r="G711" s="17">
        <v>1</v>
      </c>
      <c r="H711" s="18">
        <v>32</v>
      </c>
      <c r="I711" s="19"/>
      <c r="J711" s="19">
        <v>20</v>
      </c>
      <c r="K711" s="19"/>
      <c r="L711" s="19">
        <f t="shared" si="100"/>
        <v>32</v>
      </c>
      <c r="M711" s="21">
        <f t="shared" si="102"/>
        <v>32</v>
      </c>
      <c r="N711" s="22">
        <f t="shared" si="103"/>
        <v>32</v>
      </c>
      <c r="O711" s="22">
        <f t="shared" si="104"/>
        <v>0</v>
      </c>
      <c r="P711" s="20">
        <f t="shared" si="105"/>
        <v>0</v>
      </c>
      <c r="Q711" s="23">
        <f t="shared" si="99"/>
        <v>20</v>
      </c>
      <c r="R711" s="20">
        <f t="shared" si="101"/>
        <v>20</v>
      </c>
      <c r="S711" s="20">
        <f t="shared" si="101"/>
        <v>20</v>
      </c>
      <c r="T711" s="18">
        <f t="shared" si="106"/>
        <v>640</v>
      </c>
      <c r="U711" s="18"/>
      <c r="V711" s="25"/>
    </row>
    <row r="712" spans="1:22" ht="24" customHeight="1">
      <c r="A712" s="26"/>
      <c r="B712" s="15"/>
      <c r="C712" s="15"/>
      <c r="D712" s="16">
        <v>709</v>
      </c>
      <c r="E712" s="16" t="s">
        <v>696</v>
      </c>
      <c r="F712" s="16" t="s">
        <v>24</v>
      </c>
      <c r="G712" s="17">
        <v>1</v>
      </c>
      <c r="H712" s="18">
        <v>75</v>
      </c>
      <c r="I712" s="19"/>
      <c r="J712" s="19">
        <v>16</v>
      </c>
      <c r="K712" s="19"/>
      <c r="L712" s="19">
        <f t="shared" si="100"/>
        <v>75</v>
      </c>
      <c r="M712" s="21">
        <f t="shared" si="102"/>
        <v>75</v>
      </c>
      <c r="N712" s="22">
        <f t="shared" si="103"/>
        <v>75</v>
      </c>
      <c r="O712" s="22">
        <f t="shared" si="104"/>
        <v>0</v>
      </c>
      <c r="P712" s="20">
        <f t="shared" si="105"/>
        <v>0</v>
      </c>
      <c r="Q712" s="23">
        <f t="shared" si="99"/>
        <v>16</v>
      </c>
      <c r="R712" s="20">
        <f t="shared" si="101"/>
        <v>16</v>
      </c>
      <c r="S712" s="20">
        <f t="shared" si="101"/>
        <v>16</v>
      </c>
      <c r="T712" s="18">
        <f t="shared" si="106"/>
        <v>1200</v>
      </c>
      <c r="U712" s="18"/>
      <c r="V712" s="25"/>
    </row>
    <row r="713" spans="1:22" ht="24" customHeight="1">
      <c r="A713" s="26"/>
      <c r="B713" s="15"/>
      <c r="C713" s="15"/>
      <c r="D713" s="16">
        <v>710</v>
      </c>
      <c r="E713" s="16" t="s">
        <v>697</v>
      </c>
      <c r="F713" s="16" t="s">
        <v>24</v>
      </c>
      <c r="G713" s="17">
        <v>1</v>
      </c>
      <c r="H713" s="18">
        <v>100</v>
      </c>
      <c r="I713" s="19">
        <v>2</v>
      </c>
      <c r="J713" s="19">
        <v>5</v>
      </c>
      <c r="K713" s="19">
        <v>200</v>
      </c>
      <c r="L713" s="19">
        <f t="shared" si="100"/>
        <v>102</v>
      </c>
      <c r="M713" s="21">
        <f t="shared" si="102"/>
        <v>102</v>
      </c>
      <c r="N713" s="22">
        <f t="shared" si="103"/>
        <v>102</v>
      </c>
      <c r="O713" s="22">
        <f t="shared" si="104"/>
        <v>0</v>
      </c>
      <c r="P713" s="20">
        <f t="shared" si="105"/>
        <v>200</v>
      </c>
      <c r="Q713" s="23">
        <f t="shared" si="99"/>
        <v>5</v>
      </c>
      <c r="R713" s="20">
        <f t="shared" si="101"/>
        <v>5</v>
      </c>
      <c r="S713" s="20">
        <f t="shared" si="101"/>
        <v>200</v>
      </c>
      <c r="T713" s="18">
        <f t="shared" si="106"/>
        <v>900</v>
      </c>
      <c r="U713" s="18"/>
      <c r="V713" s="25"/>
    </row>
    <row r="714" spans="1:22" ht="24" customHeight="1">
      <c r="A714" s="26"/>
      <c r="B714" s="15"/>
      <c r="C714" s="15"/>
      <c r="D714" s="16">
        <v>711</v>
      </c>
      <c r="E714" s="16" t="s">
        <v>698</v>
      </c>
      <c r="F714" s="16" t="s">
        <v>24</v>
      </c>
      <c r="G714" s="17">
        <v>1</v>
      </c>
      <c r="H714" s="18">
        <v>80</v>
      </c>
      <c r="I714" s="19"/>
      <c r="J714" s="19">
        <v>38</v>
      </c>
      <c r="K714" s="19"/>
      <c r="L714" s="19">
        <f t="shared" si="100"/>
        <v>80</v>
      </c>
      <c r="M714" s="21">
        <f t="shared" si="102"/>
        <v>80</v>
      </c>
      <c r="N714" s="22">
        <f t="shared" si="103"/>
        <v>80</v>
      </c>
      <c r="O714" s="22">
        <f t="shared" si="104"/>
        <v>0</v>
      </c>
      <c r="P714" s="20">
        <f t="shared" si="105"/>
        <v>0</v>
      </c>
      <c r="Q714" s="23">
        <f t="shared" si="99"/>
        <v>38</v>
      </c>
      <c r="R714" s="20">
        <f t="shared" si="101"/>
        <v>38</v>
      </c>
      <c r="S714" s="20">
        <f t="shared" si="101"/>
        <v>38</v>
      </c>
      <c r="T714" s="18">
        <f t="shared" si="106"/>
        <v>3040</v>
      </c>
      <c r="U714" s="18"/>
      <c r="V714" s="25"/>
    </row>
    <row r="715" spans="1:22" ht="24" customHeight="1">
      <c r="A715" s="26"/>
      <c r="B715" s="15"/>
      <c r="C715" s="15"/>
      <c r="D715" s="16">
        <v>712</v>
      </c>
      <c r="E715" s="16" t="s">
        <v>699</v>
      </c>
      <c r="F715" s="16" t="s">
        <v>24</v>
      </c>
      <c r="G715" s="17">
        <v>1</v>
      </c>
      <c r="H715" s="18">
        <v>27</v>
      </c>
      <c r="I715" s="19"/>
      <c r="J715" s="19">
        <v>47</v>
      </c>
      <c r="K715" s="19"/>
      <c r="L715" s="19">
        <f t="shared" si="100"/>
        <v>27</v>
      </c>
      <c r="M715" s="21">
        <f t="shared" si="102"/>
        <v>27</v>
      </c>
      <c r="N715" s="22">
        <f t="shared" si="103"/>
        <v>27</v>
      </c>
      <c r="O715" s="22">
        <f t="shared" si="104"/>
        <v>0</v>
      </c>
      <c r="P715" s="20">
        <f t="shared" si="105"/>
        <v>0</v>
      </c>
      <c r="Q715" s="23">
        <f t="shared" si="99"/>
        <v>47</v>
      </c>
      <c r="R715" s="20">
        <f t="shared" si="101"/>
        <v>47</v>
      </c>
      <c r="S715" s="20">
        <f t="shared" si="101"/>
        <v>47</v>
      </c>
      <c r="T715" s="18">
        <f t="shared" si="106"/>
        <v>1269</v>
      </c>
      <c r="U715" s="18"/>
      <c r="V715" s="25"/>
    </row>
    <row r="716" spans="1:22" ht="24" customHeight="1">
      <c r="A716" s="26"/>
      <c r="B716" s="15"/>
      <c r="C716" s="15"/>
      <c r="D716" s="16">
        <v>713</v>
      </c>
      <c r="E716" s="16" t="s">
        <v>700</v>
      </c>
      <c r="F716" s="16" t="s">
        <v>24</v>
      </c>
      <c r="G716" s="17">
        <v>1</v>
      </c>
      <c r="H716" s="18">
        <v>111</v>
      </c>
      <c r="I716" s="19"/>
      <c r="J716" s="19">
        <v>22</v>
      </c>
      <c r="K716" s="19"/>
      <c r="L716" s="19">
        <f t="shared" si="100"/>
        <v>111</v>
      </c>
      <c r="M716" s="21">
        <f t="shared" si="102"/>
        <v>111</v>
      </c>
      <c r="N716" s="22">
        <f t="shared" si="103"/>
        <v>111</v>
      </c>
      <c r="O716" s="22">
        <f t="shared" si="104"/>
        <v>0</v>
      </c>
      <c r="P716" s="20">
        <f t="shared" si="105"/>
        <v>0</v>
      </c>
      <c r="Q716" s="23">
        <f t="shared" si="99"/>
        <v>22</v>
      </c>
      <c r="R716" s="20">
        <f t="shared" si="101"/>
        <v>22</v>
      </c>
      <c r="S716" s="20">
        <f t="shared" si="101"/>
        <v>22</v>
      </c>
      <c r="T716" s="18">
        <f t="shared" si="106"/>
        <v>2442</v>
      </c>
      <c r="U716" s="18"/>
      <c r="V716" s="25"/>
    </row>
    <row r="717" spans="1:22" ht="24" customHeight="1">
      <c r="A717" s="26"/>
      <c r="B717" s="15"/>
      <c r="C717" s="15"/>
      <c r="D717" s="16">
        <v>714</v>
      </c>
      <c r="E717" s="16" t="s">
        <v>701</v>
      </c>
      <c r="F717" s="16" t="s">
        <v>24</v>
      </c>
      <c r="G717" s="17">
        <v>1</v>
      </c>
      <c r="H717" s="18">
        <v>182</v>
      </c>
      <c r="I717" s="19"/>
      <c r="J717" s="19">
        <v>20</v>
      </c>
      <c r="K717" s="19"/>
      <c r="L717" s="19">
        <f t="shared" si="100"/>
        <v>182</v>
      </c>
      <c r="M717" s="21">
        <f t="shared" si="102"/>
        <v>182</v>
      </c>
      <c r="N717" s="22">
        <f t="shared" si="103"/>
        <v>182</v>
      </c>
      <c r="O717" s="22">
        <f t="shared" si="104"/>
        <v>0</v>
      </c>
      <c r="P717" s="20">
        <f t="shared" si="105"/>
        <v>0</v>
      </c>
      <c r="Q717" s="23">
        <f t="shared" si="99"/>
        <v>20</v>
      </c>
      <c r="R717" s="20">
        <f t="shared" si="101"/>
        <v>20</v>
      </c>
      <c r="S717" s="20">
        <f t="shared" si="101"/>
        <v>20</v>
      </c>
      <c r="T717" s="18">
        <f t="shared" si="106"/>
        <v>3640</v>
      </c>
      <c r="U717" s="18"/>
      <c r="V717" s="25"/>
    </row>
    <row r="718" spans="1:22" ht="24" customHeight="1">
      <c r="A718" s="26"/>
      <c r="B718" s="15"/>
      <c r="C718" s="15"/>
      <c r="D718" s="16">
        <v>715</v>
      </c>
      <c r="E718" s="16" t="s">
        <v>702</v>
      </c>
      <c r="F718" s="16" t="s">
        <v>24</v>
      </c>
      <c r="G718" s="17">
        <v>1</v>
      </c>
      <c r="H718" s="18">
        <v>100</v>
      </c>
      <c r="I718" s="19"/>
      <c r="J718" s="19">
        <v>10</v>
      </c>
      <c r="K718" s="19"/>
      <c r="L718" s="19">
        <f t="shared" si="100"/>
        <v>100</v>
      </c>
      <c r="M718" s="21">
        <f t="shared" si="102"/>
        <v>100</v>
      </c>
      <c r="N718" s="22">
        <f t="shared" si="103"/>
        <v>100</v>
      </c>
      <c r="O718" s="22">
        <f t="shared" si="104"/>
        <v>0</v>
      </c>
      <c r="P718" s="20">
        <f t="shared" si="105"/>
        <v>0</v>
      </c>
      <c r="Q718" s="23">
        <f t="shared" si="99"/>
        <v>10</v>
      </c>
      <c r="R718" s="20">
        <f t="shared" si="101"/>
        <v>10</v>
      </c>
      <c r="S718" s="20">
        <f t="shared" si="101"/>
        <v>10</v>
      </c>
      <c r="T718" s="18">
        <f t="shared" si="106"/>
        <v>1000</v>
      </c>
      <c r="U718" s="18"/>
      <c r="V718" s="25"/>
    </row>
    <row r="719" spans="1:22" ht="24" customHeight="1">
      <c r="A719" s="26"/>
      <c r="B719" s="15"/>
      <c r="C719" s="15"/>
      <c r="D719" s="16">
        <v>716</v>
      </c>
      <c r="E719" s="16" t="s">
        <v>154</v>
      </c>
      <c r="F719" s="16" t="s">
        <v>24</v>
      </c>
      <c r="G719" s="17">
        <v>1</v>
      </c>
      <c r="H719" s="18">
        <v>160</v>
      </c>
      <c r="I719" s="19"/>
      <c r="J719" s="19">
        <v>14</v>
      </c>
      <c r="K719" s="19"/>
      <c r="L719" s="19">
        <f t="shared" si="100"/>
        <v>160</v>
      </c>
      <c r="M719" s="21">
        <f t="shared" si="102"/>
        <v>160</v>
      </c>
      <c r="N719" s="22">
        <f t="shared" si="103"/>
        <v>160</v>
      </c>
      <c r="O719" s="22">
        <f t="shared" si="104"/>
        <v>0</v>
      </c>
      <c r="P719" s="20">
        <f t="shared" si="105"/>
        <v>0</v>
      </c>
      <c r="Q719" s="23">
        <f t="shared" si="99"/>
        <v>14</v>
      </c>
      <c r="R719" s="20">
        <f t="shared" si="101"/>
        <v>14</v>
      </c>
      <c r="S719" s="20">
        <f t="shared" si="101"/>
        <v>14</v>
      </c>
      <c r="T719" s="18">
        <f t="shared" si="106"/>
        <v>2240</v>
      </c>
      <c r="U719" s="18"/>
      <c r="V719" s="25"/>
    </row>
    <row r="720" spans="1:22" ht="24" customHeight="1">
      <c r="A720" s="26"/>
      <c r="B720" s="15"/>
      <c r="C720" s="15"/>
      <c r="D720" s="16">
        <v>717</v>
      </c>
      <c r="E720" s="16" t="s">
        <v>703</v>
      </c>
      <c r="F720" s="16" t="s">
        <v>24</v>
      </c>
      <c r="G720" s="17">
        <v>100</v>
      </c>
      <c r="H720" s="18">
        <v>17</v>
      </c>
      <c r="I720" s="19"/>
      <c r="J720" s="19">
        <v>75</v>
      </c>
      <c r="K720" s="19"/>
      <c r="L720" s="19">
        <f t="shared" si="100"/>
        <v>17</v>
      </c>
      <c r="M720" s="21">
        <f t="shared" si="102"/>
        <v>0.17</v>
      </c>
      <c r="N720" s="22">
        <f t="shared" si="103"/>
        <v>17</v>
      </c>
      <c r="O720" s="22">
        <f t="shared" si="104"/>
        <v>0</v>
      </c>
      <c r="P720" s="20">
        <f t="shared" si="105"/>
        <v>0</v>
      </c>
      <c r="Q720" s="23">
        <f t="shared" si="99"/>
        <v>7500</v>
      </c>
      <c r="R720" s="20">
        <f t="shared" si="101"/>
        <v>75</v>
      </c>
      <c r="S720" s="20">
        <f t="shared" si="101"/>
        <v>7500</v>
      </c>
      <c r="T720" s="18">
        <f t="shared" si="106"/>
        <v>1275</v>
      </c>
      <c r="U720" s="18"/>
      <c r="V720" s="25"/>
    </row>
    <row r="721" spans="1:22" ht="24" customHeight="1">
      <c r="A721" s="26"/>
      <c r="B721" s="15"/>
      <c r="C721" s="15"/>
      <c r="D721" s="16">
        <v>718</v>
      </c>
      <c r="E721" s="16" t="s">
        <v>704</v>
      </c>
      <c r="F721" s="16" t="s">
        <v>24</v>
      </c>
      <c r="G721" s="17">
        <v>100</v>
      </c>
      <c r="H721" s="18">
        <v>39</v>
      </c>
      <c r="I721" s="19"/>
      <c r="J721" s="19">
        <v>18</v>
      </c>
      <c r="K721" s="19"/>
      <c r="L721" s="19">
        <f t="shared" si="100"/>
        <v>39</v>
      </c>
      <c r="M721" s="21">
        <f t="shared" si="102"/>
        <v>0.39</v>
      </c>
      <c r="N721" s="22">
        <f t="shared" si="103"/>
        <v>39</v>
      </c>
      <c r="O721" s="22">
        <f t="shared" si="104"/>
        <v>0</v>
      </c>
      <c r="P721" s="20">
        <f t="shared" si="105"/>
        <v>0</v>
      </c>
      <c r="Q721" s="23">
        <f t="shared" si="99"/>
        <v>1800</v>
      </c>
      <c r="R721" s="20">
        <f t="shared" si="101"/>
        <v>18</v>
      </c>
      <c r="S721" s="20">
        <f t="shared" si="101"/>
        <v>1800</v>
      </c>
      <c r="T721" s="18">
        <f t="shared" si="106"/>
        <v>702</v>
      </c>
      <c r="U721" s="18"/>
      <c r="V721" s="25"/>
    </row>
    <row r="722" spans="1:22" ht="24" customHeight="1">
      <c r="A722" s="26"/>
      <c r="B722" s="15"/>
      <c r="C722" s="15"/>
      <c r="D722" s="16">
        <v>719</v>
      </c>
      <c r="E722" s="16" t="s">
        <v>705</v>
      </c>
      <c r="F722" s="16" t="s">
        <v>24</v>
      </c>
      <c r="G722" s="17">
        <v>100</v>
      </c>
      <c r="H722" s="18">
        <v>11</v>
      </c>
      <c r="I722" s="19"/>
      <c r="J722" s="19">
        <v>17</v>
      </c>
      <c r="K722" s="19"/>
      <c r="L722" s="19">
        <f t="shared" si="100"/>
        <v>11</v>
      </c>
      <c r="M722" s="21">
        <f t="shared" si="102"/>
        <v>0.11</v>
      </c>
      <c r="N722" s="22">
        <f t="shared" si="103"/>
        <v>11</v>
      </c>
      <c r="O722" s="22">
        <f t="shared" si="104"/>
        <v>0</v>
      </c>
      <c r="P722" s="20">
        <f t="shared" si="105"/>
        <v>0</v>
      </c>
      <c r="Q722" s="23">
        <f t="shared" si="99"/>
        <v>1700</v>
      </c>
      <c r="R722" s="20">
        <f t="shared" si="101"/>
        <v>17</v>
      </c>
      <c r="S722" s="20">
        <f t="shared" si="101"/>
        <v>1700</v>
      </c>
      <c r="T722" s="18">
        <f t="shared" si="106"/>
        <v>187</v>
      </c>
      <c r="U722" s="18"/>
      <c r="V722" s="25"/>
    </row>
    <row r="723" spans="1:22" ht="24" customHeight="1">
      <c r="A723" s="26"/>
      <c r="B723" s="15"/>
      <c r="C723" s="15"/>
      <c r="D723" s="16">
        <v>720</v>
      </c>
      <c r="E723" s="16" t="s">
        <v>706</v>
      </c>
      <c r="F723" s="16" t="s">
        <v>24</v>
      </c>
      <c r="G723" s="17">
        <v>100</v>
      </c>
      <c r="H723" s="18">
        <v>14</v>
      </c>
      <c r="I723" s="19">
        <v>1</v>
      </c>
      <c r="J723" s="19">
        <v>46</v>
      </c>
      <c r="K723" s="19">
        <v>4600</v>
      </c>
      <c r="L723" s="19">
        <f t="shared" si="100"/>
        <v>114</v>
      </c>
      <c r="M723" s="21">
        <f t="shared" si="102"/>
        <v>1.1399999999999999</v>
      </c>
      <c r="N723" s="22">
        <f t="shared" si="103"/>
        <v>13.999999999999989</v>
      </c>
      <c r="O723" s="22">
        <f t="shared" si="104"/>
        <v>1</v>
      </c>
      <c r="P723" s="20">
        <f t="shared" si="105"/>
        <v>46</v>
      </c>
      <c r="Q723" s="23">
        <f t="shared" si="99"/>
        <v>4600</v>
      </c>
      <c r="R723" s="20">
        <f t="shared" si="101"/>
        <v>46</v>
      </c>
      <c r="S723" s="20">
        <f t="shared" si="101"/>
        <v>4600</v>
      </c>
      <c r="T723" s="18">
        <f t="shared" si="106"/>
        <v>5244</v>
      </c>
      <c r="U723" s="18"/>
      <c r="V723" s="25"/>
    </row>
    <row r="724" spans="1:22" ht="24" customHeight="1">
      <c r="A724" s="26"/>
      <c r="B724" s="15"/>
      <c r="C724" s="15"/>
      <c r="D724" s="16">
        <v>721</v>
      </c>
      <c r="E724" s="43" t="s">
        <v>1153</v>
      </c>
      <c r="F724" s="43" t="s">
        <v>24</v>
      </c>
      <c r="G724" s="47">
        <v>1</v>
      </c>
      <c r="H724" s="48">
        <v>6</v>
      </c>
      <c r="I724" s="49"/>
      <c r="J724" s="49">
        <v>2200</v>
      </c>
      <c r="K724" s="19"/>
      <c r="L724" s="19">
        <f t="shared" si="100"/>
        <v>6</v>
      </c>
      <c r="M724" s="21">
        <f t="shared" si="102"/>
        <v>6</v>
      </c>
      <c r="N724" s="22">
        <f t="shared" si="103"/>
        <v>6</v>
      </c>
      <c r="O724" s="22">
        <f t="shared" si="104"/>
        <v>0</v>
      </c>
      <c r="P724" s="20">
        <f t="shared" si="105"/>
        <v>0</v>
      </c>
      <c r="Q724" s="23">
        <f t="shared" si="99"/>
        <v>2200</v>
      </c>
      <c r="R724" s="20">
        <f t="shared" si="101"/>
        <v>2200</v>
      </c>
      <c r="S724" s="20">
        <f t="shared" si="101"/>
        <v>2200</v>
      </c>
      <c r="T724" s="18">
        <f t="shared" si="106"/>
        <v>13200</v>
      </c>
      <c r="U724" s="18" t="s">
        <v>152</v>
      </c>
      <c r="V724" s="25"/>
    </row>
    <row r="725" spans="1:22" ht="24" customHeight="1">
      <c r="A725" s="26"/>
      <c r="B725" s="15"/>
      <c r="C725" s="15"/>
      <c r="D725" s="16">
        <v>722</v>
      </c>
      <c r="E725" s="16" t="s">
        <v>707</v>
      </c>
      <c r="F725" s="16" t="s">
        <v>24</v>
      </c>
      <c r="G725" s="17">
        <v>1</v>
      </c>
      <c r="H725" s="18">
        <v>12</v>
      </c>
      <c r="I725" s="19"/>
      <c r="J725" s="19">
        <v>14</v>
      </c>
      <c r="K725" s="19"/>
      <c r="L725" s="19">
        <f t="shared" si="100"/>
        <v>12</v>
      </c>
      <c r="M725" s="21">
        <f t="shared" si="102"/>
        <v>12</v>
      </c>
      <c r="N725" s="22">
        <f t="shared" si="103"/>
        <v>12</v>
      </c>
      <c r="O725" s="22">
        <f t="shared" si="104"/>
        <v>0</v>
      </c>
      <c r="P725" s="20">
        <f t="shared" si="105"/>
        <v>0</v>
      </c>
      <c r="Q725" s="23">
        <f t="shared" si="99"/>
        <v>14</v>
      </c>
      <c r="R725" s="20">
        <f t="shared" si="101"/>
        <v>14</v>
      </c>
      <c r="S725" s="20">
        <f t="shared" si="101"/>
        <v>14</v>
      </c>
      <c r="T725" s="18">
        <f t="shared" si="106"/>
        <v>168</v>
      </c>
      <c r="U725" s="18"/>
      <c r="V725" s="25"/>
    </row>
    <row r="726" spans="1:22" ht="24" customHeight="1">
      <c r="A726" s="26"/>
      <c r="B726" s="15"/>
      <c r="C726" s="15"/>
      <c r="D726" s="16">
        <v>723</v>
      </c>
      <c r="E726" s="16" t="s">
        <v>708</v>
      </c>
      <c r="F726" s="16" t="s">
        <v>24</v>
      </c>
      <c r="G726" s="17">
        <v>100</v>
      </c>
      <c r="H726" s="18">
        <v>265</v>
      </c>
      <c r="I726" s="19">
        <v>2</v>
      </c>
      <c r="J726" s="19">
        <v>7</v>
      </c>
      <c r="K726" s="19"/>
      <c r="L726" s="19">
        <f t="shared" si="100"/>
        <v>465</v>
      </c>
      <c r="M726" s="21">
        <f t="shared" si="102"/>
        <v>4.6500000000000004</v>
      </c>
      <c r="N726" s="22">
        <f t="shared" si="103"/>
        <v>65.000000000000028</v>
      </c>
      <c r="O726" s="22">
        <f t="shared" si="104"/>
        <v>4</v>
      </c>
      <c r="P726" s="20">
        <f t="shared" si="105"/>
        <v>0</v>
      </c>
      <c r="Q726" s="23">
        <f t="shared" si="99"/>
        <v>700</v>
      </c>
      <c r="R726" s="20">
        <f t="shared" si="101"/>
        <v>7</v>
      </c>
      <c r="S726" s="20">
        <f t="shared" si="101"/>
        <v>700</v>
      </c>
      <c r="T726" s="18">
        <f t="shared" si="106"/>
        <v>3255</v>
      </c>
      <c r="U726" s="18"/>
      <c r="V726" s="25"/>
    </row>
    <row r="727" spans="1:22" ht="24" customHeight="1">
      <c r="A727" s="26"/>
      <c r="B727" s="15"/>
      <c r="C727" s="15"/>
      <c r="D727" s="16">
        <v>724</v>
      </c>
      <c r="E727" s="16" t="s">
        <v>709</v>
      </c>
      <c r="F727" s="16" t="s">
        <v>24</v>
      </c>
      <c r="G727" s="17">
        <v>1</v>
      </c>
      <c r="H727" s="18">
        <v>185</v>
      </c>
      <c r="I727" s="19"/>
      <c r="J727" s="19">
        <v>22</v>
      </c>
      <c r="K727" s="19"/>
      <c r="L727" s="19">
        <f t="shared" si="100"/>
        <v>185</v>
      </c>
      <c r="M727" s="21">
        <f t="shared" si="102"/>
        <v>185</v>
      </c>
      <c r="N727" s="22">
        <f t="shared" si="103"/>
        <v>185</v>
      </c>
      <c r="O727" s="22">
        <f t="shared" si="104"/>
        <v>0</v>
      </c>
      <c r="P727" s="20">
        <f t="shared" si="105"/>
        <v>0</v>
      </c>
      <c r="Q727" s="23">
        <f t="shared" si="99"/>
        <v>22</v>
      </c>
      <c r="R727" s="20">
        <f t="shared" si="101"/>
        <v>22</v>
      </c>
      <c r="S727" s="20">
        <f t="shared" si="101"/>
        <v>22</v>
      </c>
      <c r="T727" s="18">
        <f t="shared" si="106"/>
        <v>4070</v>
      </c>
      <c r="U727" s="18"/>
      <c r="V727" s="25"/>
    </row>
    <row r="728" spans="1:22" ht="24" customHeight="1">
      <c r="A728" s="26"/>
      <c r="B728" s="15"/>
      <c r="C728" s="15"/>
      <c r="D728" s="16">
        <v>725</v>
      </c>
      <c r="E728" s="16" t="s">
        <v>710</v>
      </c>
      <c r="F728" s="16" t="s">
        <v>24</v>
      </c>
      <c r="G728" s="17">
        <v>1</v>
      </c>
      <c r="H728" s="18">
        <v>40</v>
      </c>
      <c r="I728" s="19"/>
      <c r="J728" s="19">
        <v>110</v>
      </c>
      <c r="K728" s="19"/>
      <c r="L728" s="19">
        <f t="shared" si="100"/>
        <v>40</v>
      </c>
      <c r="M728" s="21">
        <f t="shared" si="102"/>
        <v>40</v>
      </c>
      <c r="N728" s="22">
        <f t="shared" si="103"/>
        <v>40</v>
      </c>
      <c r="O728" s="22">
        <f t="shared" si="104"/>
        <v>0</v>
      </c>
      <c r="P728" s="20">
        <f t="shared" si="105"/>
        <v>0</v>
      </c>
      <c r="Q728" s="23">
        <f t="shared" si="99"/>
        <v>110</v>
      </c>
      <c r="R728" s="20">
        <f t="shared" si="101"/>
        <v>110</v>
      </c>
      <c r="S728" s="20">
        <f t="shared" si="101"/>
        <v>110</v>
      </c>
      <c r="T728" s="18">
        <f t="shared" si="106"/>
        <v>4400</v>
      </c>
      <c r="U728" s="18"/>
      <c r="V728" s="25"/>
    </row>
    <row r="729" spans="1:22" ht="24" customHeight="1">
      <c r="A729" s="26"/>
      <c r="B729" s="15"/>
      <c r="C729" s="15"/>
      <c r="D729" s="16">
        <v>726</v>
      </c>
      <c r="E729" s="16" t="s">
        <v>711</v>
      </c>
      <c r="F729" s="16" t="s">
        <v>24</v>
      </c>
      <c r="G729" s="17">
        <v>1</v>
      </c>
      <c r="H729" s="18">
        <v>110</v>
      </c>
      <c r="I729" s="19"/>
      <c r="J729" s="19">
        <v>24</v>
      </c>
      <c r="K729" s="19"/>
      <c r="L729" s="19">
        <f t="shared" si="100"/>
        <v>110</v>
      </c>
      <c r="M729" s="21">
        <f t="shared" si="102"/>
        <v>110</v>
      </c>
      <c r="N729" s="22">
        <f t="shared" si="103"/>
        <v>110</v>
      </c>
      <c r="O729" s="22">
        <f t="shared" si="104"/>
        <v>0</v>
      </c>
      <c r="P729" s="20">
        <f t="shared" si="105"/>
        <v>0</v>
      </c>
      <c r="Q729" s="23">
        <f t="shared" si="99"/>
        <v>24</v>
      </c>
      <c r="R729" s="20">
        <f t="shared" si="101"/>
        <v>24</v>
      </c>
      <c r="S729" s="20">
        <f t="shared" si="101"/>
        <v>24</v>
      </c>
      <c r="T729" s="18">
        <f t="shared" si="106"/>
        <v>2640</v>
      </c>
      <c r="U729" s="18"/>
      <c r="V729" s="25"/>
    </row>
    <row r="730" spans="1:22" ht="24" customHeight="1">
      <c r="A730" s="26"/>
      <c r="B730" s="15"/>
      <c r="C730" s="15"/>
      <c r="D730" s="16">
        <v>727</v>
      </c>
      <c r="E730" s="16" t="s">
        <v>712</v>
      </c>
      <c r="F730" s="16" t="s">
        <v>24</v>
      </c>
      <c r="G730" s="17">
        <v>1</v>
      </c>
      <c r="H730" s="18">
        <v>10</v>
      </c>
      <c r="I730" s="19"/>
      <c r="J730" s="19">
        <v>46</v>
      </c>
      <c r="K730" s="19"/>
      <c r="L730" s="19">
        <f t="shared" si="100"/>
        <v>10</v>
      </c>
      <c r="M730" s="21">
        <f t="shared" si="102"/>
        <v>10</v>
      </c>
      <c r="N730" s="22">
        <f t="shared" si="103"/>
        <v>10</v>
      </c>
      <c r="O730" s="22">
        <f t="shared" si="104"/>
        <v>0</v>
      </c>
      <c r="P730" s="20">
        <f t="shared" si="105"/>
        <v>0</v>
      </c>
      <c r="Q730" s="23">
        <f t="shared" si="99"/>
        <v>46</v>
      </c>
      <c r="R730" s="20">
        <f t="shared" si="101"/>
        <v>46</v>
      </c>
      <c r="S730" s="20">
        <f t="shared" si="101"/>
        <v>46</v>
      </c>
      <c r="T730" s="18">
        <f t="shared" si="106"/>
        <v>460</v>
      </c>
      <c r="U730" s="18"/>
      <c r="V730" s="25"/>
    </row>
    <row r="731" spans="1:22" ht="24" customHeight="1">
      <c r="A731" s="26"/>
      <c r="B731" s="15"/>
      <c r="C731" s="15"/>
      <c r="D731" s="16">
        <v>728</v>
      </c>
      <c r="E731" s="16" t="s">
        <v>713</v>
      </c>
      <c r="F731" s="16" t="s">
        <v>24</v>
      </c>
      <c r="G731" s="17">
        <v>1</v>
      </c>
      <c r="H731" s="18">
        <v>24</v>
      </c>
      <c r="I731" s="19"/>
      <c r="J731" s="19">
        <v>24</v>
      </c>
      <c r="K731" s="19"/>
      <c r="L731" s="19">
        <f t="shared" si="100"/>
        <v>24</v>
      </c>
      <c r="M731" s="21">
        <f t="shared" si="102"/>
        <v>24</v>
      </c>
      <c r="N731" s="22">
        <f t="shared" si="103"/>
        <v>24</v>
      </c>
      <c r="O731" s="22">
        <f t="shared" si="104"/>
        <v>0</v>
      </c>
      <c r="P731" s="20">
        <f t="shared" si="105"/>
        <v>0</v>
      </c>
      <c r="Q731" s="23">
        <f t="shared" si="99"/>
        <v>24</v>
      </c>
      <c r="R731" s="20">
        <f t="shared" si="101"/>
        <v>24</v>
      </c>
      <c r="S731" s="20">
        <f t="shared" si="101"/>
        <v>24</v>
      </c>
      <c r="T731" s="18">
        <f t="shared" si="106"/>
        <v>576</v>
      </c>
      <c r="U731" s="18"/>
      <c r="V731" s="25"/>
    </row>
    <row r="732" spans="1:22" ht="24" customHeight="1">
      <c r="A732" s="26"/>
      <c r="B732" s="15"/>
      <c r="C732" s="15"/>
      <c r="D732" s="16">
        <v>729</v>
      </c>
      <c r="E732" s="16" t="s">
        <v>714</v>
      </c>
      <c r="F732" s="16" t="s">
        <v>24</v>
      </c>
      <c r="G732" s="17">
        <v>1</v>
      </c>
      <c r="H732" s="18">
        <v>39</v>
      </c>
      <c r="I732" s="19"/>
      <c r="J732" s="19">
        <v>30</v>
      </c>
      <c r="K732" s="19"/>
      <c r="L732" s="19">
        <f t="shared" si="100"/>
        <v>39</v>
      </c>
      <c r="M732" s="21">
        <f t="shared" si="102"/>
        <v>39</v>
      </c>
      <c r="N732" s="22">
        <f t="shared" si="103"/>
        <v>39</v>
      </c>
      <c r="O732" s="22">
        <f t="shared" si="104"/>
        <v>0</v>
      </c>
      <c r="P732" s="20">
        <f t="shared" si="105"/>
        <v>0</v>
      </c>
      <c r="Q732" s="23">
        <f t="shared" ref="Q732:Q796" si="107">IFERROR(J732*G732,"")</f>
        <v>30</v>
      </c>
      <c r="R732" s="20">
        <f t="shared" si="101"/>
        <v>30</v>
      </c>
      <c r="S732" s="20">
        <f t="shared" si="101"/>
        <v>30</v>
      </c>
      <c r="T732" s="18">
        <f t="shared" si="106"/>
        <v>1170</v>
      </c>
      <c r="U732" s="18"/>
      <c r="V732" s="25"/>
    </row>
    <row r="733" spans="1:22" ht="24" customHeight="1">
      <c r="A733" s="26"/>
      <c r="B733" s="15"/>
      <c r="C733" s="15"/>
      <c r="D733" s="16">
        <v>730</v>
      </c>
      <c r="E733" s="16" t="s">
        <v>715</v>
      </c>
      <c r="F733" s="16" t="s">
        <v>24</v>
      </c>
      <c r="G733" s="17">
        <v>1</v>
      </c>
      <c r="H733" s="18">
        <v>10</v>
      </c>
      <c r="I733" s="19"/>
      <c r="J733" s="19">
        <v>46</v>
      </c>
      <c r="K733" s="19"/>
      <c r="L733" s="19">
        <f t="shared" si="100"/>
        <v>10</v>
      </c>
      <c r="M733" s="21">
        <f t="shared" si="102"/>
        <v>10</v>
      </c>
      <c r="N733" s="22">
        <f t="shared" si="103"/>
        <v>10</v>
      </c>
      <c r="O733" s="22">
        <f t="shared" si="104"/>
        <v>0</v>
      </c>
      <c r="P733" s="20">
        <f t="shared" si="105"/>
        <v>0</v>
      </c>
      <c r="Q733" s="23">
        <f t="shared" si="107"/>
        <v>46</v>
      </c>
      <c r="R733" s="20">
        <f t="shared" si="101"/>
        <v>46</v>
      </c>
      <c r="S733" s="20">
        <f t="shared" si="101"/>
        <v>46</v>
      </c>
      <c r="T733" s="18">
        <f t="shared" si="106"/>
        <v>460</v>
      </c>
      <c r="U733" s="18"/>
      <c r="V733" s="25"/>
    </row>
    <row r="734" spans="1:22" ht="24" customHeight="1">
      <c r="A734" s="26"/>
      <c r="B734" s="15"/>
      <c r="C734" s="15"/>
      <c r="D734" s="16">
        <v>731</v>
      </c>
      <c r="E734" s="16" t="s">
        <v>716</v>
      </c>
      <c r="F734" s="16" t="s">
        <v>24</v>
      </c>
      <c r="G734" s="17">
        <v>1</v>
      </c>
      <c r="H734" s="18">
        <v>28</v>
      </c>
      <c r="I734" s="19"/>
      <c r="J734" s="19">
        <v>80</v>
      </c>
      <c r="K734" s="19"/>
      <c r="L734" s="19">
        <f t="shared" si="100"/>
        <v>28</v>
      </c>
      <c r="M734" s="21">
        <f t="shared" si="102"/>
        <v>28</v>
      </c>
      <c r="N734" s="22">
        <f t="shared" si="103"/>
        <v>28</v>
      </c>
      <c r="O734" s="22">
        <f t="shared" si="104"/>
        <v>0</v>
      </c>
      <c r="P734" s="20">
        <f t="shared" si="105"/>
        <v>0</v>
      </c>
      <c r="Q734" s="23">
        <f t="shared" si="107"/>
        <v>80</v>
      </c>
      <c r="R734" s="20">
        <f t="shared" si="101"/>
        <v>80</v>
      </c>
      <c r="S734" s="20">
        <f t="shared" si="101"/>
        <v>80</v>
      </c>
      <c r="T734" s="18">
        <f t="shared" si="106"/>
        <v>2240</v>
      </c>
      <c r="U734" s="18"/>
      <c r="V734" s="25"/>
    </row>
    <row r="735" spans="1:22" ht="24" customHeight="1">
      <c r="A735" s="26"/>
      <c r="B735" s="15"/>
      <c r="C735" s="15"/>
      <c r="D735" s="16">
        <v>732</v>
      </c>
      <c r="E735" s="16" t="s">
        <v>717</v>
      </c>
      <c r="F735" s="16" t="s">
        <v>24</v>
      </c>
      <c r="G735" s="17">
        <v>100</v>
      </c>
      <c r="H735" s="18">
        <v>161</v>
      </c>
      <c r="I735" s="19">
        <v>20</v>
      </c>
      <c r="J735" s="19">
        <v>210</v>
      </c>
      <c r="K735" s="19"/>
      <c r="L735" s="19">
        <f t="shared" si="100"/>
        <v>2161</v>
      </c>
      <c r="M735" s="21">
        <f t="shared" si="102"/>
        <v>21.61</v>
      </c>
      <c r="N735" s="22">
        <f t="shared" si="103"/>
        <v>60.999999999999943</v>
      </c>
      <c r="O735" s="22">
        <f t="shared" si="104"/>
        <v>21</v>
      </c>
      <c r="P735" s="20">
        <f t="shared" si="105"/>
        <v>0</v>
      </c>
      <c r="Q735" s="23">
        <f t="shared" si="107"/>
        <v>21000</v>
      </c>
      <c r="R735" s="20">
        <f t="shared" si="101"/>
        <v>210</v>
      </c>
      <c r="S735" s="20">
        <f t="shared" si="101"/>
        <v>21000</v>
      </c>
      <c r="T735" s="18">
        <f t="shared" si="106"/>
        <v>453810</v>
      </c>
      <c r="U735" s="18"/>
      <c r="V735" s="25"/>
    </row>
    <row r="736" spans="1:22" ht="24" customHeight="1">
      <c r="A736" s="26"/>
      <c r="B736" s="15"/>
      <c r="C736" s="15"/>
      <c r="D736" s="16">
        <v>733</v>
      </c>
      <c r="E736" s="16" t="s">
        <v>718</v>
      </c>
      <c r="F736" s="16" t="s">
        <v>24</v>
      </c>
      <c r="G736" s="17">
        <v>1</v>
      </c>
      <c r="H736" s="18">
        <v>50</v>
      </c>
      <c r="I736" s="19"/>
      <c r="J736" s="19">
        <v>150</v>
      </c>
      <c r="K736" s="19"/>
      <c r="L736" s="19">
        <f t="shared" si="100"/>
        <v>50</v>
      </c>
      <c r="M736" s="21">
        <f t="shared" si="102"/>
        <v>50</v>
      </c>
      <c r="N736" s="22">
        <f t="shared" si="103"/>
        <v>50</v>
      </c>
      <c r="O736" s="22">
        <f t="shared" si="104"/>
        <v>0</v>
      </c>
      <c r="P736" s="20">
        <f t="shared" si="105"/>
        <v>0</v>
      </c>
      <c r="Q736" s="23">
        <f t="shared" si="107"/>
        <v>150</v>
      </c>
      <c r="R736" s="20">
        <f t="shared" si="101"/>
        <v>150</v>
      </c>
      <c r="S736" s="20">
        <f t="shared" si="101"/>
        <v>150</v>
      </c>
      <c r="T736" s="18">
        <f t="shared" si="106"/>
        <v>7500</v>
      </c>
      <c r="U736" s="18"/>
      <c r="V736" s="25"/>
    </row>
    <row r="737" spans="1:22" ht="24" customHeight="1">
      <c r="A737" s="26"/>
      <c r="B737" s="15"/>
      <c r="C737" s="15"/>
      <c r="D737" s="16">
        <v>734</v>
      </c>
      <c r="E737" s="16" t="s">
        <v>719</v>
      </c>
      <c r="F737" s="16" t="s">
        <v>24</v>
      </c>
      <c r="G737" s="17">
        <v>1</v>
      </c>
      <c r="H737" s="18">
        <v>6</v>
      </c>
      <c r="I737" s="19"/>
      <c r="J737" s="19">
        <v>550</v>
      </c>
      <c r="K737" s="19"/>
      <c r="L737" s="19">
        <f t="shared" si="100"/>
        <v>6</v>
      </c>
      <c r="M737" s="21">
        <f t="shared" si="102"/>
        <v>6</v>
      </c>
      <c r="N737" s="22">
        <f t="shared" si="103"/>
        <v>6</v>
      </c>
      <c r="O737" s="22">
        <f t="shared" si="104"/>
        <v>0</v>
      </c>
      <c r="P737" s="20">
        <f t="shared" si="105"/>
        <v>0</v>
      </c>
      <c r="Q737" s="23">
        <f t="shared" si="107"/>
        <v>550</v>
      </c>
      <c r="R737" s="20">
        <f t="shared" si="101"/>
        <v>550</v>
      </c>
      <c r="S737" s="20">
        <f t="shared" si="101"/>
        <v>550</v>
      </c>
      <c r="T737" s="18">
        <f t="shared" si="106"/>
        <v>3300</v>
      </c>
      <c r="U737" s="18"/>
      <c r="V737" s="25"/>
    </row>
    <row r="738" spans="1:22" ht="24" customHeight="1">
      <c r="A738" s="26"/>
      <c r="B738" s="15"/>
      <c r="C738" s="15"/>
      <c r="D738" s="16">
        <v>735</v>
      </c>
      <c r="E738" s="16" t="s">
        <v>720</v>
      </c>
      <c r="F738" s="16" t="s">
        <v>24</v>
      </c>
      <c r="G738" s="17">
        <v>1</v>
      </c>
      <c r="H738" s="18">
        <v>13</v>
      </c>
      <c r="I738" s="19"/>
      <c r="J738" s="19">
        <v>610</v>
      </c>
      <c r="K738" s="19"/>
      <c r="L738" s="19">
        <f t="shared" si="100"/>
        <v>13</v>
      </c>
      <c r="M738" s="21">
        <f t="shared" si="102"/>
        <v>13</v>
      </c>
      <c r="N738" s="22">
        <f t="shared" si="103"/>
        <v>13</v>
      </c>
      <c r="O738" s="22">
        <f t="shared" si="104"/>
        <v>0</v>
      </c>
      <c r="P738" s="20">
        <f t="shared" si="105"/>
        <v>0</v>
      </c>
      <c r="Q738" s="23">
        <f t="shared" si="107"/>
        <v>610</v>
      </c>
      <c r="R738" s="20">
        <f t="shared" si="101"/>
        <v>610</v>
      </c>
      <c r="S738" s="20">
        <f t="shared" si="101"/>
        <v>610</v>
      </c>
      <c r="T738" s="18">
        <f t="shared" si="106"/>
        <v>7930</v>
      </c>
      <c r="U738" s="18"/>
      <c r="V738" s="25"/>
    </row>
    <row r="739" spans="1:22" ht="24" customHeight="1">
      <c r="A739" s="26"/>
      <c r="B739" s="15"/>
      <c r="C739" s="15"/>
      <c r="D739" s="16">
        <v>736</v>
      </c>
      <c r="E739" s="16" t="s">
        <v>721</v>
      </c>
      <c r="F739" s="16" t="s">
        <v>24</v>
      </c>
      <c r="G739" s="17">
        <v>1</v>
      </c>
      <c r="H739" s="18">
        <v>6</v>
      </c>
      <c r="I739" s="19"/>
      <c r="J739" s="19">
        <v>1500</v>
      </c>
      <c r="K739" s="19"/>
      <c r="L739" s="19">
        <f t="shared" si="100"/>
        <v>6</v>
      </c>
      <c r="M739" s="21">
        <f t="shared" si="102"/>
        <v>6</v>
      </c>
      <c r="N739" s="22">
        <f t="shared" si="103"/>
        <v>6</v>
      </c>
      <c r="O739" s="22">
        <f t="shared" si="104"/>
        <v>0</v>
      </c>
      <c r="P739" s="20">
        <f t="shared" si="105"/>
        <v>0</v>
      </c>
      <c r="Q739" s="23">
        <f t="shared" si="107"/>
        <v>1500</v>
      </c>
      <c r="R739" s="20">
        <f t="shared" si="101"/>
        <v>1500</v>
      </c>
      <c r="S739" s="20">
        <f t="shared" si="101"/>
        <v>1500</v>
      </c>
      <c r="T739" s="18">
        <f t="shared" si="106"/>
        <v>9000</v>
      </c>
      <c r="U739" s="18"/>
      <c r="V739" s="25"/>
    </row>
    <row r="740" spans="1:22" ht="24" customHeight="1">
      <c r="A740" s="26"/>
      <c r="B740" s="15"/>
      <c r="C740" s="15"/>
      <c r="D740" s="16">
        <v>737</v>
      </c>
      <c r="E740" s="16" t="s">
        <v>722</v>
      </c>
      <c r="F740" s="16" t="s">
        <v>24</v>
      </c>
      <c r="G740" s="17">
        <v>1</v>
      </c>
      <c r="H740" s="18">
        <v>9</v>
      </c>
      <c r="I740" s="19"/>
      <c r="J740" s="19">
        <v>240</v>
      </c>
      <c r="K740" s="19"/>
      <c r="L740" s="19">
        <f t="shared" si="100"/>
        <v>9</v>
      </c>
      <c r="M740" s="21">
        <f t="shared" si="102"/>
        <v>9</v>
      </c>
      <c r="N740" s="22">
        <f t="shared" si="103"/>
        <v>9</v>
      </c>
      <c r="O740" s="22">
        <f t="shared" si="104"/>
        <v>0</v>
      </c>
      <c r="P740" s="20">
        <f t="shared" si="105"/>
        <v>0</v>
      </c>
      <c r="Q740" s="23">
        <f t="shared" si="107"/>
        <v>240</v>
      </c>
      <c r="R740" s="20">
        <f t="shared" si="101"/>
        <v>240</v>
      </c>
      <c r="S740" s="20">
        <f t="shared" si="101"/>
        <v>240</v>
      </c>
      <c r="T740" s="18">
        <f t="shared" si="106"/>
        <v>2160</v>
      </c>
      <c r="U740" s="18"/>
      <c r="V740" s="25"/>
    </row>
    <row r="741" spans="1:22" ht="24" customHeight="1">
      <c r="A741" s="26"/>
      <c r="B741" s="15"/>
      <c r="C741" s="15"/>
      <c r="D741" s="16">
        <v>738</v>
      </c>
      <c r="E741" s="16" t="s">
        <v>723</v>
      </c>
      <c r="F741" s="16" t="s">
        <v>24</v>
      </c>
      <c r="G741" s="17">
        <v>1</v>
      </c>
      <c r="H741" s="18">
        <v>2</v>
      </c>
      <c r="I741" s="19"/>
      <c r="J741" s="19">
        <v>140</v>
      </c>
      <c r="K741" s="19"/>
      <c r="L741" s="19">
        <f t="shared" ref="L741:L805" si="108">I741*G741+H741</f>
        <v>2</v>
      </c>
      <c r="M741" s="21">
        <f t="shared" si="102"/>
        <v>2</v>
      </c>
      <c r="N741" s="22">
        <f t="shared" si="103"/>
        <v>2</v>
      </c>
      <c r="O741" s="22">
        <f t="shared" si="104"/>
        <v>0</v>
      </c>
      <c r="P741" s="20">
        <f t="shared" si="105"/>
        <v>0</v>
      </c>
      <c r="Q741" s="23">
        <f t="shared" si="107"/>
        <v>140</v>
      </c>
      <c r="R741" s="20">
        <f t="shared" si="101"/>
        <v>140</v>
      </c>
      <c r="S741" s="20">
        <f t="shared" si="101"/>
        <v>140</v>
      </c>
      <c r="T741" s="18">
        <f t="shared" si="106"/>
        <v>280</v>
      </c>
      <c r="U741" s="18"/>
      <c r="V741" s="25"/>
    </row>
    <row r="742" spans="1:22" ht="24" customHeight="1">
      <c r="A742" s="26"/>
      <c r="B742" s="15"/>
      <c r="C742" s="15"/>
      <c r="D742" s="16">
        <v>739</v>
      </c>
      <c r="E742" s="16" t="s">
        <v>724</v>
      </c>
      <c r="F742" s="16" t="s">
        <v>24</v>
      </c>
      <c r="G742" s="17">
        <v>1</v>
      </c>
      <c r="H742" s="18">
        <v>4</v>
      </c>
      <c r="I742" s="19"/>
      <c r="J742" s="19">
        <v>170</v>
      </c>
      <c r="K742" s="19"/>
      <c r="L742" s="19">
        <f t="shared" si="108"/>
        <v>4</v>
      </c>
      <c r="M742" s="21">
        <f t="shared" si="102"/>
        <v>4</v>
      </c>
      <c r="N742" s="22">
        <f t="shared" si="103"/>
        <v>4</v>
      </c>
      <c r="O742" s="22">
        <f t="shared" si="104"/>
        <v>0</v>
      </c>
      <c r="P742" s="20">
        <f t="shared" si="105"/>
        <v>0</v>
      </c>
      <c r="Q742" s="23">
        <f t="shared" si="107"/>
        <v>170</v>
      </c>
      <c r="R742" s="20">
        <f t="shared" si="101"/>
        <v>170</v>
      </c>
      <c r="S742" s="20">
        <f t="shared" si="101"/>
        <v>170</v>
      </c>
      <c r="T742" s="18">
        <f t="shared" si="106"/>
        <v>680</v>
      </c>
      <c r="U742" s="18"/>
      <c r="V742" s="25"/>
    </row>
    <row r="743" spans="1:22" ht="24" customHeight="1">
      <c r="A743" s="26"/>
      <c r="B743" s="15"/>
      <c r="C743" s="15"/>
      <c r="D743" s="16">
        <v>740</v>
      </c>
      <c r="E743" s="50" t="s">
        <v>725</v>
      </c>
      <c r="F743" s="16" t="s">
        <v>24</v>
      </c>
      <c r="G743" s="17">
        <v>1</v>
      </c>
      <c r="H743" s="18">
        <v>5</v>
      </c>
      <c r="I743" s="19"/>
      <c r="J743" s="19">
        <v>2200</v>
      </c>
      <c r="K743" s="19"/>
      <c r="L743" s="19">
        <f t="shared" si="108"/>
        <v>5</v>
      </c>
      <c r="M743" s="21">
        <f t="shared" si="102"/>
        <v>5</v>
      </c>
      <c r="N743" s="22">
        <f t="shared" si="103"/>
        <v>5</v>
      </c>
      <c r="O743" s="22">
        <f t="shared" si="104"/>
        <v>0</v>
      </c>
      <c r="P743" s="20">
        <f t="shared" si="105"/>
        <v>0</v>
      </c>
      <c r="Q743" s="23">
        <f t="shared" si="107"/>
        <v>2200</v>
      </c>
      <c r="R743" s="20">
        <f t="shared" si="101"/>
        <v>2200</v>
      </c>
      <c r="S743" s="20">
        <f t="shared" si="101"/>
        <v>2200</v>
      </c>
      <c r="T743" s="18">
        <f t="shared" si="106"/>
        <v>11000</v>
      </c>
      <c r="U743" s="18"/>
      <c r="V743" s="25"/>
    </row>
    <row r="744" spans="1:22" ht="24" customHeight="1">
      <c r="A744" s="26"/>
      <c r="B744" s="15"/>
      <c r="C744" s="15"/>
      <c r="D744" s="16">
        <v>741</v>
      </c>
      <c r="E744" s="16" t="s">
        <v>726</v>
      </c>
      <c r="F744" s="16" t="s">
        <v>24</v>
      </c>
      <c r="G744" s="17">
        <v>1</v>
      </c>
      <c r="H744" s="18">
        <v>18</v>
      </c>
      <c r="I744" s="19"/>
      <c r="J744" s="19">
        <v>14</v>
      </c>
      <c r="K744" s="19"/>
      <c r="L744" s="19">
        <f t="shared" si="108"/>
        <v>18</v>
      </c>
      <c r="M744" s="21">
        <f t="shared" si="102"/>
        <v>18</v>
      </c>
      <c r="N744" s="22">
        <f t="shared" si="103"/>
        <v>18</v>
      </c>
      <c r="O744" s="22">
        <f t="shared" si="104"/>
        <v>0</v>
      </c>
      <c r="P744" s="20">
        <f t="shared" si="105"/>
        <v>0</v>
      </c>
      <c r="Q744" s="23">
        <f t="shared" si="107"/>
        <v>14</v>
      </c>
      <c r="R744" s="20">
        <f t="shared" si="101"/>
        <v>14</v>
      </c>
      <c r="S744" s="20">
        <f t="shared" si="101"/>
        <v>14</v>
      </c>
      <c r="T744" s="18">
        <f t="shared" si="106"/>
        <v>252</v>
      </c>
      <c r="U744" s="18"/>
      <c r="V744" s="25"/>
    </row>
    <row r="745" spans="1:22" ht="24" customHeight="1">
      <c r="A745" s="26"/>
      <c r="B745" s="15"/>
      <c r="C745" s="15"/>
      <c r="D745" s="16">
        <v>742</v>
      </c>
      <c r="E745" s="16" t="s">
        <v>727</v>
      </c>
      <c r="F745" s="16" t="s">
        <v>24</v>
      </c>
      <c r="G745" s="17">
        <v>1</v>
      </c>
      <c r="H745" s="18">
        <v>14</v>
      </c>
      <c r="I745" s="19"/>
      <c r="J745" s="19">
        <v>110</v>
      </c>
      <c r="K745" s="19"/>
      <c r="L745" s="19">
        <f t="shared" si="108"/>
        <v>14</v>
      </c>
      <c r="M745" s="21">
        <f t="shared" si="102"/>
        <v>14</v>
      </c>
      <c r="N745" s="22">
        <f t="shared" si="103"/>
        <v>14</v>
      </c>
      <c r="O745" s="22">
        <f t="shared" si="104"/>
        <v>0</v>
      </c>
      <c r="P745" s="20">
        <f t="shared" si="105"/>
        <v>0</v>
      </c>
      <c r="Q745" s="23">
        <f t="shared" si="107"/>
        <v>110</v>
      </c>
      <c r="R745" s="20">
        <f t="shared" si="101"/>
        <v>110</v>
      </c>
      <c r="S745" s="20">
        <f t="shared" si="101"/>
        <v>110</v>
      </c>
      <c r="T745" s="18">
        <f t="shared" si="106"/>
        <v>1540</v>
      </c>
      <c r="U745" s="18"/>
      <c r="V745" s="25"/>
    </row>
    <row r="746" spans="1:22" ht="24" customHeight="1">
      <c r="A746" s="26"/>
      <c r="B746" s="15"/>
      <c r="C746" s="15"/>
      <c r="D746" s="16">
        <v>743</v>
      </c>
      <c r="E746" s="16" t="s">
        <v>728</v>
      </c>
      <c r="F746" s="16" t="s">
        <v>24</v>
      </c>
      <c r="G746" s="17">
        <v>25</v>
      </c>
      <c r="H746" s="18">
        <v>12</v>
      </c>
      <c r="I746" s="19">
        <v>1</v>
      </c>
      <c r="J746" s="19">
        <v>170</v>
      </c>
      <c r="K746" s="19"/>
      <c r="L746" s="19">
        <f t="shared" si="108"/>
        <v>37</v>
      </c>
      <c r="M746" s="21">
        <f t="shared" si="102"/>
        <v>1.48</v>
      </c>
      <c r="N746" s="22">
        <f t="shared" si="103"/>
        <v>12</v>
      </c>
      <c r="O746" s="22">
        <f t="shared" si="104"/>
        <v>1</v>
      </c>
      <c r="P746" s="20">
        <f t="shared" si="105"/>
        <v>0</v>
      </c>
      <c r="Q746" s="23">
        <f t="shared" si="107"/>
        <v>4250</v>
      </c>
      <c r="R746" s="20">
        <f t="shared" si="101"/>
        <v>170</v>
      </c>
      <c r="S746" s="20">
        <f t="shared" si="101"/>
        <v>4250</v>
      </c>
      <c r="T746" s="18">
        <f t="shared" si="106"/>
        <v>6290</v>
      </c>
      <c r="U746" s="18"/>
      <c r="V746" s="25"/>
    </row>
    <row r="747" spans="1:22" ht="24" customHeight="1">
      <c r="A747" s="26"/>
      <c r="B747" s="15"/>
      <c r="C747" s="15"/>
      <c r="D747" s="16">
        <v>744</v>
      </c>
      <c r="E747" s="16" t="s">
        <v>729</v>
      </c>
      <c r="F747" s="16" t="s">
        <v>24</v>
      </c>
      <c r="G747" s="17">
        <v>50</v>
      </c>
      <c r="H747" s="18">
        <v>34</v>
      </c>
      <c r="I747" s="19"/>
      <c r="J747" s="19">
        <v>68</v>
      </c>
      <c r="K747" s="19"/>
      <c r="L747" s="19">
        <f t="shared" si="108"/>
        <v>34</v>
      </c>
      <c r="M747" s="21">
        <f t="shared" si="102"/>
        <v>0.68</v>
      </c>
      <c r="N747" s="22">
        <f t="shared" si="103"/>
        <v>34</v>
      </c>
      <c r="O747" s="22">
        <f t="shared" si="104"/>
        <v>0</v>
      </c>
      <c r="P747" s="20">
        <f t="shared" si="105"/>
        <v>0</v>
      </c>
      <c r="Q747" s="23">
        <f t="shared" si="107"/>
        <v>3400</v>
      </c>
      <c r="R747" s="20">
        <f t="shared" si="101"/>
        <v>68</v>
      </c>
      <c r="S747" s="20">
        <f t="shared" si="101"/>
        <v>3400</v>
      </c>
      <c r="T747" s="18">
        <f t="shared" si="106"/>
        <v>2312</v>
      </c>
      <c r="U747" s="18"/>
      <c r="V747" s="25"/>
    </row>
    <row r="748" spans="1:22" ht="24" customHeight="1">
      <c r="A748" s="26"/>
      <c r="B748" s="15"/>
      <c r="C748" s="15"/>
      <c r="D748" s="16">
        <v>745</v>
      </c>
      <c r="E748" s="16" t="s">
        <v>153</v>
      </c>
      <c r="F748" s="16" t="s">
        <v>24</v>
      </c>
      <c r="G748" s="17">
        <v>1</v>
      </c>
      <c r="H748" s="18">
        <v>35</v>
      </c>
      <c r="I748" s="19"/>
      <c r="J748" s="19">
        <v>450</v>
      </c>
      <c r="K748" s="19"/>
      <c r="L748" s="19">
        <f t="shared" si="108"/>
        <v>35</v>
      </c>
      <c r="M748" s="21">
        <f t="shared" si="102"/>
        <v>35</v>
      </c>
      <c r="N748" s="22">
        <f t="shared" si="103"/>
        <v>35</v>
      </c>
      <c r="O748" s="22">
        <f t="shared" si="104"/>
        <v>0</v>
      </c>
      <c r="P748" s="20">
        <f t="shared" si="105"/>
        <v>0</v>
      </c>
      <c r="Q748" s="23">
        <f t="shared" si="107"/>
        <v>450</v>
      </c>
      <c r="R748" s="20">
        <f t="shared" si="101"/>
        <v>450</v>
      </c>
      <c r="S748" s="20">
        <f t="shared" si="101"/>
        <v>450</v>
      </c>
      <c r="T748" s="18">
        <f t="shared" si="106"/>
        <v>15750</v>
      </c>
      <c r="U748" s="18"/>
      <c r="V748" s="25"/>
    </row>
    <row r="749" spans="1:22" ht="24" customHeight="1">
      <c r="A749" s="26"/>
      <c r="B749" s="15"/>
      <c r="C749" s="15"/>
      <c r="D749" s="16">
        <v>746</v>
      </c>
      <c r="E749" s="16" t="s">
        <v>730</v>
      </c>
      <c r="F749" s="16" t="s">
        <v>24</v>
      </c>
      <c r="G749" s="17">
        <v>100</v>
      </c>
      <c r="H749" s="18">
        <v>600</v>
      </c>
      <c r="I749" s="19">
        <v>6</v>
      </c>
      <c r="J749" s="19">
        <v>14</v>
      </c>
      <c r="K749" s="19">
        <v>1400</v>
      </c>
      <c r="L749" s="19">
        <f t="shared" si="108"/>
        <v>1200</v>
      </c>
      <c r="M749" s="21">
        <f t="shared" si="102"/>
        <v>12</v>
      </c>
      <c r="N749" s="22">
        <f t="shared" si="103"/>
        <v>0</v>
      </c>
      <c r="O749" s="22">
        <f t="shared" si="104"/>
        <v>12</v>
      </c>
      <c r="P749" s="20">
        <f t="shared" si="105"/>
        <v>14</v>
      </c>
      <c r="Q749" s="23">
        <f t="shared" si="107"/>
        <v>1400</v>
      </c>
      <c r="R749" s="20">
        <f t="shared" si="101"/>
        <v>14</v>
      </c>
      <c r="S749" s="20">
        <f t="shared" si="101"/>
        <v>1400</v>
      </c>
      <c r="T749" s="18">
        <f t="shared" si="106"/>
        <v>16800</v>
      </c>
      <c r="U749" s="18"/>
      <c r="V749" s="25"/>
    </row>
    <row r="750" spans="1:22" ht="24" customHeight="1">
      <c r="A750" s="26"/>
      <c r="B750" s="15"/>
      <c r="C750" s="15"/>
      <c r="D750" s="16">
        <v>747</v>
      </c>
      <c r="E750" s="16" t="s">
        <v>731</v>
      </c>
      <c r="F750" s="16" t="s">
        <v>24</v>
      </c>
      <c r="G750" s="17">
        <v>1</v>
      </c>
      <c r="H750" s="18">
        <v>35</v>
      </c>
      <c r="I750" s="19"/>
      <c r="J750" s="19">
        <v>16</v>
      </c>
      <c r="K750" s="19"/>
      <c r="L750" s="19">
        <f t="shared" si="108"/>
        <v>35</v>
      </c>
      <c r="M750" s="21">
        <f t="shared" si="102"/>
        <v>35</v>
      </c>
      <c r="N750" s="22">
        <f t="shared" si="103"/>
        <v>35</v>
      </c>
      <c r="O750" s="22">
        <f t="shared" si="104"/>
        <v>0</v>
      </c>
      <c r="P750" s="20">
        <f t="shared" si="105"/>
        <v>0</v>
      </c>
      <c r="Q750" s="23">
        <f t="shared" si="107"/>
        <v>16</v>
      </c>
      <c r="R750" s="20">
        <f t="shared" ref="R750:S814" si="109">IFERROR(IF(J750&gt;0,J750,IF(J750&lt;0,P750,IF(J750=0,P750))),"")</f>
        <v>16</v>
      </c>
      <c r="S750" s="20">
        <f t="shared" si="109"/>
        <v>16</v>
      </c>
      <c r="T750" s="18">
        <f t="shared" si="106"/>
        <v>560</v>
      </c>
      <c r="U750" s="18"/>
      <c r="V750" s="25"/>
    </row>
    <row r="751" spans="1:22" ht="24" customHeight="1">
      <c r="A751" s="26"/>
      <c r="B751" s="15"/>
      <c r="C751" s="15"/>
      <c r="D751" s="16">
        <v>748</v>
      </c>
      <c r="E751" s="16" t="s">
        <v>732</v>
      </c>
      <c r="F751" s="16" t="s">
        <v>24</v>
      </c>
      <c r="G751" s="17">
        <v>1</v>
      </c>
      <c r="H751" s="18">
        <v>11</v>
      </c>
      <c r="I751" s="19"/>
      <c r="J751" s="19">
        <v>22</v>
      </c>
      <c r="K751" s="19"/>
      <c r="L751" s="19">
        <f t="shared" si="108"/>
        <v>11</v>
      </c>
      <c r="M751" s="21">
        <f t="shared" si="102"/>
        <v>11</v>
      </c>
      <c r="N751" s="22">
        <f t="shared" si="103"/>
        <v>11</v>
      </c>
      <c r="O751" s="22">
        <f t="shared" si="104"/>
        <v>0</v>
      </c>
      <c r="P751" s="20">
        <f t="shared" si="105"/>
        <v>0</v>
      </c>
      <c r="Q751" s="23">
        <f t="shared" si="107"/>
        <v>22</v>
      </c>
      <c r="R751" s="20">
        <f t="shared" si="109"/>
        <v>22</v>
      </c>
      <c r="S751" s="20">
        <f t="shared" si="109"/>
        <v>22</v>
      </c>
      <c r="T751" s="18">
        <f t="shared" si="106"/>
        <v>242</v>
      </c>
      <c r="U751" s="18"/>
      <c r="V751" s="25"/>
    </row>
    <row r="752" spans="1:22" ht="24" customHeight="1">
      <c r="A752" s="26"/>
      <c r="B752" s="15"/>
      <c r="C752" s="15"/>
      <c r="D752" s="16">
        <v>749</v>
      </c>
      <c r="E752" s="16" t="s">
        <v>733</v>
      </c>
      <c r="F752" s="16" t="s">
        <v>24</v>
      </c>
      <c r="G752" s="17">
        <v>50</v>
      </c>
      <c r="H752" s="18">
        <v>52</v>
      </c>
      <c r="I752" s="19"/>
      <c r="J752" s="19">
        <v>22</v>
      </c>
      <c r="K752" s="19"/>
      <c r="L752" s="19">
        <f t="shared" si="108"/>
        <v>52</v>
      </c>
      <c r="M752" s="21">
        <f t="shared" si="102"/>
        <v>1.04</v>
      </c>
      <c r="N752" s="22">
        <f t="shared" si="103"/>
        <v>2.0000000000000018</v>
      </c>
      <c r="O752" s="22">
        <f t="shared" si="104"/>
        <v>1</v>
      </c>
      <c r="P752" s="20">
        <f t="shared" si="105"/>
        <v>0</v>
      </c>
      <c r="Q752" s="23">
        <f t="shared" si="107"/>
        <v>1100</v>
      </c>
      <c r="R752" s="20">
        <f t="shared" si="109"/>
        <v>22</v>
      </c>
      <c r="S752" s="20">
        <f t="shared" si="109"/>
        <v>1100</v>
      </c>
      <c r="T752" s="18">
        <f t="shared" si="106"/>
        <v>1144</v>
      </c>
      <c r="U752" s="18"/>
      <c r="V752" s="25"/>
    </row>
    <row r="753" spans="1:22" ht="24" customHeight="1">
      <c r="A753" s="26"/>
      <c r="B753" s="15"/>
      <c r="C753" s="15"/>
      <c r="D753" s="16">
        <v>750</v>
      </c>
      <c r="E753" s="16" t="s">
        <v>734</v>
      </c>
      <c r="F753" s="16" t="s">
        <v>24</v>
      </c>
      <c r="G753" s="17">
        <v>1</v>
      </c>
      <c r="H753" s="18">
        <v>8</v>
      </c>
      <c r="I753" s="19"/>
      <c r="J753" s="19">
        <v>75</v>
      </c>
      <c r="K753" s="19"/>
      <c r="L753" s="19">
        <f t="shared" si="108"/>
        <v>8</v>
      </c>
      <c r="M753" s="21">
        <f t="shared" si="102"/>
        <v>8</v>
      </c>
      <c r="N753" s="22">
        <f t="shared" si="103"/>
        <v>8</v>
      </c>
      <c r="O753" s="22">
        <f t="shared" si="104"/>
        <v>0</v>
      </c>
      <c r="P753" s="20">
        <f t="shared" si="105"/>
        <v>0</v>
      </c>
      <c r="Q753" s="23">
        <f t="shared" si="107"/>
        <v>75</v>
      </c>
      <c r="R753" s="20">
        <f t="shared" si="109"/>
        <v>75</v>
      </c>
      <c r="S753" s="20">
        <f t="shared" si="109"/>
        <v>75</v>
      </c>
      <c r="T753" s="18">
        <f t="shared" si="106"/>
        <v>600</v>
      </c>
      <c r="U753" s="18"/>
      <c r="V753" s="25"/>
    </row>
    <row r="754" spans="1:22" ht="24" customHeight="1">
      <c r="A754" s="26"/>
      <c r="B754" s="15"/>
      <c r="C754" s="15"/>
      <c r="D754" s="16">
        <v>751</v>
      </c>
      <c r="E754" s="16" t="s">
        <v>735</v>
      </c>
      <c r="F754" s="16" t="s">
        <v>24</v>
      </c>
      <c r="G754" s="17">
        <v>1</v>
      </c>
      <c r="H754" s="18">
        <v>18</v>
      </c>
      <c r="I754" s="19"/>
      <c r="J754" s="19">
        <v>160</v>
      </c>
      <c r="K754" s="19"/>
      <c r="L754" s="19">
        <f t="shared" si="108"/>
        <v>18</v>
      </c>
      <c r="M754" s="21">
        <f t="shared" si="102"/>
        <v>18</v>
      </c>
      <c r="N754" s="22">
        <f t="shared" si="103"/>
        <v>18</v>
      </c>
      <c r="O754" s="22">
        <f t="shared" si="104"/>
        <v>0</v>
      </c>
      <c r="P754" s="20">
        <f t="shared" si="105"/>
        <v>0</v>
      </c>
      <c r="Q754" s="23">
        <f t="shared" si="107"/>
        <v>160</v>
      </c>
      <c r="R754" s="20">
        <f t="shared" si="109"/>
        <v>160</v>
      </c>
      <c r="S754" s="20">
        <f t="shared" si="109"/>
        <v>160</v>
      </c>
      <c r="T754" s="18">
        <f t="shared" si="106"/>
        <v>2880</v>
      </c>
      <c r="U754" s="18"/>
      <c r="V754" s="25"/>
    </row>
    <row r="755" spans="1:22" ht="24" customHeight="1">
      <c r="A755" s="26"/>
      <c r="B755" s="15"/>
      <c r="C755" s="15"/>
      <c r="D755" s="16">
        <v>752</v>
      </c>
      <c r="E755" s="16" t="s">
        <v>736</v>
      </c>
      <c r="F755" s="16" t="s">
        <v>24</v>
      </c>
      <c r="G755" s="17">
        <v>1</v>
      </c>
      <c r="H755" s="18">
        <v>5</v>
      </c>
      <c r="I755" s="19"/>
      <c r="J755" s="19">
        <v>250</v>
      </c>
      <c r="K755" s="19"/>
      <c r="L755" s="19">
        <f t="shared" si="108"/>
        <v>5</v>
      </c>
      <c r="M755" s="21">
        <f t="shared" si="102"/>
        <v>5</v>
      </c>
      <c r="N755" s="22">
        <f t="shared" si="103"/>
        <v>5</v>
      </c>
      <c r="O755" s="22">
        <f t="shared" si="104"/>
        <v>0</v>
      </c>
      <c r="P755" s="20">
        <f t="shared" si="105"/>
        <v>0</v>
      </c>
      <c r="Q755" s="23">
        <f t="shared" si="107"/>
        <v>250</v>
      </c>
      <c r="R755" s="20">
        <f t="shared" si="109"/>
        <v>250</v>
      </c>
      <c r="S755" s="20">
        <f t="shared" si="109"/>
        <v>250</v>
      </c>
      <c r="T755" s="18">
        <f t="shared" si="106"/>
        <v>1250</v>
      </c>
      <c r="U755" s="18"/>
      <c r="V755" s="25"/>
    </row>
    <row r="756" spans="1:22" ht="24" customHeight="1">
      <c r="A756" s="26"/>
      <c r="B756" s="15"/>
      <c r="C756" s="15"/>
      <c r="D756" s="16">
        <v>753</v>
      </c>
      <c r="E756" s="16" t="s">
        <v>737</v>
      </c>
      <c r="F756" s="16" t="s">
        <v>24</v>
      </c>
      <c r="G756" s="17">
        <v>1</v>
      </c>
      <c r="H756" s="18">
        <v>12</v>
      </c>
      <c r="I756" s="19"/>
      <c r="J756" s="19">
        <v>250</v>
      </c>
      <c r="K756" s="19"/>
      <c r="L756" s="19">
        <f t="shared" si="108"/>
        <v>12</v>
      </c>
      <c r="M756" s="21">
        <f t="shared" si="102"/>
        <v>12</v>
      </c>
      <c r="N756" s="22">
        <f t="shared" si="103"/>
        <v>12</v>
      </c>
      <c r="O756" s="22">
        <f t="shared" si="104"/>
        <v>0</v>
      </c>
      <c r="P756" s="20">
        <f t="shared" si="105"/>
        <v>0</v>
      </c>
      <c r="Q756" s="23">
        <f t="shared" si="107"/>
        <v>250</v>
      </c>
      <c r="R756" s="20">
        <f t="shared" si="109"/>
        <v>250</v>
      </c>
      <c r="S756" s="20">
        <f t="shared" si="109"/>
        <v>250</v>
      </c>
      <c r="T756" s="18">
        <f t="shared" si="106"/>
        <v>3000</v>
      </c>
      <c r="U756" s="18"/>
      <c r="V756" s="25"/>
    </row>
    <row r="757" spans="1:22" ht="24" customHeight="1">
      <c r="A757" s="26"/>
      <c r="B757" s="15"/>
      <c r="C757" s="15"/>
      <c r="D757" s="16">
        <v>754</v>
      </c>
      <c r="E757" s="16" t="s">
        <v>738</v>
      </c>
      <c r="F757" s="16" t="s">
        <v>24</v>
      </c>
      <c r="G757" s="17">
        <v>1</v>
      </c>
      <c r="H757" s="18">
        <v>10</v>
      </c>
      <c r="I757" s="19"/>
      <c r="J757" s="19">
        <v>60</v>
      </c>
      <c r="K757" s="19"/>
      <c r="L757" s="19">
        <f t="shared" si="108"/>
        <v>10</v>
      </c>
      <c r="M757" s="21">
        <f t="shared" si="102"/>
        <v>10</v>
      </c>
      <c r="N757" s="22">
        <f t="shared" si="103"/>
        <v>10</v>
      </c>
      <c r="O757" s="22">
        <f t="shared" si="104"/>
        <v>0</v>
      </c>
      <c r="P757" s="20">
        <f t="shared" si="105"/>
        <v>0</v>
      </c>
      <c r="Q757" s="23">
        <f t="shared" si="107"/>
        <v>60</v>
      </c>
      <c r="R757" s="20">
        <f t="shared" si="109"/>
        <v>60</v>
      </c>
      <c r="S757" s="20">
        <f t="shared" si="109"/>
        <v>60</v>
      </c>
      <c r="T757" s="18">
        <f t="shared" si="106"/>
        <v>600</v>
      </c>
      <c r="U757" s="18"/>
      <c r="V757" s="25"/>
    </row>
    <row r="758" spans="1:22" ht="24" customHeight="1">
      <c r="A758" s="26"/>
      <c r="B758" s="15"/>
      <c r="C758" s="15"/>
      <c r="D758" s="16">
        <v>755</v>
      </c>
      <c r="E758" s="16" t="s">
        <v>739</v>
      </c>
      <c r="F758" s="16" t="s">
        <v>24</v>
      </c>
      <c r="G758" s="17">
        <v>1</v>
      </c>
      <c r="H758" s="18">
        <v>2</v>
      </c>
      <c r="I758" s="19"/>
      <c r="J758" s="19">
        <v>160</v>
      </c>
      <c r="K758" s="19"/>
      <c r="L758" s="19">
        <f t="shared" si="108"/>
        <v>2</v>
      </c>
      <c r="M758" s="21">
        <f t="shared" si="102"/>
        <v>2</v>
      </c>
      <c r="N758" s="22">
        <f t="shared" si="103"/>
        <v>2</v>
      </c>
      <c r="O758" s="22">
        <f t="shared" si="104"/>
        <v>0</v>
      </c>
      <c r="P758" s="20">
        <f t="shared" si="105"/>
        <v>0</v>
      </c>
      <c r="Q758" s="23">
        <f t="shared" si="107"/>
        <v>160</v>
      </c>
      <c r="R758" s="20">
        <f t="shared" si="109"/>
        <v>160</v>
      </c>
      <c r="S758" s="20">
        <f t="shared" si="109"/>
        <v>160</v>
      </c>
      <c r="T758" s="18">
        <f t="shared" si="106"/>
        <v>320</v>
      </c>
      <c r="U758" s="18"/>
      <c r="V758" s="25"/>
    </row>
    <row r="759" spans="1:22" ht="24" customHeight="1">
      <c r="A759" s="26"/>
      <c r="B759" s="15"/>
      <c r="C759" s="15"/>
      <c r="D759" s="16">
        <v>756</v>
      </c>
      <c r="E759" s="16" t="s">
        <v>740</v>
      </c>
      <c r="F759" s="16" t="s">
        <v>24</v>
      </c>
      <c r="G759" s="17">
        <v>1</v>
      </c>
      <c r="H759" s="18">
        <v>18</v>
      </c>
      <c r="I759" s="19"/>
      <c r="J759" s="19">
        <v>160</v>
      </c>
      <c r="K759" s="19"/>
      <c r="L759" s="19">
        <f t="shared" si="108"/>
        <v>18</v>
      </c>
      <c r="M759" s="21">
        <f t="shared" si="102"/>
        <v>18</v>
      </c>
      <c r="N759" s="22">
        <f t="shared" si="103"/>
        <v>18</v>
      </c>
      <c r="O759" s="22">
        <f t="shared" si="104"/>
        <v>0</v>
      </c>
      <c r="P759" s="20">
        <f t="shared" si="105"/>
        <v>0</v>
      </c>
      <c r="Q759" s="23">
        <f t="shared" si="107"/>
        <v>160</v>
      </c>
      <c r="R759" s="20">
        <f t="shared" si="109"/>
        <v>160</v>
      </c>
      <c r="S759" s="20">
        <f t="shared" si="109"/>
        <v>160</v>
      </c>
      <c r="T759" s="18">
        <f t="shared" si="106"/>
        <v>2880</v>
      </c>
      <c r="U759" s="18"/>
      <c r="V759" s="25"/>
    </row>
    <row r="760" spans="1:22" ht="24" customHeight="1">
      <c r="A760" s="26"/>
      <c r="B760" s="15"/>
      <c r="C760" s="15"/>
      <c r="D760" s="16">
        <v>757</v>
      </c>
      <c r="E760" s="16" t="s">
        <v>158</v>
      </c>
      <c r="F760" s="16" t="s">
        <v>24</v>
      </c>
      <c r="G760" s="17">
        <v>1</v>
      </c>
      <c r="H760" s="18">
        <v>74</v>
      </c>
      <c r="I760" s="19"/>
      <c r="J760" s="19">
        <v>48</v>
      </c>
      <c r="K760" s="19"/>
      <c r="L760" s="19">
        <f t="shared" si="108"/>
        <v>74</v>
      </c>
      <c r="M760" s="21">
        <f t="shared" si="102"/>
        <v>74</v>
      </c>
      <c r="N760" s="22">
        <f t="shared" si="103"/>
        <v>74</v>
      </c>
      <c r="O760" s="22">
        <f t="shared" si="104"/>
        <v>0</v>
      </c>
      <c r="P760" s="20">
        <f t="shared" si="105"/>
        <v>0</v>
      </c>
      <c r="Q760" s="23">
        <f t="shared" si="107"/>
        <v>48</v>
      </c>
      <c r="R760" s="20">
        <f t="shared" si="109"/>
        <v>48</v>
      </c>
      <c r="S760" s="20">
        <f t="shared" si="109"/>
        <v>48</v>
      </c>
      <c r="T760" s="18">
        <f t="shared" si="106"/>
        <v>3552</v>
      </c>
      <c r="U760" s="18"/>
      <c r="V760" s="25"/>
    </row>
    <row r="761" spans="1:22" ht="24" customHeight="1">
      <c r="A761" s="26"/>
      <c r="B761" s="15"/>
      <c r="C761" s="15"/>
      <c r="D761" s="16">
        <v>758</v>
      </c>
      <c r="E761" s="16" t="s">
        <v>741</v>
      </c>
      <c r="F761" s="16" t="s">
        <v>24</v>
      </c>
      <c r="G761" s="17">
        <v>1</v>
      </c>
      <c r="H761" s="18">
        <v>62</v>
      </c>
      <c r="I761" s="19"/>
      <c r="J761" s="19">
        <v>42.5</v>
      </c>
      <c r="K761" s="19"/>
      <c r="L761" s="19">
        <f t="shared" si="108"/>
        <v>62</v>
      </c>
      <c r="M761" s="21">
        <f t="shared" si="102"/>
        <v>62</v>
      </c>
      <c r="N761" s="22">
        <f t="shared" si="103"/>
        <v>62</v>
      </c>
      <c r="O761" s="22">
        <f t="shared" si="104"/>
        <v>0</v>
      </c>
      <c r="P761" s="20">
        <f t="shared" si="105"/>
        <v>0</v>
      </c>
      <c r="Q761" s="23">
        <f t="shared" si="107"/>
        <v>42.5</v>
      </c>
      <c r="R761" s="20">
        <f t="shared" si="109"/>
        <v>42.5</v>
      </c>
      <c r="S761" s="20">
        <f t="shared" si="109"/>
        <v>42.5</v>
      </c>
      <c r="T761" s="18">
        <f t="shared" si="106"/>
        <v>2635</v>
      </c>
      <c r="U761" s="18"/>
      <c r="V761" s="25"/>
    </row>
    <row r="762" spans="1:22" ht="24" customHeight="1">
      <c r="A762" s="26"/>
      <c r="B762" s="15"/>
      <c r="C762" s="15"/>
      <c r="D762" s="16">
        <v>759</v>
      </c>
      <c r="E762" s="16" t="s">
        <v>742</v>
      </c>
      <c r="F762" s="16" t="s">
        <v>24</v>
      </c>
      <c r="G762" s="17">
        <v>1</v>
      </c>
      <c r="H762" s="18">
        <v>12</v>
      </c>
      <c r="I762" s="19"/>
      <c r="J762" s="19">
        <v>40</v>
      </c>
      <c r="K762" s="19"/>
      <c r="L762" s="19">
        <f t="shared" si="108"/>
        <v>12</v>
      </c>
      <c r="M762" s="21">
        <f t="shared" si="102"/>
        <v>12</v>
      </c>
      <c r="N762" s="22">
        <f t="shared" si="103"/>
        <v>12</v>
      </c>
      <c r="O762" s="22">
        <f t="shared" si="104"/>
        <v>0</v>
      </c>
      <c r="P762" s="20">
        <f t="shared" si="105"/>
        <v>0</v>
      </c>
      <c r="Q762" s="23">
        <f t="shared" si="107"/>
        <v>40</v>
      </c>
      <c r="R762" s="20">
        <f t="shared" si="109"/>
        <v>40</v>
      </c>
      <c r="S762" s="20">
        <f t="shared" si="109"/>
        <v>40</v>
      </c>
      <c r="T762" s="18">
        <f t="shared" si="106"/>
        <v>480</v>
      </c>
      <c r="U762" s="18"/>
      <c r="V762" s="25"/>
    </row>
    <row r="763" spans="1:22" ht="24" customHeight="1">
      <c r="A763" s="26"/>
      <c r="B763" s="15"/>
      <c r="C763" s="15"/>
      <c r="D763" s="16">
        <v>760</v>
      </c>
      <c r="E763" s="16" t="s">
        <v>926</v>
      </c>
      <c r="F763" s="16" t="s">
        <v>24</v>
      </c>
      <c r="G763" s="17">
        <v>1</v>
      </c>
      <c r="H763" s="18">
        <v>19</v>
      </c>
      <c r="I763" s="19"/>
      <c r="J763" s="19">
        <v>40</v>
      </c>
      <c r="K763" s="19"/>
      <c r="L763" s="19">
        <f t="shared" ref="L763" si="110">I763*G763+H763</f>
        <v>19</v>
      </c>
      <c r="M763" s="21">
        <f t="shared" ref="M763" si="111">IFERROR(L763/G763,"")</f>
        <v>19</v>
      </c>
      <c r="N763" s="22">
        <f t="shared" ref="N763" si="112">IF(G763=1,L763,IF(G763&gt;1,IFERROR((M763-O763)*G763,""),""))</f>
        <v>19</v>
      </c>
      <c r="O763" s="22">
        <f t="shared" ref="O763" si="113">IFERROR(IF(G763=1,0,IF(G763&gt;1,ROUNDDOWN(M763,0))),"")</f>
        <v>0</v>
      </c>
      <c r="P763" s="20">
        <f t="shared" ref="P763" si="114">IFERROR(K763/G763,"")</f>
        <v>0</v>
      </c>
      <c r="Q763" s="23">
        <f t="shared" ref="Q763" si="115">IFERROR(J763*G763,"")</f>
        <v>40</v>
      </c>
      <c r="R763" s="20">
        <f t="shared" ref="R763" si="116">IFERROR(IF(J763&gt;0,J763,IF(J763&lt;0,P763,IF(J763=0,P763))),"")</f>
        <v>40</v>
      </c>
      <c r="S763" s="20">
        <f t="shared" si="109"/>
        <v>40</v>
      </c>
      <c r="T763" s="18">
        <f t="shared" si="106"/>
        <v>760</v>
      </c>
      <c r="U763" s="18"/>
      <c r="V763" s="25"/>
    </row>
    <row r="764" spans="1:22" ht="24" customHeight="1">
      <c r="A764" s="26"/>
      <c r="B764" s="15"/>
      <c r="C764" s="15"/>
      <c r="D764" s="16">
        <v>761</v>
      </c>
      <c r="E764" s="16" t="s">
        <v>743</v>
      </c>
      <c r="F764" s="16" t="s">
        <v>24</v>
      </c>
      <c r="G764" s="17">
        <v>1</v>
      </c>
      <c r="H764" s="18">
        <v>54</v>
      </c>
      <c r="I764" s="19"/>
      <c r="J764" s="19">
        <v>28</v>
      </c>
      <c r="K764" s="19"/>
      <c r="L764" s="19">
        <f t="shared" si="108"/>
        <v>54</v>
      </c>
      <c r="M764" s="21">
        <f t="shared" si="102"/>
        <v>54</v>
      </c>
      <c r="N764" s="22">
        <f t="shared" si="103"/>
        <v>54</v>
      </c>
      <c r="O764" s="22">
        <f t="shared" si="104"/>
        <v>0</v>
      </c>
      <c r="P764" s="20">
        <f t="shared" si="105"/>
        <v>0</v>
      </c>
      <c r="Q764" s="23">
        <f t="shared" si="107"/>
        <v>28</v>
      </c>
      <c r="R764" s="20">
        <f t="shared" si="109"/>
        <v>28</v>
      </c>
      <c r="S764" s="20">
        <f t="shared" si="109"/>
        <v>28</v>
      </c>
      <c r="T764" s="18">
        <f t="shared" si="106"/>
        <v>1512</v>
      </c>
      <c r="U764" s="18"/>
      <c r="V764" s="25"/>
    </row>
    <row r="765" spans="1:22" ht="24" customHeight="1">
      <c r="A765" s="26"/>
      <c r="B765" s="15"/>
      <c r="C765" s="15"/>
      <c r="D765" s="16">
        <v>762</v>
      </c>
      <c r="E765" s="16" t="s">
        <v>744</v>
      </c>
      <c r="F765" s="16" t="s">
        <v>24</v>
      </c>
      <c r="G765" s="17">
        <v>1</v>
      </c>
      <c r="H765" s="18">
        <v>28</v>
      </c>
      <c r="I765" s="19"/>
      <c r="J765" s="19">
        <v>120</v>
      </c>
      <c r="K765" s="19"/>
      <c r="L765" s="19">
        <f t="shared" si="108"/>
        <v>28</v>
      </c>
      <c r="M765" s="21">
        <f t="shared" si="102"/>
        <v>28</v>
      </c>
      <c r="N765" s="22">
        <f t="shared" si="103"/>
        <v>28</v>
      </c>
      <c r="O765" s="22">
        <f t="shared" si="104"/>
        <v>0</v>
      </c>
      <c r="P765" s="20">
        <f t="shared" si="105"/>
        <v>0</v>
      </c>
      <c r="Q765" s="23">
        <f t="shared" si="107"/>
        <v>120</v>
      </c>
      <c r="R765" s="20">
        <f t="shared" si="109"/>
        <v>120</v>
      </c>
      <c r="S765" s="20">
        <f t="shared" si="109"/>
        <v>120</v>
      </c>
      <c r="T765" s="18">
        <f t="shared" si="106"/>
        <v>3360</v>
      </c>
      <c r="U765" s="18"/>
      <c r="V765" s="25"/>
    </row>
    <row r="766" spans="1:22" ht="24" customHeight="1">
      <c r="A766" s="26"/>
      <c r="B766" s="15"/>
      <c r="C766" s="15"/>
      <c r="D766" s="16">
        <v>763</v>
      </c>
      <c r="E766" s="16" t="s">
        <v>745</v>
      </c>
      <c r="F766" s="16" t="s">
        <v>24</v>
      </c>
      <c r="G766" s="17">
        <v>1</v>
      </c>
      <c r="H766" s="18">
        <v>12</v>
      </c>
      <c r="I766" s="19"/>
      <c r="J766" s="19">
        <v>28</v>
      </c>
      <c r="K766" s="19"/>
      <c r="L766" s="19">
        <f t="shared" si="108"/>
        <v>12</v>
      </c>
      <c r="M766" s="21">
        <f t="shared" si="102"/>
        <v>12</v>
      </c>
      <c r="N766" s="22">
        <f t="shared" si="103"/>
        <v>12</v>
      </c>
      <c r="O766" s="22">
        <f t="shared" si="104"/>
        <v>0</v>
      </c>
      <c r="P766" s="20">
        <f t="shared" si="105"/>
        <v>0</v>
      </c>
      <c r="Q766" s="23">
        <f t="shared" si="107"/>
        <v>28</v>
      </c>
      <c r="R766" s="20">
        <f t="shared" si="109"/>
        <v>28</v>
      </c>
      <c r="S766" s="20">
        <f t="shared" si="109"/>
        <v>28</v>
      </c>
      <c r="T766" s="18">
        <f t="shared" si="106"/>
        <v>336</v>
      </c>
      <c r="U766" s="18"/>
      <c r="V766" s="25"/>
    </row>
    <row r="767" spans="1:22" ht="24" customHeight="1">
      <c r="A767" s="26"/>
      <c r="B767" s="15"/>
      <c r="C767" s="15"/>
      <c r="D767" s="16">
        <v>764</v>
      </c>
      <c r="E767" s="16" t="s">
        <v>927</v>
      </c>
      <c r="F767" s="16" t="s">
        <v>24</v>
      </c>
      <c r="G767" s="17">
        <v>1</v>
      </c>
      <c r="H767" s="18">
        <v>60</v>
      </c>
      <c r="I767" s="19"/>
      <c r="J767" s="19">
        <v>28</v>
      </c>
      <c r="K767" s="19"/>
      <c r="L767" s="19">
        <f t="shared" ref="L767" si="117">I767*G767+H767</f>
        <v>60</v>
      </c>
      <c r="M767" s="21">
        <f t="shared" ref="M767" si="118">IFERROR(L767/G767,"")</f>
        <v>60</v>
      </c>
      <c r="N767" s="22">
        <f t="shared" ref="N767" si="119">IF(G767=1,L767,IF(G767&gt;1,IFERROR((M767-O767)*G767,""),""))</f>
        <v>60</v>
      </c>
      <c r="O767" s="22">
        <f t="shared" ref="O767" si="120">IFERROR(IF(G767=1,0,IF(G767&gt;1,ROUNDDOWN(M767,0))),"")</f>
        <v>0</v>
      </c>
      <c r="P767" s="20">
        <f t="shared" ref="P767" si="121">IFERROR(K767/G767,"")</f>
        <v>0</v>
      </c>
      <c r="Q767" s="23">
        <f t="shared" ref="Q767" si="122">IFERROR(J767*G767,"")</f>
        <v>28</v>
      </c>
      <c r="R767" s="20">
        <f t="shared" ref="R767" si="123">IFERROR(IF(J767&gt;0,J767,IF(J767&lt;0,P767,IF(J767=0,P767))),"")</f>
        <v>28</v>
      </c>
      <c r="S767" s="20">
        <f t="shared" si="109"/>
        <v>28</v>
      </c>
      <c r="T767" s="18">
        <f t="shared" si="106"/>
        <v>1680</v>
      </c>
      <c r="U767" s="18"/>
      <c r="V767" s="25"/>
    </row>
    <row r="768" spans="1:22" ht="24" customHeight="1">
      <c r="A768" s="26"/>
      <c r="B768" s="15"/>
      <c r="C768" s="15"/>
      <c r="D768" s="16">
        <v>765</v>
      </c>
      <c r="E768" s="16" t="s">
        <v>746</v>
      </c>
      <c r="F768" s="16" t="s">
        <v>24</v>
      </c>
      <c r="G768" s="17">
        <v>1</v>
      </c>
      <c r="H768" s="18">
        <v>44</v>
      </c>
      <c r="I768" s="19"/>
      <c r="J768" s="19">
        <v>120</v>
      </c>
      <c r="K768" s="19"/>
      <c r="L768" s="19">
        <f t="shared" si="108"/>
        <v>44</v>
      </c>
      <c r="M768" s="21">
        <f t="shared" si="102"/>
        <v>44</v>
      </c>
      <c r="N768" s="22">
        <f t="shared" si="103"/>
        <v>44</v>
      </c>
      <c r="O768" s="22">
        <f t="shared" si="104"/>
        <v>0</v>
      </c>
      <c r="P768" s="20">
        <f t="shared" si="105"/>
        <v>0</v>
      </c>
      <c r="Q768" s="23">
        <f t="shared" si="107"/>
        <v>120</v>
      </c>
      <c r="R768" s="20">
        <f t="shared" si="109"/>
        <v>120</v>
      </c>
      <c r="S768" s="20">
        <f t="shared" si="109"/>
        <v>120</v>
      </c>
      <c r="T768" s="18">
        <f t="shared" si="106"/>
        <v>5280</v>
      </c>
      <c r="U768" s="18"/>
      <c r="V768" s="25"/>
    </row>
    <row r="769" spans="1:22" ht="24" customHeight="1">
      <c r="A769" s="26"/>
      <c r="B769" s="15"/>
      <c r="C769" s="15"/>
      <c r="D769" s="16">
        <v>766</v>
      </c>
      <c r="E769" s="16" t="s">
        <v>747</v>
      </c>
      <c r="F769" s="16" t="s">
        <v>24</v>
      </c>
      <c r="G769" s="17">
        <v>1</v>
      </c>
      <c r="H769" s="18">
        <v>24</v>
      </c>
      <c r="I769" s="19"/>
      <c r="J769" s="19">
        <v>46</v>
      </c>
      <c r="K769" s="19"/>
      <c r="L769" s="19">
        <f t="shared" si="108"/>
        <v>24</v>
      </c>
      <c r="M769" s="21">
        <f t="shared" si="102"/>
        <v>24</v>
      </c>
      <c r="N769" s="22">
        <f t="shared" si="103"/>
        <v>24</v>
      </c>
      <c r="O769" s="22">
        <f t="shared" si="104"/>
        <v>0</v>
      </c>
      <c r="P769" s="20">
        <f t="shared" si="105"/>
        <v>0</v>
      </c>
      <c r="Q769" s="23">
        <f t="shared" si="107"/>
        <v>46</v>
      </c>
      <c r="R769" s="20">
        <f t="shared" si="109"/>
        <v>46</v>
      </c>
      <c r="S769" s="20">
        <f t="shared" si="109"/>
        <v>46</v>
      </c>
      <c r="T769" s="18">
        <f t="shared" si="106"/>
        <v>1104</v>
      </c>
      <c r="U769" s="18"/>
      <c r="V769" s="25"/>
    </row>
    <row r="770" spans="1:22" ht="24" customHeight="1">
      <c r="A770" s="26"/>
      <c r="B770" s="15"/>
      <c r="C770" s="15"/>
      <c r="D770" s="16">
        <v>767</v>
      </c>
      <c r="E770" s="16" t="s">
        <v>748</v>
      </c>
      <c r="F770" s="16" t="s">
        <v>24</v>
      </c>
      <c r="G770" s="17">
        <v>1</v>
      </c>
      <c r="H770" s="18">
        <v>13</v>
      </c>
      <c r="I770" s="19"/>
      <c r="J770" s="19">
        <v>120</v>
      </c>
      <c r="K770" s="19"/>
      <c r="L770" s="19">
        <f t="shared" si="108"/>
        <v>13</v>
      </c>
      <c r="M770" s="21">
        <f t="shared" si="102"/>
        <v>13</v>
      </c>
      <c r="N770" s="22">
        <f t="shared" si="103"/>
        <v>13</v>
      </c>
      <c r="O770" s="22">
        <f t="shared" si="104"/>
        <v>0</v>
      </c>
      <c r="P770" s="20">
        <f t="shared" si="105"/>
        <v>0</v>
      </c>
      <c r="Q770" s="23">
        <f t="shared" si="107"/>
        <v>120</v>
      </c>
      <c r="R770" s="20">
        <f t="shared" si="109"/>
        <v>120</v>
      </c>
      <c r="S770" s="20">
        <f t="shared" si="109"/>
        <v>120</v>
      </c>
      <c r="T770" s="18">
        <f t="shared" si="106"/>
        <v>1560</v>
      </c>
      <c r="U770" s="18"/>
      <c r="V770" s="25"/>
    </row>
    <row r="771" spans="1:22" ht="24" customHeight="1">
      <c r="A771" s="26"/>
      <c r="B771" s="15"/>
      <c r="C771" s="15"/>
      <c r="D771" s="16">
        <v>768</v>
      </c>
      <c r="E771" s="16" t="s">
        <v>928</v>
      </c>
      <c r="F771" s="16" t="s">
        <v>24</v>
      </c>
      <c r="G771" s="17">
        <v>1</v>
      </c>
      <c r="H771" s="18">
        <v>5</v>
      </c>
      <c r="I771" s="19"/>
      <c r="J771" s="19">
        <v>2200</v>
      </c>
      <c r="K771" s="19"/>
      <c r="L771" s="19">
        <f t="shared" si="108"/>
        <v>5</v>
      </c>
      <c r="M771" s="21">
        <f t="shared" ref="M771:M834" si="124">IFERROR(L771/G771,"")</f>
        <v>5</v>
      </c>
      <c r="N771" s="22">
        <f t="shared" ref="N771:N834" si="125">IF(G771=1,L771,IF(G771&gt;1,IFERROR((M771-O771)*G771,""),""))</f>
        <v>5</v>
      </c>
      <c r="O771" s="22">
        <f t="shared" ref="O771:O834" si="126">IFERROR(IF(G771=1,0,IF(G771&gt;1,ROUNDDOWN(M771,0))),"")</f>
        <v>0</v>
      </c>
      <c r="P771" s="20">
        <f t="shared" si="105"/>
        <v>0</v>
      </c>
      <c r="Q771" s="23">
        <f t="shared" si="107"/>
        <v>2200</v>
      </c>
      <c r="R771" s="20">
        <f t="shared" si="109"/>
        <v>2200</v>
      </c>
      <c r="S771" s="20">
        <f t="shared" si="109"/>
        <v>2200</v>
      </c>
      <c r="T771" s="18">
        <f t="shared" si="106"/>
        <v>11000</v>
      </c>
      <c r="U771" s="18"/>
      <c r="V771" s="25"/>
    </row>
    <row r="772" spans="1:22" ht="24" customHeight="1">
      <c r="A772" s="26"/>
      <c r="B772" s="15"/>
      <c r="C772" s="15"/>
      <c r="D772" s="16">
        <v>769</v>
      </c>
      <c r="E772" s="16" t="s">
        <v>749</v>
      </c>
      <c r="F772" s="16" t="s">
        <v>24</v>
      </c>
      <c r="G772" s="17">
        <v>1</v>
      </c>
      <c r="H772" s="18">
        <v>2</v>
      </c>
      <c r="I772" s="19"/>
      <c r="J772" s="19">
        <v>3500</v>
      </c>
      <c r="K772" s="19"/>
      <c r="L772" s="19">
        <f t="shared" si="108"/>
        <v>2</v>
      </c>
      <c r="M772" s="21">
        <f t="shared" si="124"/>
        <v>2</v>
      </c>
      <c r="N772" s="22">
        <f t="shared" si="125"/>
        <v>2</v>
      </c>
      <c r="O772" s="22">
        <f t="shared" si="126"/>
        <v>0</v>
      </c>
      <c r="P772" s="20">
        <f t="shared" ref="P772:P835" si="127">IFERROR(K772/G772,"")</f>
        <v>0</v>
      </c>
      <c r="Q772" s="23">
        <f t="shared" si="107"/>
        <v>3500</v>
      </c>
      <c r="R772" s="20">
        <f t="shared" si="109"/>
        <v>3500</v>
      </c>
      <c r="S772" s="20">
        <f t="shared" si="109"/>
        <v>3500</v>
      </c>
      <c r="T772" s="18">
        <f t="shared" si="106"/>
        <v>7000</v>
      </c>
      <c r="U772" s="18"/>
      <c r="V772" s="25"/>
    </row>
    <row r="773" spans="1:22" ht="24" customHeight="1">
      <c r="A773" s="26"/>
      <c r="B773" s="15"/>
      <c r="C773" s="15"/>
      <c r="D773" s="16">
        <v>770</v>
      </c>
      <c r="E773" s="16" t="s">
        <v>750</v>
      </c>
      <c r="F773" s="16" t="s">
        <v>24</v>
      </c>
      <c r="G773" s="17">
        <v>1</v>
      </c>
      <c r="H773" s="18">
        <v>6</v>
      </c>
      <c r="I773" s="19"/>
      <c r="J773" s="19">
        <v>600</v>
      </c>
      <c r="K773" s="19"/>
      <c r="L773" s="19">
        <f t="shared" si="108"/>
        <v>6</v>
      </c>
      <c r="M773" s="21">
        <f t="shared" si="124"/>
        <v>6</v>
      </c>
      <c r="N773" s="22">
        <f t="shared" si="125"/>
        <v>6</v>
      </c>
      <c r="O773" s="22">
        <f t="shared" si="126"/>
        <v>0</v>
      </c>
      <c r="P773" s="20">
        <f t="shared" si="127"/>
        <v>0</v>
      </c>
      <c r="Q773" s="23">
        <f t="shared" si="107"/>
        <v>600</v>
      </c>
      <c r="R773" s="20">
        <f t="shared" si="109"/>
        <v>600</v>
      </c>
      <c r="S773" s="20">
        <f t="shared" si="109"/>
        <v>600</v>
      </c>
      <c r="T773" s="18">
        <f t="shared" ref="T773:T836" si="128">IFERROR(S773*I773+R773*H773,"")</f>
        <v>3600</v>
      </c>
      <c r="U773" s="18"/>
      <c r="V773" s="25"/>
    </row>
    <row r="774" spans="1:22" ht="24" customHeight="1">
      <c r="A774" s="26"/>
      <c r="B774" s="15"/>
      <c r="C774" s="15"/>
      <c r="D774" s="16">
        <v>771</v>
      </c>
      <c r="E774" s="16" t="s">
        <v>751</v>
      </c>
      <c r="F774" s="16" t="s">
        <v>24</v>
      </c>
      <c r="G774" s="17">
        <v>1</v>
      </c>
      <c r="H774" s="18">
        <v>1</v>
      </c>
      <c r="I774" s="19"/>
      <c r="J774" s="19">
        <v>4500</v>
      </c>
      <c r="K774" s="19"/>
      <c r="L774" s="19">
        <f t="shared" si="108"/>
        <v>1</v>
      </c>
      <c r="M774" s="21">
        <f t="shared" si="124"/>
        <v>1</v>
      </c>
      <c r="N774" s="22">
        <f t="shared" si="125"/>
        <v>1</v>
      </c>
      <c r="O774" s="22">
        <f t="shared" si="126"/>
        <v>0</v>
      </c>
      <c r="P774" s="20">
        <f t="shared" si="127"/>
        <v>0</v>
      </c>
      <c r="Q774" s="23">
        <f t="shared" si="107"/>
        <v>4500</v>
      </c>
      <c r="R774" s="20">
        <f t="shared" si="109"/>
        <v>4500</v>
      </c>
      <c r="S774" s="20">
        <f t="shared" si="109"/>
        <v>4500</v>
      </c>
      <c r="T774" s="18">
        <f t="shared" si="128"/>
        <v>4500</v>
      </c>
      <c r="U774" s="18"/>
      <c r="V774" s="25"/>
    </row>
    <row r="775" spans="1:22" ht="24" customHeight="1">
      <c r="A775" s="26"/>
      <c r="B775" s="15"/>
      <c r="C775" s="15"/>
      <c r="D775" s="16">
        <v>772</v>
      </c>
      <c r="E775" s="16" t="s">
        <v>752</v>
      </c>
      <c r="F775" s="16" t="s">
        <v>24</v>
      </c>
      <c r="G775" s="17">
        <v>1</v>
      </c>
      <c r="H775" s="18">
        <v>1</v>
      </c>
      <c r="I775" s="19"/>
      <c r="J775" s="19">
        <v>4500</v>
      </c>
      <c r="K775" s="19"/>
      <c r="L775" s="19">
        <f t="shared" si="108"/>
        <v>1</v>
      </c>
      <c r="M775" s="21">
        <f t="shared" si="124"/>
        <v>1</v>
      </c>
      <c r="N775" s="22">
        <f t="shared" si="125"/>
        <v>1</v>
      </c>
      <c r="O775" s="22">
        <f t="shared" si="126"/>
        <v>0</v>
      </c>
      <c r="P775" s="20">
        <f t="shared" si="127"/>
        <v>0</v>
      </c>
      <c r="Q775" s="23">
        <f t="shared" si="107"/>
        <v>4500</v>
      </c>
      <c r="R775" s="20">
        <f t="shared" si="109"/>
        <v>4500</v>
      </c>
      <c r="S775" s="20">
        <f t="shared" si="109"/>
        <v>4500</v>
      </c>
      <c r="T775" s="18">
        <f t="shared" si="128"/>
        <v>4500</v>
      </c>
      <c r="U775" s="18"/>
      <c r="V775" s="25"/>
    </row>
    <row r="776" spans="1:22" ht="24" customHeight="1">
      <c r="A776" s="26"/>
      <c r="B776" s="15"/>
      <c r="C776" s="15"/>
      <c r="D776" s="16">
        <v>773</v>
      </c>
      <c r="E776" s="16" t="s">
        <v>932</v>
      </c>
      <c r="F776" s="16" t="s">
        <v>24</v>
      </c>
      <c r="G776" s="17">
        <v>1</v>
      </c>
      <c r="H776" s="18">
        <v>1</v>
      </c>
      <c r="I776" s="19"/>
      <c r="J776" s="19">
        <v>3800</v>
      </c>
      <c r="K776" s="19"/>
      <c r="L776" s="19">
        <f t="shared" si="108"/>
        <v>1</v>
      </c>
      <c r="M776" s="21">
        <f t="shared" si="124"/>
        <v>1</v>
      </c>
      <c r="N776" s="22">
        <f t="shared" si="125"/>
        <v>1</v>
      </c>
      <c r="O776" s="22">
        <f t="shared" si="126"/>
        <v>0</v>
      </c>
      <c r="P776" s="20">
        <f t="shared" si="127"/>
        <v>0</v>
      </c>
      <c r="Q776" s="23">
        <f t="shared" si="107"/>
        <v>3800</v>
      </c>
      <c r="R776" s="20">
        <f t="shared" si="109"/>
        <v>3800</v>
      </c>
      <c r="S776" s="20">
        <f t="shared" si="109"/>
        <v>3800</v>
      </c>
      <c r="T776" s="18">
        <f t="shared" si="128"/>
        <v>3800</v>
      </c>
      <c r="U776" s="18"/>
      <c r="V776" s="25"/>
    </row>
    <row r="777" spans="1:22" ht="24" customHeight="1">
      <c r="A777" s="26"/>
      <c r="B777" s="15"/>
      <c r="C777" s="15"/>
      <c r="D777" s="16">
        <v>774</v>
      </c>
      <c r="E777" s="16" t="s">
        <v>753</v>
      </c>
      <c r="F777" s="16" t="s">
        <v>24</v>
      </c>
      <c r="G777" s="17">
        <v>1</v>
      </c>
      <c r="H777" s="18">
        <v>1</v>
      </c>
      <c r="I777" s="19"/>
      <c r="J777" s="19">
        <v>5500</v>
      </c>
      <c r="K777" s="19"/>
      <c r="L777" s="19">
        <f t="shared" si="108"/>
        <v>1</v>
      </c>
      <c r="M777" s="21">
        <f t="shared" si="124"/>
        <v>1</v>
      </c>
      <c r="N777" s="22">
        <f t="shared" si="125"/>
        <v>1</v>
      </c>
      <c r="O777" s="22">
        <f t="shared" si="126"/>
        <v>0</v>
      </c>
      <c r="P777" s="20">
        <f t="shared" si="127"/>
        <v>0</v>
      </c>
      <c r="Q777" s="23">
        <f t="shared" si="107"/>
        <v>5500</v>
      </c>
      <c r="R777" s="20">
        <f t="shared" si="109"/>
        <v>5500</v>
      </c>
      <c r="S777" s="20">
        <f t="shared" si="109"/>
        <v>5500</v>
      </c>
      <c r="T777" s="18">
        <f t="shared" si="128"/>
        <v>5500</v>
      </c>
      <c r="U777" s="18"/>
      <c r="V777" s="25"/>
    </row>
    <row r="778" spans="1:22" ht="24" customHeight="1">
      <c r="A778" s="26"/>
      <c r="B778" s="15"/>
      <c r="C778" s="15"/>
      <c r="D778" s="16">
        <v>775</v>
      </c>
      <c r="E778" s="16" t="s">
        <v>754</v>
      </c>
      <c r="F778" s="16" t="s">
        <v>24</v>
      </c>
      <c r="G778" s="17">
        <v>1</v>
      </c>
      <c r="H778" s="18">
        <v>1</v>
      </c>
      <c r="I778" s="19"/>
      <c r="J778" s="19">
        <v>3200</v>
      </c>
      <c r="K778" s="19"/>
      <c r="L778" s="19">
        <f t="shared" si="108"/>
        <v>1</v>
      </c>
      <c r="M778" s="21">
        <f t="shared" si="124"/>
        <v>1</v>
      </c>
      <c r="N778" s="22">
        <f t="shared" si="125"/>
        <v>1</v>
      </c>
      <c r="O778" s="22">
        <f t="shared" si="126"/>
        <v>0</v>
      </c>
      <c r="P778" s="20">
        <f t="shared" si="127"/>
        <v>0</v>
      </c>
      <c r="Q778" s="23">
        <f t="shared" si="107"/>
        <v>3200</v>
      </c>
      <c r="R778" s="20">
        <f t="shared" si="109"/>
        <v>3200</v>
      </c>
      <c r="S778" s="20">
        <f t="shared" si="109"/>
        <v>3200</v>
      </c>
      <c r="T778" s="18">
        <f t="shared" si="128"/>
        <v>3200</v>
      </c>
      <c r="U778" s="18"/>
      <c r="V778" s="25"/>
    </row>
    <row r="779" spans="1:22" ht="24" customHeight="1">
      <c r="A779" s="26"/>
      <c r="B779" s="15"/>
      <c r="C779" s="15"/>
      <c r="D779" s="16">
        <v>776</v>
      </c>
      <c r="E779" s="16" t="s">
        <v>755</v>
      </c>
      <c r="F779" s="16" t="s">
        <v>24</v>
      </c>
      <c r="G779" s="17">
        <v>1</v>
      </c>
      <c r="H779" s="18">
        <v>1</v>
      </c>
      <c r="I779" s="19"/>
      <c r="J779" s="19">
        <v>4000</v>
      </c>
      <c r="K779" s="19"/>
      <c r="L779" s="19">
        <f t="shared" si="108"/>
        <v>1</v>
      </c>
      <c r="M779" s="21">
        <f t="shared" si="124"/>
        <v>1</v>
      </c>
      <c r="N779" s="22">
        <f t="shared" si="125"/>
        <v>1</v>
      </c>
      <c r="O779" s="22">
        <f t="shared" si="126"/>
        <v>0</v>
      </c>
      <c r="P779" s="20">
        <f t="shared" si="127"/>
        <v>0</v>
      </c>
      <c r="Q779" s="23">
        <f t="shared" si="107"/>
        <v>4000</v>
      </c>
      <c r="R779" s="20">
        <f t="shared" si="109"/>
        <v>4000</v>
      </c>
      <c r="S779" s="20">
        <f t="shared" si="109"/>
        <v>4000</v>
      </c>
      <c r="T779" s="18">
        <f t="shared" si="128"/>
        <v>4000</v>
      </c>
      <c r="U779" s="18"/>
      <c r="V779" s="25"/>
    </row>
    <row r="780" spans="1:22" ht="24" customHeight="1">
      <c r="A780" s="26"/>
      <c r="B780" s="15"/>
      <c r="C780" s="15"/>
      <c r="D780" s="16">
        <v>777</v>
      </c>
      <c r="E780" s="16" t="s">
        <v>929</v>
      </c>
      <c r="F780" s="16" t="s">
        <v>24</v>
      </c>
      <c r="G780" s="17">
        <v>1</v>
      </c>
      <c r="H780" s="18">
        <v>1</v>
      </c>
      <c r="I780" s="19"/>
      <c r="J780" s="19">
        <v>3500</v>
      </c>
      <c r="K780" s="19"/>
      <c r="L780" s="19">
        <f t="shared" si="108"/>
        <v>1</v>
      </c>
      <c r="M780" s="21">
        <f t="shared" si="124"/>
        <v>1</v>
      </c>
      <c r="N780" s="22">
        <f t="shared" si="125"/>
        <v>1</v>
      </c>
      <c r="O780" s="22">
        <f t="shared" si="126"/>
        <v>0</v>
      </c>
      <c r="P780" s="20">
        <f t="shared" si="127"/>
        <v>0</v>
      </c>
      <c r="Q780" s="23">
        <f t="shared" si="107"/>
        <v>3500</v>
      </c>
      <c r="R780" s="20">
        <f t="shared" si="109"/>
        <v>3500</v>
      </c>
      <c r="S780" s="20">
        <f t="shared" si="109"/>
        <v>3500</v>
      </c>
      <c r="T780" s="18">
        <f t="shared" si="128"/>
        <v>3500</v>
      </c>
      <c r="U780" s="18"/>
      <c r="V780" s="25"/>
    </row>
    <row r="781" spans="1:22" ht="24" customHeight="1">
      <c r="A781" s="26"/>
      <c r="B781" s="15"/>
      <c r="C781" s="15"/>
      <c r="D781" s="16">
        <v>778</v>
      </c>
      <c r="E781" s="50" t="s">
        <v>756</v>
      </c>
      <c r="F781" s="50" t="s">
        <v>24</v>
      </c>
      <c r="G781" s="51">
        <v>1</v>
      </c>
      <c r="H781" s="52">
        <v>1</v>
      </c>
      <c r="I781" s="53"/>
      <c r="J781" s="53">
        <v>2200</v>
      </c>
      <c r="K781" s="19"/>
      <c r="L781" s="19">
        <f t="shared" si="108"/>
        <v>1</v>
      </c>
      <c r="M781" s="21">
        <f t="shared" si="124"/>
        <v>1</v>
      </c>
      <c r="N781" s="22">
        <f t="shared" si="125"/>
        <v>1</v>
      </c>
      <c r="O781" s="22">
        <f t="shared" si="126"/>
        <v>0</v>
      </c>
      <c r="P781" s="20">
        <f t="shared" si="127"/>
        <v>0</v>
      </c>
      <c r="Q781" s="23">
        <f t="shared" si="107"/>
        <v>2200</v>
      </c>
      <c r="R781" s="20">
        <f t="shared" si="109"/>
        <v>2200</v>
      </c>
      <c r="S781" s="20">
        <f t="shared" si="109"/>
        <v>2200</v>
      </c>
      <c r="T781" s="18">
        <f t="shared" si="128"/>
        <v>2200</v>
      </c>
      <c r="U781" s="18"/>
      <c r="V781" s="25"/>
    </row>
    <row r="782" spans="1:22" ht="24" customHeight="1">
      <c r="A782" s="26"/>
      <c r="B782" s="15"/>
      <c r="C782" s="15"/>
      <c r="D782" s="16">
        <v>779</v>
      </c>
      <c r="E782" s="16" t="s">
        <v>757</v>
      </c>
      <c r="F782" s="16" t="s">
        <v>24</v>
      </c>
      <c r="G782" s="17">
        <v>1</v>
      </c>
      <c r="H782" s="18">
        <v>1</v>
      </c>
      <c r="I782" s="19"/>
      <c r="J782" s="19">
        <v>2400</v>
      </c>
      <c r="K782" s="19"/>
      <c r="L782" s="19">
        <f t="shared" si="108"/>
        <v>1</v>
      </c>
      <c r="M782" s="21">
        <f t="shared" si="124"/>
        <v>1</v>
      </c>
      <c r="N782" s="22">
        <f t="shared" si="125"/>
        <v>1</v>
      </c>
      <c r="O782" s="22">
        <f t="shared" si="126"/>
        <v>0</v>
      </c>
      <c r="P782" s="20">
        <f t="shared" si="127"/>
        <v>0</v>
      </c>
      <c r="Q782" s="23">
        <f t="shared" si="107"/>
        <v>2400</v>
      </c>
      <c r="R782" s="20">
        <f t="shared" si="109"/>
        <v>2400</v>
      </c>
      <c r="S782" s="20">
        <f t="shared" si="109"/>
        <v>2400</v>
      </c>
      <c r="T782" s="18">
        <f t="shared" si="128"/>
        <v>2400</v>
      </c>
      <c r="U782" s="18"/>
      <c r="V782" s="25"/>
    </row>
    <row r="783" spans="1:22" ht="24" customHeight="1">
      <c r="A783" s="26"/>
      <c r="B783" s="15"/>
      <c r="C783" s="15"/>
      <c r="D783" s="16">
        <v>780</v>
      </c>
      <c r="E783" s="16" t="s">
        <v>758</v>
      </c>
      <c r="F783" s="16" t="s">
        <v>24</v>
      </c>
      <c r="G783" s="17">
        <v>1</v>
      </c>
      <c r="H783" s="18">
        <v>2</v>
      </c>
      <c r="I783" s="19"/>
      <c r="J783" s="19">
        <v>2800</v>
      </c>
      <c r="K783" s="19"/>
      <c r="L783" s="19">
        <f t="shared" si="108"/>
        <v>2</v>
      </c>
      <c r="M783" s="21">
        <f t="shared" si="124"/>
        <v>2</v>
      </c>
      <c r="N783" s="22">
        <f t="shared" si="125"/>
        <v>2</v>
      </c>
      <c r="O783" s="22">
        <f t="shared" si="126"/>
        <v>0</v>
      </c>
      <c r="P783" s="20">
        <f t="shared" si="127"/>
        <v>0</v>
      </c>
      <c r="Q783" s="23">
        <f t="shared" si="107"/>
        <v>2800</v>
      </c>
      <c r="R783" s="20">
        <f t="shared" si="109"/>
        <v>2800</v>
      </c>
      <c r="S783" s="20">
        <f t="shared" si="109"/>
        <v>2800</v>
      </c>
      <c r="T783" s="18">
        <f t="shared" si="128"/>
        <v>5600</v>
      </c>
      <c r="U783" s="18"/>
      <c r="V783" s="25"/>
    </row>
    <row r="784" spans="1:22" ht="24" customHeight="1">
      <c r="A784" s="26"/>
      <c r="B784" s="15"/>
      <c r="C784" s="15"/>
      <c r="D784" s="16">
        <v>781</v>
      </c>
      <c r="E784" s="16" t="s">
        <v>759</v>
      </c>
      <c r="F784" s="16" t="s">
        <v>24</v>
      </c>
      <c r="G784" s="17">
        <v>1</v>
      </c>
      <c r="H784" s="18">
        <v>1</v>
      </c>
      <c r="I784" s="19"/>
      <c r="J784" s="19">
        <v>4100</v>
      </c>
      <c r="K784" s="19"/>
      <c r="L784" s="19">
        <f t="shared" si="108"/>
        <v>1</v>
      </c>
      <c r="M784" s="21">
        <f t="shared" si="124"/>
        <v>1</v>
      </c>
      <c r="N784" s="22">
        <f t="shared" si="125"/>
        <v>1</v>
      </c>
      <c r="O784" s="22">
        <f t="shared" si="126"/>
        <v>0</v>
      </c>
      <c r="P784" s="20">
        <f t="shared" si="127"/>
        <v>0</v>
      </c>
      <c r="Q784" s="23">
        <f t="shared" si="107"/>
        <v>4100</v>
      </c>
      <c r="R784" s="20">
        <f t="shared" si="109"/>
        <v>4100</v>
      </c>
      <c r="S784" s="20">
        <f t="shared" si="109"/>
        <v>4100</v>
      </c>
      <c r="T784" s="18">
        <f t="shared" si="128"/>
        <v>4100</v>
      </c>
      <c r="U784" s="18"/>
      <c r="V784" s="25"/>
    </row>
    <row r="785" spans="1:22" ht="24" customHeight="1">
      <c r="A785" s="26"/>
      <c r="B785" s="15"/>
      <c r="C785" s="15"/>
      <c r="D785" s="16">
        <v>782</v>
      </c>
      <c r="E785" s="16" t="s">
        <v>760</v>
      </c>
      <c r="F785" s="16" t="s">
        <v>24</v>
      </c>
      <c r="G785" s="17">
        <v>1</v>
      </c>
      <c r="H785" s="18">
        <v>9</v>
      </c>
      <c r="I785" s="19"/>
      <c r="J785" s="19">
        <v>1500</v>
      </c>
      <c r="K785" s="19"/>
      <c r="L785" s="19">
        <f t="shared" si="108"/>
        <v>9</v>
      </c>
      <c r="M785" s="21">
        <f t="shared" si="124"/>
        <v>9</v>
      </c>
      <c r="N785" s="22">
        <f t="shared" si="125"/>
        <v>9</v>
      </c>
      <c r="O785" s="22">
        <f t="shared" si="126"/>
        <v>0</v>
      </c>
      <c r="P785" s="20">
        <f t="shared" si="127"/>
        <v>0</v>
      </c>
      <c r="Q785" s="23">
        <f t="shared" si="107"/>
        <v>1500</v>
      </c>
      <c r="R785" s="20">
        <f t="shared" si="109"/>
        <v>1500</v>
      </c>
      <c r="S785" s="20">
        <f t="shared" si="109"/>
        <v>1500</v>
      </c>
      <c r="T785" s="18">
        <f t="shared" si="128"/>
        <v>13500</v>
      </c>
      <c r="U785" s="18"/>
      <c r="V785" s="25"/>
    </row>
    <row r="786" spans="1:22" ht="24" customHeight="1">
      <c r="A786" s="26"/>
      <c r="B786" s="15"/>
      <c r="C786" s="15"/>
      <c r="D786" s="16">
        <v>783</v>
      </c>
      <c r="E786" s="16" t="s">
        <v>761</v>
      </c>
      <c r="F786" s="16" t="s">
        <v>24</v>
      </c>
      <c r="G786" s="17">
        <v>1</v>
      </c>
      <c r="H786" s="18">
        <v>8</v>
      </c>
      <c r="I786" s="19"/>
      <c r="J786" s="19">
        <v>1850</v>
      </c>
      <c r="K786" s="19"/>
      <c r="L786" s="19">
        <f t="shared" si="108"/>
        <v>8</v>
      </c>
      <c r="M786" s="21">
        <f t="shared" si="124"/>
        <v>8</v>
      </c>
      <c r="N786" s="22">
        <f t="shared" si="125"/>
        <v>8</v>
      </c>
      <c r="O786" s="22">
        <f t="shared" si="126"/>
        <v>0</v>
      </c>
      <c r="P786" s="20">
        <f t="shared" si="127"/>
        <v>0</v>
      </c>
      <c r="Q786" s="23">
        <f t="shared" si="107"/>
        <v>1850</v>
      </c>
      <c r="R786" s="20">
        <f t="shared" si="109"/>
        <v>1850</v>
      </c>
      <c r="S786" s="20">
        <f t="shared" si="109"/>
        <v>1850</v>
      </c>
      <c r="T786" s="18">
        <f t="shared" si="128"/>
        <v>14800</v>
      </c>
      <c r="U786" s="18"/>
      <c r="V786" s="25"/>
    </row>
    <row r="787" spans="1:22" ht="24" customHeight="1">
      <c r="A787" s="26"/>
      <c r="B787" s="15"/>
      <c r="C787" s="15"/>
      <c r="D787" s="16">
        <v>784</v>
      </c>
      <c r="E787" s="16" t="s">
        <v>762</v>
      </c>
      <c r="F787" s="16" t="s">
        <v>24</v>
      </c>
      <c r="G787" s="17">
        <v>12</v>
      </c>
      <c r="H787" s="18">
        <v>9</v>
      </c>
      <c r="I787" s="19">
        <v>26</v>
      </c>
      <c r="J787" s="19">
        <v>80</v>
      </c>
      <c r="K787" s="19">
        <v>960</v>
      </c>
      <c r="L787" s="19">
        <f t="shared" si="108"/>
        <v>321</v>
      </c>
      <c r="M787" s="21">
        <f t="shared" si="124"/>
        <v>26.75</v>
      </c>
      <c r="N787" s="22">
        <f t="shared" si="125"/>
        <v>9</v>
      </c>
      <c r="O787" s="22">
        <f t="shared" si="126"/>
        <v>26</v>
      </c>
      <c r="P787" s="20">
        <f t="shared" si="127"/>
        <v>80</v>
      </c>
      <c r="Q787" s="23">
        <f t="shared" si="107"/>
        <v>960</v>
      </c>
      <c r="R787" s="20">
        <f t="shared" si="109"/>
        <v>80</v>
      </c>
      <c r="S787" s="20">
        <f t="shared" si="109"/>
        <v>960</v>
      </c>
      <c r="T787" s="18">
        <f t="shared" si="128"/>
        <v>25680</v>
      </c>
      <c r="U787" s="18"/>
      <c r="V787" s="25"/>
    </row>
    <row r="788" spans="1:22" ht="24" customHeight="1">
      <c r="A788" s="26"/>
      <c r="B788" s="15"/>
      <c r="C788" s="15"/>
      <c r="D788" s="16">
        <v>785</v>
      </c>
      <c r="E788" s="16" t="s">
        <v>763</v>
      </c>
      <c r="F788" s="16" t="s">
        <v>24</v>
      </c>
      <c r="G788" s="17">
        <v>12</v>
      </c>
      <c r="H788" s="18">
        <v>9</v>
      </c>
      <c r="I788" s="19">
        <v>5</v>
      </c>
      <c r="J788" s="19">
        <v>20</v>
      </c>
      <c r="K788" s="19">
        <v>240</v>
      </c>
      <c r="L788" s="19">
        <f t="shared" si="108"/>
        <v>69</v>
      </c>
      <c r="M788" s="21">
        <f t="shared" si="124"/>
        <v>5.75</v>
      </c>
      <c r="N788" s="22">
        <f t="shared" si="125"/>
        <v>9</v>
      </c>
      <c r="O788" s="22">
        <f t="shared" si="126"/>
        <v>5</v>
      </c>
      <c r="P788" s="20">
        <f t="shared" si="127"/>
        <v>20</v>
      </c>
      <c r="Q788" s="23">
        <f t="shared" si="107"/>
        <v>240</v>
      </c>
      <c r="R788" s="20">
        <f t="shared" si="109"/>
        <v>20</v>
      </c>
      <c r="S788" s="20">
        <f t="shared" si="109"/>
        <v>240</v>
      </c>
      <c r="T788" s="18">
        <f t="shared" si="128"/>
        <v>1380</v>
      </c>
      <c r="U788" s="18"/>
      <c r="V788" s="25"/>
    </row>
    <row r="789" spans="1:22" ht="24" customHeight="1">
      <c r="A789" s="26"/>
      <c r="B789" s="15"/>
      <c r="C789" s="15"/>
      <c r="D789" s="16">
        <v>786</v>
      </c>
      <c r="E789" s="16" t="s">
        <v>764</v>
      </c>
      <c r="F789" s="16" t="s">
        <v>24</v>
      </c>
      <c r="G789" s="17">
        <v>12</v>
      </c>
      <c r="H789" s="18">
        <v>23</v>
      </c>
      <c r="I789" s="19"/>
      <c r="J789" s="19">
        <v>80</v>
      </c>
      <c r="K789" s="19"/>
      <c r="L789" s="19">
        <f t="shared" si="108"/>
        <v>23</v>
      </c>
      <c r="M789" s="21">
        <f t="shared" si="124"/>
        <v>1.9166666666666667</v>
      </c>
      <c r="N789" s="22">
        <f t="shared" si="125"/>
        <v>11</v>
      </c>
      <c r="O789" s="22">
        <f t="shared" si="126"/>
        <v>1</v>
      </c>
      <c r="P789" s="20">
        <f t="shared" si="127"/>
        <v>0</v>
      </c>
      <c r="Q789" s="23">
        <f t="shared" si="107"/>
        <v>960</v>
      </c>
      <c r="R789" s="20">
        <f t="shared" si="109"/>
        <v>80</v>
      </c>
      <c r="S789" s="20">
        <f t="shared" si="109"/>
        <v>960</v>
      </c>
      <c r="T789" s="18">
        <f t="shared" si="128"/>
        <v>1840</v>
      </c>
      <c r="U789" s="18"/>
      <c r="V789" s="25"/>
    </row>
    <row r="790" spans="1:22" ht="24" customHeight="1">
      <c r="A790" s="26"/>
      <c r="B790" s="15"/>
      <c r="C790" s="15"/>
      <c r="D790" s="16">
        <v>787</v>
      </c>
      <c r="E790" s="16" t="s">
        <v>765</v>
      </c>
      <c r="F790" s="16" t="s">
        <v>24</v>
      </c>
      <c r="G790" s="17">
        <v>1</v>
      </c>
      <c r="H790" s="18">
        <v>22</v>
      </c>
      <c r="I790" s="19"/>
      <c r="J790" s="19">
        <v>120</v>
      </c>
      <c r="K790" s="19"/>
      <c r="L790" s="19">
        <f t="shared" si="108"/>
        <v>22</v>
      </c>
      <c r="M790" s="21">
        <f t="shared" si="124"/>
        <v>22</v>
      </c>
      <c r="N790" s="22">
        <f t="shared" si="125"/>
        <v>22</v>
      </c>
      <c r="O790" s="22">
        <f t="shared" si="126"/>
        <v>0</v>
      </c>
      <c r="P790" s="20">
        <f t="shared" si="127"/>
        <v>0</v>
      </c>
      <c r="Q790" s="23">
        <f t="shared" si="107"/>
        <v>120</v>
      </c>
      <c r="R790" s="20">
        <f t="shared" si="109"/>
        <v>120</v>
      </c>
      <c r="S790" s="20">
        <f t="shared" si="109"/>
        <v>120</v>
      </c>
      <c r="T790" s="18">
        <f t="shared" si="128"/>
        <v>2640</v>
      </c>
      <c r="U790" s="18"/>
      <c r="V790" s="25"/>
    </row>
    <row r="791" spans="1:22" ht="24" customHeight="1">
      <c r="A791" s="26"/>
      <c r="B791" s="15"/>
      <c r="C791" s="15"/>
      <c r="D791" s="16">
        <v>788</v>
      </c>
      <c r="E791" s="16" t="s">
        <v>766</v>
      </c>
      <c r="F791" s="16" t="s">
        <v>24</v>
      </c>
      <c r="G791" s="17">
        <v>12</v>
      </c>
      <c r="H791" s="18">
        <v>11</v>
      </c>
      <c r="I791" s="19">
        <v>6</v>
      </c>
      <c r="J791" s="19">
        <v>25</v>
      </c>
      <c r="K791" s="19">
        <v>300</v>
      </c>
      <c r="L791" s="19">
        <f t="shared" si="108"/>
        <v>83</v>
      </c>
      <c r="M791" s="21">
        <f t="shared" si="124"/>
        <v>6.916666666666667</v>
      </c>
      <c r="N791" s="22">
        <f t="shared" si="125"/>
        <v>11.000000000000004</v>
      </c>
      <c r="O791" s="22">
        <f t="shared" si="126"/>
        <v>6</v>
      </c>
      <c r="P791" s="20">
        <f t="shared" si="127"/>
        <v>25</v>
      </c>
      <c r="Q791" s="23">
        <f t="shared" si="107"/>
        <v>300</v>
      </c>
      <c r="R791" s="20">
        <f t="shared" si="109"/>
        <v>25</v>
      </c>
      <c r="S791" s="20">
        <f t="shared" si="109"/>
        <v>300</v>
      </c>
      <c r="T791" s="18">
        <f t="shared" si="128"/>
        <v>2075</v>
      </c>
      <c r="U791" s="18"/>
      <c r="V791" s="25"/>
    </row>
    <row r="792" spans="1:22" ht="24" customHeight="1">
      <c r="A792" s="26"/>
      <c r="B792" s="15"/>
      <c r="C792" s="15"/>
      <c r="D792" s="16">
        <v>789</v>
      </c>
      <c r="E792" s="16" t="s">
        <v>767</v>
      </c>
      <c r="F792" s="16" t="s">
        <v>24</v>
      </c>
      <c r="G792" s="17">
        <v>24</v>
      </c>
      <c r="H792" s="18">
        <v>1</v>
      </c>
      <c r="I792" s="19">
        <v>5</v>
      </c>
      <c r="J792" s="19">
        <v>140</v>
      </c>
      <c r="K792" s="19">
        <v>140</v>
      </c>
      <c r="L792" s="19">
        <f t="shared" si="108"/>
        <v>121</v>
      </c>
      <c r="M792" s="21">
        <f t="shared" si="124"/>
        <v>5.041666666666667</v>
      </c>
      <c r="N792" s="22">
        <f t="shared" si="125"/>
        <v>1.0000000000000071</v>
      </c>
      <c r="O792" s="22">
        <f t="shared" si="126"/>
        <v>5</v>
      </c>
      <c r="P792" s="20">
        <f t="shared" si="127"/>
        <v>5.833333333333333</v>
      </c>
      <c r="Q792" s="23">
        <f t="shared" si="107"/>
        <v>3360</v>
      </c>
      <c r="R792" s="20">
        <f t="shared" si="109"/>
        <v>140</v>
      </c>
      <c r="S792" s="20">
        <f t="shared" si="109"/>
        <v>140</v>
      </c>
      <c r="T792" s="18">
        <f t="shared" si="128"/>
        <v>840</v>
      </c>
      <c r="U792" s="18"/>
      <c r="V792" s="25"/>
    </row>
    <row r="793" spans="1:22" ht="24" customHeight="1">
      <c r="A793" s="26"/>
      <c r="B793" s="15"/>
      <c r="C793" s="15"/>
      <c r="D793" s="16">
        <v>790</v>
      </c>
      <c r="E793" s="16" t="s">
        <v>768</v>
      </c>
      <c r="F793" s="16" t="s">
        <v>24</v>
      </c>
      <c r="G793" s="17">
        <v>24</v>
      </c>
      <c r="H793" s="18">
        <v>12</v>
      </c>
      <c r="I793" s="19">
        <v>5</v>
      </c>
      <c r="J793" s="19">
        <v>60</v>
      </c>
      <c r="K793" s="19">
        <v>750</v>
      </c>
      <c r="L793" s="19">
        <f t="shared" si="108"/>
        <v>132</v>
      </c>
      <c r="M793" s="21">
        <f t="shared" si="124"/>
        <v>5.5</v>
      </c>
      <c r="N793" s="22">
        <f t="shared" si="125"/>
        <v>12</v>
      </c>
      <c r="O793" s="22">
        <f t="shared" si="126"/>
        <v>5</v>
      </c>
      <c r="P793" s="20">
        <f t="shared" si="127"/>
        <v>31.25</v>
      </c>
      <c r="Q793" s="23">
        <f t="shared" si="107"/>
        <v>1440</v>
      </c>
      <c r="R793" s="20">
        <f t="shared" si="109"/>
        <v>60</v>
      </c>
      <c r="S793" s="20">
        <f t="shared" si="109"/>
        <v>750</v>
      </c>
      <c r="T793" s="18">
        <f t="shared" si="128"/>
        <v>4470</v>
      </c>
      <c r="U793" s="18"/>
      <c r="V793" s="25"/>
    </row>
    <row r="794" spans="1:22" ht="24" customHeight="1">
      <c r="A794" s="26"/>
      <c r="B794" s="15"/>
      <c r="C794" s="15"/>
      <c r="D794" s="16">
        <v>791</v>
      </c>
      <c r="E794" s="16" t="s">
        <v>769</v>
      </c>
      <c r="F794" s="16" t="s">
        <v>24</v>
      </c>
      <c r="G794" s="17">
        <v>1</v>
      </c>
      <c r="H794" s="18">
        <v>33</v>
      </c>
      <c r="I794" s="19"/>
      <c r="J794" s="19">
        <v>80</v>
      </c>
      <c r="K794" s="19"/>
      <c r="L794" s="19">
        <f t="shared" si="108"/>
        <v>33</v>
      </c>
      <c r="M794" s="21">
        <f t="shared" si="124"/>
        <v>33</v>
      </c>
      <c r="N794" s="22">
        <f t="shared" si="125"/>
        <v>33</v>
      </c>
      <c r="O794" s="22">
        <f t="shared" si="126"/>
        <v>0</v>
      </c>
      <c r="P794" s="20">
        <f t="shared" si="127"/>
        <v>0</v>
      </c>
      <c r="Q794" s="23">
        <f t="shared" si="107"/>
        <v>80</v>
      </c>
      <c r="R794" s="20">
        <f t="shared" si="109"/>
        <v>80</v>
      </c>
      <c r="S794" s="20">
        <f t="shared" si="109"/>
        <v>80</v>
      </c>
      <c r="T794" s="18">
        <f t="shared" si="128"/>
        <v>2640</v>
      </c>
      <c r="U794" s="18"/>
      <c r="V794" s="25"/>
    </row>
    <row r="795" spans="1:22" ht="24" customHeight="1">
      <c r="A795" s="26"/>
      <c r="B795" s="15"/>
      <c r="C795" s="15"/>
      <c r="D795" s="16">
        <v>792</v>
      </c>
      <c r="E795" s="16" t="s">
        <v>951</v>
      </c>
      <c r="F795" s="16" t="s">
        <v>24</v>
      </c>
      <c r="G795" s="17">
        <v>1</v>
      </c>
      <c r="H795" s="18">
        <v>44</v>
      </c>
      <c r="I795" s="19"/>
      <c r="J795" s="19">
        <v>70</v>
      </c>
      <c r="K795" s="19"/>
      <c r="L795" s="19">
        <f t="shared" si="108"/>
        <v>44</v>
      </c>
      <c r="M795" s="21">
        <f t="shared" si="124"/>
        <v>44</v>
      </c>
      <c r="N795" s="22">
        <f t="shared" si="125"/>
        <v>44</v>
      </c>
      <c r="O795" s="22">
        <f t="shared" si="126"/>
        <v>0</v>
      </c>
      <c r="P795" s="20">
        <f t="shared" si="127"/>
        <v>0</v>
      </c>
      <c r="Q795" s="23">
        <f t="shared" si="107"/>
        <v>70</v>
      </c>
      <c r="R795" s="20">
        <f t="shared" si="109"/>
        <v>70</v>
      </c>
      <c r="S795" s="20">
        <f t="shared" si="109"/>
        <v>70</v>
      </c>
      <c r="T795" s="18">
        <f t="shared" si="128"/>
        <v>3080</v>
      </c>
      <c r="U795" s="18"/>
      <c r="V795" s="25"/>
    </row>
    <row r="796" spans="1:22" ht="24" customHeight="1">
      <c r="A796" s="26"/>
      <c r="B796" s="15"/>
      <c r="C796" s="15"/>
      <c r="D796" s="16">
        <v>793</v>
      </c>
      <c r="E796" s="16" t="s">
        <v>933</v>
      </c>
      <c r="F796" s="16" t="s">
        <v>24</v>
      </c>
      <c r="G796" s="17">
        <v>1</v>
      </c>
      <c r="H796" s="18">
        <v>1</v>
      </c>
      <c r="I796" s="19"/>
      <c r="J796" s="19">
        <v>1500</v>
      </c>
      <c r="K796" s="19"/>
      <c r="L796" s="19">
        <f t="shared" si="108"/>
        <v>1</v>
      </c>
      <c r="M796" s="21">
        <f t="shared" si="124"/>
        <v>1</v>
      </c>
      <c r="N796" s="22">
        <f t="shared" si="125"/>
        <v>1</v>
      </c>
      <c r="O796" s="22">
        <f t="shared" si="126"/>
        <v>0</v>
      </c>
      <c r="P796" s="20">
        <f t="shared" si="127"/>
        <v>0</v>
      </c>
      <c r="Q796" s="23">
        <f t="shared" si="107"/>
        <v>1500</v>
      </c>
      <c r="R796" s="20">
        <f t="shared" si="109"/>
        <v>1500</v>
      </c>
      <c r="S796" s="20">
        <f t="shared" si="109"/>
        <v>1500</v>
      </c>
      <c r="T796" s="18">
        <f t="shared" si="128"/>
        <v>1500</v>
      </c>
      <c r="U796" s="18"/>
      <c r="V796" s="25"/>
    </row>
    <row r="797" spans="1:22" ht="24" customHeight="1">
      <c r="A797" s="26"/>
      <c r="B797" s="15"/>
      <c r="C797" s="15"/>
      <c r="D797" s="16">
        <v>794</v>
      </c>
      <c r="E797" s="16" t="s">
        <v>934</v>
      </c>
      <c r="F797" s="16" t="s">
        <v>24</v>
      </c>
      <c r="G797" s="17">
        <v>1</v>
      </c>
      <c r="H797" s="18">
        <v>1</v>
      </c>
      <c r="I797" s="19"/>
      <c r="J797" s="19">
        <v>1800</v>
      </c>
      <c r="K797" s="19"/>
      <c r="L797" s="19">
        <f t="shared" si="108"/>
        <v>1</v>
      </c>
      <c r="M797" s="21">
        <f t="shared" si="124"/>
        <v>1</v>
      </c>
      <c r="N797" s="22">
        <f t="shared" si="125"/>
        <v>1</v>
      </c>
      <c r="O797" s="22">
        <f t="shared" si="126"/>
        <v>0</v>
      </c>
      <c r="P797" s="20">
        <f t="shared" si="127"/>
        <v>0</v>
      </c>
      <c r="Q797" s="23">
        <f t="shared" ref="Q797:Q860" si="129">IFERROR(J797*G797,"")</f>
        <v>1800</v>
      </c>
      <c r="R797" s="20">
        <f t="shared" si="109"/>
        <v>1800</v>
      </c>
      <c r="S797" s="20">
        <f t="shared" si="109"/>
        <v>1800</v>
      </c>
      <c r="T797" s="18">
        <f t="shared" si="128"/>
        <v>1800</v>
      </c>
      <c r="U797" s="18"/>
      <c r="V797" s="25"/>
    </row>
    <row r="798" spans="1:22" ht="24" customHeight="1">
      <c r="A798" s="26"/>
      <c r="B798" s="15"/>
      <c r="C798" s="15"/>
      <c r="D798" s="16">
        <v>795</v>
      </c>
      <c r="E798" s="16" t="s">
        <v>935</v>
      </c>
      <c r="F798" s="16" t="s">
        <v>24</v>
      </c>
      <c r="G798" s="17">
        <v>1</v>
      </c>
      <c r="H798" s="18">
        <v>1</v>
      </c>
      <c r="I798" s="19"/>
      <c r="J798" s="19">
        <v>2800</v>
      </c>
      <c r="K798" s="19"/>
      <c r="L798" s="19">
        <f t="shared" si="108"/>
        <v>1</v>
      </c>
      <c r="M798" s="21">
        <f t="shared" si="124"/>
        <v>1</v>
      </c>
      <c r="N798" s="22">
        <f t="shared" si="125"/>
        <v>1</v>
      </c>
      <c r="O798" s="22">
        <f t="shared" si="126"/>
        <v>0</v>
      </c>
      <c r="P798" s="20">
        <f t="shared" si="127"/>
        <v>0</v>
      </c>
      <c r="Q798" s="23">
        <f t="shared" si="129"/>
        <v>2800</v>
      </c>
      <c r="R798" s="20">
        <f t="shared" si="109"/>
        <v>2800</v>
      </c>
      <c r="S798" s="20">
        <f t="shared" si="109"/>
        <v>2800</v>
      </c>
      <c r="T798" s="18">
        <f t="shared" si="128"/>
        <v>2800</v>
      </c>
      <c r="U798" s="18"/>
      <c r="V798" s="25"/>
    </row>
    <row r="799" spans="1:22" ht="24" customHeight="1">
      <c r="A799" s="26"/>
      <c r="B799" s="15"/>
      <c r="C799" s="15"/>
      <c r="D799" s="16">
        <v>796</v>
      </c>
      <c r="E799" s="16" t="s">
        <v>936</v>
      </c>
      <c r="F799" s="16" t="s">
        <v>24</v>
      </c>
      <c r="G799" s="17">
        <v>1</v>
      </c>
      <c r="H799" s="18">
        <v>1</v>
      </c>
      <c r="I799" s="19"/>
      <c r="J799" s="19">
        <v>2800</v>
      </c>
      <c r="K799" s="19"/>
      <c r="L799" s="19">
        <f t="shared" si="108"/>
        <v>1</v>
      </c>
      <c r="M799" s="21">
        <f t="shared" si="124"/>
        <v>1</v>
      </c>
      <c r="N799" s="22">
        <f t="shared" si="125"/>
        <v>1</v>
      </c>
      <c r="O799" s="22">
        <f t="shared" si="126"/>
        <v>0</v>
      </c>
      <c r="P799" s="20">
        <f t="shared" si="127"/>
        <v>0</v>
      </c>
      <c r="Q799" s="23">
        <f t="shared" si="129"/>
        <v>2800</v>
      </c>
      <c r="R799" s="20">
        <f t="shared" si="109"/>
        <v>2800</v>
      </c>
      <c r="S799" s="20">
        <f t="shared" si="109"/>
        <v>2800</v>
      </c>
      <c r="T799" s="18">
        <f t="shared" si="128"/>
        <v>2800</v>
      </c>
      <c r="U799" s="18"/>
      <c r="V799" s="25"/>
    </row>
    <row r="800" spans="1:22" ht="24" customHeight="1">
      <c r="A800" s="26"/>
      <c r="B800" s="15"/>
      <c r="C800" s="15"/>
      <c r="D800" s="16">
        <v>797</v>
      </c>
      <c r="E800" s="16" t="s">
        <v>937</v>
      </c>
      <c r="F800" s="16" t="s">
        <v>24</v>
      </c>
      <c r="G800" s="17">
        <v>1</v>
      </c>
      <c r="H800" s="18">
        <v>1</v>
      </c>
      <c r="I800" s="19"/>
      <c r="J800" s="19">
        <v>3500</v>
      </c>
      <c r="K800" s="19"/>
      <c r="L800" s="19">
        <f t="shared" si="108"/>
        <v>1</v>
      </c>
      <c r="M800" s="21">
        <f t="shared" si="124"/>
        <v>1</v>
      </c>
      <c r="N800" s="22">
        <f t="shared" si="125"/>
        <v>1</v>
      </c>
      <c r="O800" s="22">
        <f t="shared" si="126"/>
        <v>0</v>
      </c>
      <c r="P800" s="20">
        <f t="shared" si="127"/>
        <v>0</v>
      </c>
      <c r="Q800" s="23">
        <f t="shared" si="129"/>
        <v>3500</v>
      </c>
      <c r="R800" s="20">
        <f t="shared" si="109"/>
        <v>3500</v>
      </c>
      <c r="S800" s="20">
        <f t="shared" si="109"/>
        <v>3500</v>
      </c>
      <c r="T800" s="18">
        <f t="shared" si="128"/>
        <v>3500</v>
      </c>
      <c r="U800" s="18"/>
      <c r="V800" s="25"/>
    </row>
    <row r="801" spans="1:22" ht="24" customHeight="1">
      <c r="A801" s="26"/>
      <c r="B801" s="15"/>
      <c r="C801" s="15"/>
      <c r="D801" s="16">
        <v>798</v>
      </c>
      <c r="E801" s="16" t="s">
        <v>938</v>
      </c>
      <c r="F801" s="16" t="s">
        <v>24</v>
      </c>
      <c r="G801" s="17">
        <v>1</v>
      </c>
      <c r="H801" s="18">
        <v>1</v>
      </c>
      <c r="I801" s="19"/>
      <c r="J801" s="19">
        <v>700</v>
      </c>
      <c r="K801" s="19"/>
      <c r="L801" s="19">
        <f t="shared" si="108"/>
        <v>1</v>
      </c>
      <c r="M801" s="21">
        <f t="shared" si="124"/>
        <v>1</v>
      </c>
      <c r="N801" s="22">
        <f t="shared" si="125"/>
        <v>1</v>
      </c>
      <c r="O801" s="22">
        <f t="shared" si="126"/>
        <v>0</v>
      </c>
      <c r="P801" s="20">
        <f t="shared" si="127"/>
        <v>0</v>
      </c>
      <c r="Q801" s="23">
        <f t="shared" si="129"/>
        <v>700</v>
      </c>
      <c r="R801" s="20">
        <f t="shared" si="109"/>
        <v>700</v>
      </c>
      <c r="S801" s="20">
        <f t="shared" si="109"/>
        <v>700</v>
      </c>
      <c r="T801" s="18">
        <f t="shared" si="128"/>
        <v>700</v>
      </c>
      <c r="U801" s="18"/>
      <c r="V801" s="25"/>
    </row>
    <row r="802" spans="1:22" ht="24" customHeight="1">
      <c r="A802" s="26"/>
      <c r="B802" s="15"/>
      <c r="C802" s="15"/>
      <c r="D802" s="16">
        <v>799</v>
      </c>
      <c r="E802" s="16" t="s">
        <v>939</v>
      </c>
      <c r="F802" s="16" t="s">
        <v>24</v>
      </c>
      <c r="G802" s="17">
        <v>1</v>
      </c>
      <c r="H802" s="18">
        <v>1</v>
      </c>
      <c r="I802" s="19"/>
      <c r="J802" s="19">
        <v>2300</v>
      </c>
      <c r="K802" s="19"/>
      <c r="L802" s="19">
        <f t="shared" si="108"/>
        <v>1</v>
      </c>
      <c r="M802" s="21">
        <f t="shared" si="124"/>
        <v>1</v>
      </c>
      <c r="N802" s="22">
        <f t="shared" si="125"/>
        <v>1</v>
      </c>
      <c r="O802" s="22">
        <f t="shared" si="126"/>
        <v>0</v>
      </c>
      <c r="P802" s="20">
        <f t="shared" si="127"/>
        <v>0</v>
      </c>
      <c r="Q802" s="23">
        <f t="shared" si="129"/>
        <v>2300</v>
      </c>
      <c r="R802" s="20">
        <f t="shared" si="109"/>
        <v>2300</v>
      </c>
      <c r="S802" s="20">
        <f t="shared" si="109"/>
        <v>2300</v>
      </c>
      <c r="T802" s="18">
        <f t="shared" si="128"/>
        <v>2300</v>
      </c>
      <c r="U802" s="18"/>
      <c r="V802" s="25"/>
    </row>
    <row r="803" spans="1:22" ht="24" customHeight="1">
      <c r="A803" s="26"/>
      <c r="B803" s="15"/>
      <c r="C803" s="15"/>
      <c r="D803" s="16">
        <v>800</v>
      </c>
      <c r="E803" s="16" t="s">
        <v>940</v>
      </c>
      <c r="F803" s="16" t="s">
        <v>24</v>
      </c>
      <c r="G803" s="17">
        <v>1</v>
      </c>
      <c r="H803" s="18">
        <v>1</v>
      </c>
      <c r="I803" s="19"/>
      <c r="J803" s="19">
        <v>2300</v>
      </c>
      <c r="K803" s="19"/>
      <c r="L803" s="19">
        <f t="shared" si="108"/>
        <v>1</v>
      </c>
      <c r="M803" s="21">
        <f t="shared" si="124"/>
        <v>1</v>
      </c>
      <c r="N803" s="22">
        <f t="shared" si="125"/>
        <v>1</v>
      </c>
      <c r="O803" s="22">
        <f t="shared" si="126"/>
        <v>0</v>
      </c>
      <c r="P803" s="20">
        <f t="shared" si="127"/>
        <v>0</v>
      </c>
      <c r="Q803" s="23">
        <f t="shared" si="129"/>
        <v>2300</v>
      </c>
      <c r="R803" s="20">
        <f t="shared" si="109"/>
        <v>2300</v>
      </c>
      <c r="S803" s="20">
        <f t="shared" si="109"/>
        <v>2300</v>
      </c>
      <c r="T803" s="18">
        <f t="shared" si="128"/>
        <v>2300</v>
      </c>
      <c r="U803" s="18"/>
      <c r="V803" s="25"/>
    </row>
    <row r="804" spans="1:22" ht="24" customHeight="1">
      <c r="A804" s="26"/>
      <c r="B804" s="15"/>
      <c r="C804" s="15"/>
      <c r="D804" s="16">
        <v>801</v>
      </c>
      <c r="E804" s="16" t="s">
        <v>941</v>
      </c>
      <c r="F804" s="16" t="s">
        <v>24</v>
      </c>
      <c r="G804" s="17">
        <v>1</v>
      </c>
      <c r="H804" s="18">
        <v>1</v>
      </c>
      <c r="I804" s="19"/>
      <c r="J804" s="19">
        <v>1800</v>
      </c>
      <c r="K804" s="19"/>
      <c r="L804" s="19">
        <f t="shared" si="108"/>
        <v>1</v>
      </c>
      <c r="M804" s="21">
        <f t="shared" si="124"/>
        <v>1</v>
      </c>
      <c r="N804" s="22">
        <f t="shared" si="125"/>
        <v>1</v>
      </c>
      <c r="O804" s="22">
        <f t="shared" si="126"/>
        <v>0</v>
      </c>
      <c r="P804" s="20">
        <f t="shared" si="127"/>
        <v>0</v>
      </c>
      <c r="Q804" s="23">
        <f t="shared" si="129"/>
        <v>1800</v>
      </c>
      <c r="R804" s="20">
        <f t="shared" si="109"/>
        <v>1800</v>
      </c>
      <c r="S804" s="20">
        <f t="shared" si="109"/>
        <v>1800</v>
      </c>
      <c r="T804" s="18">
        <f t="shared" si="128"/>
        <v>1800</v>
      </c>
      <c r="U804" s="18"/>
      <c r="V804" s="25"/>
    </row>
    <row r="805" spans="1:22" ht="24" customHeight="1">
      <c r="A805" s="26"/>
      <c r="B805" s="15"/>
      <c r="C805" s="15"/>
      <c r="D805" s="16">
        <v>802</v>
      </c>
      <c r="E805" s="16" t="s">
        <v>942</v>
      </c>
      <c r="F805" s="16" t="s">
        <v>24</v>
      </c>
      <c r="G805" s="17">
        <v>1</v>
      </c>
      <c r="H805" s="18">
        <v>1</v>
      </c>
      <c r="I805" s="19"/>
      <c r="J805" s="19">
        <v>2300</v>
      </c>
      <c r="K805" s="19"/>
      <c r="L805" s="19">
        <f t="shared" si="108"/>
        <v>1</v>
      </c>
      <c r="M805" s="21">
        <f t="shared" si="124"/>
        <v>1</v>
      </c>
      <c r="N805" s="22">
        <f t="shared" si="125"/>
        <v>1</v>
      </c>
      <c r="O805" s="22">
        <f t="shared" si="126"/>
        <v>0</v>
      </c>
      <c r="P805" s="20">
        <f t="shared" si="127"/>
        <v>0</v>
      </c>
      <c r="Q805" s="23">
        <f t="shared" si="129"/>
        <v>2300</v>
      </c>
      <c r="R805" s="20">
        <f t="shared" si="109"/>
        <v>2300</v>
      </c>
      <c r="S805" s="20">
        <f t="shared" si="109"/>
        <v>2300</v>
      </c>
      <c r="T805" s="18">
        <f t="shared" si="128"/>
        <v>2300</v>
      </c>
      <c r="U805" s="18"/>
      <c r="V805" s="25"/>
    </row>
    <row r="806" spans="1:22" ht="24" customHeight="1">
      <c r="A806" s="26"/>
      <c r="B806" s="15"/>
      <c r="C806" s="15"/>
      <c r="D806" s="16">
        <v>803</v>
      </c>
      <c r="E806" s="16" t="s">
        <v>943</v>
      </c>
      <c r="F806" s="16" t="s">
        <v>24</v>
      </c>
      <c r="G806" s="17">
        <v>1</v>
      </c>
      <c r="H806" s="18">
        <v>1</v>
      </c>
      <c r="I806" s="19"/>
      <c r="J806" s="19">
        <v>1500</v>
      </c>
      <c r="K806" s="19"/>
      <c r="L806" s="19">
        <f t="shared" ref="L806:L869" si="130">I806*G806+H806</f>
        <v>1</v>
      </c>
      <c r="M806" s="21">
        <f t="shared" si="124"/>
        <v>1</v>
      </c>
      <c r="N806" s="22">
        <f t="shared" si="125"/>
        <v>1</v>
      </c>
      <c r="O806" s="22">
        <f t="shared" si="126"/>
        <v>0</v>
      </c>
      <c r="P806" s="20">
        <f t="shared" si="127"/>
        <v>0</v>
      </c>
      <c r="Q806" s="23">
        <f t="shared" si="129"/>
        <v>1500</v>
      </c>
      <c r="R806" s="20">
        <f t="shared" si="109"/>
        <v>1500</v>
      </c>
      <c r="S806" s="20">
        <f t="shared" si="109"/>
        <v>1500</v>
      </c>
      <c r="T806" s="18">
        <f t="shared" si="128"/>
        <v>1500</v>
      </c>
      <c r="U806" s="18"/>
      <c r="V806" s="25"/>
    </row>
    <row r="807" spans="1:22" ht="24" customHeight="1">
      <c r="A807" s="26"/>
      <c r="B807" s="15"/>
      <c r="C807" s="15"/>
      <c r="D807" s="16">
        <v>804</v>
      </c>
      <c r="E807" s="16" t="s">
        <v>944</v>
      </c>
      <c r="F807" s="16" t="s">
        <v>24</v>
      </c>
      <c r="G807" s="17">
        <v>1</v>
      </c>
      <c r="H807" s="18">
        <v>1</v>
      </c>
      <c r="I807" s="19"/>
      <c r="J807" s="19">
        <v>2300</v>
      </c>
      <c r="K807" s="19"/>
      <c r="L807" s="19">
        <f t="shared" si="130"/>
        <v>1</v>
      </c>
      <c r="M807" s="21">
        <f t="shared" si="124"/>
        <v>1</v>
      </c>
      <c r="N807" s="22">
        <f t="shared" si="125"/>
        <v>1</v>
      </c>
      <c r="O807" s="22">
        <f t="shared" si="126"/>
        <v>0</v>
      </c>
      <c r="P807" s="20">
        <f t="shared" si="127"/>
        <v>0</v>
      </c>
      <c r="Q807" s="23">
        <f t="shared" si="129"/>
        <v>2300</v>
      </c>
      <c r="R807" s="20">
        <f t="shared" si="109"/>
        <v>2300</v>
      </c>
      <c r="S807" s="20">
        <f t="shared" si="109"/>
        <v>2300</v>
      </c>
      <c r="T807" s="18">
        <f t="shared" si="128"/>
        <v>2300</v>
      </c>
      <c r="U807" s="18"/>
      <c r="V807" s="25"/>
    </row>
    <row r="808" spans="1:22" ht="24" customHeight="1">
      <c r="A808" s="26"/>
      <c r="B808" s="15"/>
      <c r="C808" s="15"/>
      <c r="D808" s="16">
        <v>805</v>
      </c>
      <c r="E808" s="16" t="s">
        <v>945</v>
      </c>
      <c r="F808" s="16" t="s">
        <v>24</v>
      </c>
      <c r="G808" s="17">
        <v>1</v>
      </c>
      <c r="H808" s="18">
        <v>1</v>
      </c>
      <c r="I808" s="19"/>
      <c r="J808" s="19">
        <v>1800</v>
      </c>
      <c r="K808" s="19"/>
      <c r="L808" s="19">
        <f t="shared" si="130"/>
        <v>1</v>
      </c>
      <c r="M808" s="21">
        <f t="shared" si="124"/>
        <v>1</v>
      </c>
      <c r="N808" s="22">
        <f t="shared" si="125"/>
        <v>1</v>
      </c>
      <c r="O808" s="22">
        <f t="shared" si="126"/>
        <v>0</v>
      </c>
      <c r="P808" s="20">
        <f t="shared" si="127"/>
        <v>0</v>
      </c>
      <c r="Q808" s="23">
        <f t="shared" si="129"/>
        <v>1800</v>
      </c>
      <c r="R808" s="20">
        <f t="shared" si="109"/>
        <v>1800</v>
      </c>
      <c r="S808" s="20">
        <f t="shared" si="109"/>
        <v>1800</v>
      </c>
      <c r="T808" s="18">
        <f t="shared" si="128"/>
        <v>1800</v>
      </c>
      <c r="U808" s="18"/>
      <c r="V808" s="25"/>
    </row>
    <row r="809" spans="1:22" ht="24" customHeight="1">
      <c r="A809" s="26"/>
      <c r="B809" s="15"/>
      <c r="C809" s="15"/>
      <c r="D809" s="16">
        <v>806</v>
      </c>
      <c r="E809" s="16" t="s">
        <v>946</v>
      </c>
      <c r="F809" s="16" t="s">
        <v>24</v>
      </c>
      <c r="G809" s="17">
        <v>1</v>
      </c>
      <c r="H809" s="18">
        <v>1</v>
      </c>
      <c r="I809" s="19"/>
      <c r="J809" s="19">
        <v>1500</v>
      </c>
      <c r="K809" s="19"/>
      <c r="L809" s="19">
        <f t="shared" si="130"/>
        <v>1</v>
      </c>
      <c r="M809" s="21">
        <f t="shared" si="124"/>
        <v>1</v>
      </c>
      <c r="N809" s="22">
        <f t="shared" si="125"/>
        <v>1</v>
      </c>
      <c r="O809" s="22">
        <f t="shared" si="126"/>
        <v>0</v>
      </c>
      <c r="P809" s="20">
        <f t="shared" si="127"/>
        <v>0</v>
      </c>
      <c r="Q809" s="23">
        <f t="shared" si="129"/>
        <v>1500</v>
      </c>
      <c r="R809" s="20">
        <f t="shared" si="109"/>
        <v>1500</v>
      </c>
      <c r="S809" s="20">
        <f t="shared" si="109"/>
        <v>1500</v>
      </c>
      <c r="T809" s="18">
        <f t="shared" si="128"/>
        <v>1500</v>
      </c>
      <c r="U809" s="18"/>
      <c r="V809" s="25"/>
    </row>
    <row r="810" spans="1:22" ht="24" customHeight="1">
      <c r="A810" s="26" t="s">
        <v>2</v>
      </c>
      <c r="B810" s="15"/>
      <c r="C810" s="15"/>
      <c r="D810" s="16">
        <v>807</v>
      </c>
      <c r="E810" s="16" t="s">
        <v>947</v>
      </c>
      <c r="F810" s="16" t="s">
        <v>24</v>
      </c>
      <c r="G810" s="17">
        <v>1</v>
      </c>
      <c r="H810" s="18">
        <v>1</v>
      </c>
      <c r="I810" s="19"/>
      <c r="J810" s="19">
        <v>3800</v>
      </c>
      <c r="K810" s="19"/>
      <c r="L810" s="19">
        <f t="shared" si="130"/>
        <v>1</v>
      </c>
      <c r="M810" s="21">
        <f t="shared" si="124"/>
        <v>1</v>
      </c>
      <c r="N810" s="22">
        <f t="shared" si="125"/>
        <v>1</v>
      </c>
      <c r="O810" s="22">
        <f t="shared" si="126"/>
        <v>0</v>
      </c>
      <c r="P810" s="20">
        <f t="shared" si="127"/>
        <v>0</v>
      </c>
      <c r="Q810" s="23">
        <f t="shared" si="129"/>
        <v>3800</v>
      </c>
      <c r="R810" s="20">
        <f t="shared" si="109"/>
        <v>3800</v>
      </c>
      <c r="S810" s="20">
        <f t="shared" si="109"/>
        <v>3800</v>
      </c>
      <c r="T810" s="18">
        <f t="shared" si="128"/>
        <v>3800</v>
      </c>
      <c r="U810" s="18"/>
      <c r="V810" s="25"/>
    </row>
    <row r="811" spans="1:22" ht="24" customHeight="1">
      <c r="A811" s="26"/>
      <c r="B811" s="15"/>
      <c r="C811" s="15"/>
      <c r="D811" s="16">
        <v>808</v>
      </c>
      <c r="E811" s="16" t="s">
        <v>770</v>
      </c>
      <c r="F811" s="16" t="s">
        <v>24</v>
      </c>
      <c r="G811" s="17">
        <v>1</v>
      </c>
      <c r="H811" s="18">
        <v>2</v>
      </c>
      <c r="I811" s="19"/>
      <c r="J811" s="19">
        <v>4200</v>
      </c>
      <c r="K811" s="19"/>
      <c r="L811" s="19">
        <f t="shared" si="130"/>
        <v>2</v>
      </c>
      <c r="M811" s="21">
        <f t="shared" si="124"/>
        <v>2</v>
      </c>
      <c r="N811" s="22">
        <f t="shared" si="125"/>
        <v>2</v>
      </c>
      <c r="O811" s="22">
        <f t="shared" si="126"/>
        <v>0</v>
      </c>
      <c r="P811" s="20">
        <f t="shared" si="127"/>
        <v>0</v>
      </c>
      <c r="Q811" s="23">
        <f t="shared" si="129"/>
        <v>4200</v>
      </c>
      <c r="R811" s="20">
        <f t="shared" si="109"/>
        <v>4200</v>
      </c>
      <c r="S811" s="20">
        <f t="shared" si="109"/>
        <v>4200</v>
      </c>
      <c r="T811" s="18">
        <f t="shared" si="128"/>
        <v>8400</v>
      </c>
      <c r="U811" s="18"/>
      <c r="V811" s="25"/>
    </row>
    <row r="812" spans="1:22" ht="24" customHeight="1">
      <c r="A812" s="26"/>
      <c r="B812" s="15"/>
      <c r="C812" s="15"/>
      <c r="D812" s="16">
        <v>809</v>
      </c>
      <c r="E812" s="16" t="s">
        <v>771</v>
      </c>
      <c r="F812" s="16" t="s">
        <v>24</v>
      </c>
      <c r="G812" s="17">
        <v>1</v>
      </c>
      <c r="H812" s="18">
        <v>1</v>
      </c>
      <c r="I812" s="19"/>
      <c r="J812" s="19">
        <v>3500</v>
      </c>
      <c r="K812" s="19"/>
      <c r="L812" s="19">
        <f t="shared" si="130"/>
        <v>1</v>
      </c>
      <c r="M812" s="21">
        <f t="shared" si="124"/>
        <v>1</v>
      </c>
      <c r="N812" s="22">
        <f t="shared" si="125"/>
        <v>1</v>
      </c>
      <c r="O812" s="22">
        <f t="shared" si="126"/>
        <v>0</v>
      </c>
      <c r="P812" s="20">
        <f t="shared" si="127"/>
        <v>0</v>
      </c>
      <c r="Q812" s="23">
        <f t="shared" si="129"/>
        <v>3500</v>
      </c>
      <c r="R812" s="20">
        <f t="shared" si="109"/>
        <v>3500</v>
      </c>
      <c r="S812" s="20">
        <f t="shared" si="109"/>
        <v>3500</v>
      </c>
      <c r="T812" s="18">
        <f t="shared" si="128"/>
        <v>3500</v>
      </c>
      <c r="U812" s="18"/>
      <c r="V812" s="25"/>
    </row>
    <row r="813" spans="1:22" ht="24" customHeight="1">
      <c r="A813" s="26"/>
      <c r="B813" s="15"/>
      <c r="C813" s="15"/>
      <c r="D813" s="16">
        <v>810</v>
      </c>
      <c r="E813" s="16" t="s">
        <v>772</v>
      </c>
      <c r="F813" s="16" t="s">
        <v>24</v>
      </c>
      <c r="G813" s="17">
        <v>1</v>
      </c>
      <c r="H813" s="18">
        <v>1</v>
      </c>
      <c r="I813" s="19"/>
      <c r="J813" s="19">
        <v>3500</v>
      </c>
      <c r="K813" s="19"/>
      <c r="L813" s="19">
        <f t="shared" si="130"/>
        <v>1</v>
      </c>
      <c r="M813" s="21">
        <f t="shared" si="124"/>
        <v>1</v>
      </c>
      <c r="N813" s="22">
        <f t="shared" si="125"/>
        <v>1</v>
      </c>
      <c r="O813" s="22">
        <f t="shared" si="126"/>
        <v>0</v>
      </c>
      <c r="P813" s="20">
        <f t="shared" si="127"/>
        <v>0</v>
      </c>
      <c r="Q813" s="23">
        <f t="shared" si="129"/>
        <v>3500</v>
      </c>
      <c r="R813" s="20">
        <f t="shared" si="109"/>
        <v>3500</v>
      </c>
      <c r="S813" s="20">
        <f t="shared" si="109"/>
        <v>3500</v>
      </c>
      <c r="T813" s="18">
        <f t="shared" si="128"/>
        <v>3500</v>
      </c>
      <c r="U813" s="18"/>
      <c r="V813" s="25"/>
    </row>
    <row r="814" spans="1:22" ht="24" customHeight="1">
      <c r="A814" s="26"/>
      <c r="B814" s="15"/>
      <c r="C814" s="15"/>
      <c r="D814" s="16">
        <v>811</v>
      </c>
      <c r="E814" s="16" t="s">
        <v>775</v>
      </c>
      <c r="F814" s="16" t="s">
        <v>24</v>
      </c>
      <c r="G814" s="17">
        <v>1</v>
      </c>
      <c r="H814" s="18">
        <v>1</v>
      </c>
      <c r="I814" s="19"/>
      <c r="J814" s="19">
        <v>3400</v>
      </c>
      <c r="K814" s="19"/>
      <c r="L814" s="19">
        <f t="shared" si="130"/>
        <v>1</v>
      </c>
      <c r="M814" s="21">
        <f t="shared" si="124"/>
        <v>1</v>
      </c>
      <c r="N814" s="22">
        <f t="shared" si="125"/>
        <v>1</v>
      </c>
      <c r="O814" s="22">
        <f t="shared" si="126"/>
        <v>0</v>
      </c>
      <c r="P814" s="20">
        <f t="shared" si="127"/>
        <v>0</v>
      </c>
      <c r="Q814" s="23">
        <f t="shared" si="129"/>
        <v>3400</v>
      </c>
      <c r="R814" s="20">
        <f t="shared" si="109"/>
        <v>3400</v>
      </c>
      <c r="S814" s="20">
        <f t="shared" si="109"/>
        <v>3400</v>
      </c>
      <c r="T814" s="18">
        <f t="shared" si="128"/>
        <v>3400</v>
      </c>
      <c r="U814" s="18"/>
      <c r="V814" s="25"/>
    </row>
    <row r="815" spans="1:22" ht="24" customHeight="1">
      <c r="A815" s="26"/>
      <c r="B815" s="15"/>
      <c r="C815" s="15"/>
      <c r="D815" s="16">
        <v>812</v>
      </c>
      <c r="E815" s="16" t="s">
        <v>773</v>
      </c>
      <c r="F815" s="16" t="s">
        <v>24</v>
      </c>
      <c r="G815" s="17">
        <v>1</v>
      </c>
      <c r="H815" s="18">
        <v>1</v>
      </c>
      <c r="I815" s="19"/>
      <c r="J815" s="19">
        <v>2500</v>
      </c>
      <c r="K815" s="19"/>
      <c r="L815" s="19">
        <f t="shared" si="130"/>
        <v>1</v>
      </c>
      <c r="M815" s="21">
        <f t="shared" si="124"/>
        <v>1</v>
      </c>
      <c r="N815" s="22">
        <f t="shared" si="125"/>
        <v>1</v>
      </c>
      <c r="O815" s="22">
        <f t="shared" si="126"/>
        <v>0</v>
      </c>
      <c r="P815" s="20">
        <f t="shared" si="127"/>
        <v>0</v>
      </c>
      <c r="Q815" s="23">
        <f t="shared" si="129"/>
        <v>2500</v>
      </c>
      <c r="R815" s="20">
        <f t="shared" ref="R815:S878" si="131">IFERROR(IF(J815&gt;0,J815,IF(J815&lt;0,P815,IF(J815=0,P815))),"")</f>
        <v>2500</v>
      </c>
      <c r="S815" s="20">
        <f t="shared" si="131"/>
        <v>2500</v>
      </c>
      <c r="T815" s="18">
        <f t="shared" si="128"/>
        <v>2500</v>
      </c>
      <c r="U815" s="18"/>
      <c r="V815" s="25"/>
    </row>
    <row r="816" spans="1:22" ht="24" customHeight="1">
      <c r="A816" s="26"/>
      <c r="B816" s="15"/>
      <c r="C816" s="15"/>
      <c r="D816" s="16">
        <v>813</v>
      </c>
      <c r="E816" s="16" t="s">
        <v>774</v>
      </c>
      <c r="F816" s="16" t="s">
        <v>24</v>
      </c>
      <c r="G816" s="17">
        <v>1</v>
      </c>
      <c r="H816" s="18">
        <v>1</v>
      </c>
      <c r="I816" s="19"/>
      <c r="J816" s="19">
        <v>2200</v>
      </c>
      <c r="K816" s="19"/>
      <c r="L816" s="19">
        <f t="shared" si="130"/>
        <v>1</v>
      </c>
      <c r="M816" s="21">
        <f t="shared" si="124"/>
        <v>1</v>
      </c>
      <c r="N816" s="22">
        <f t="shared" si="125"/>
        <v>1</v>
      </c>
      <c r="O816" s="22">
        <f t="shared" si="126"/>
        <v>0</v>
      </c>
      <c r="P816" s="20">
        <f t="shared" si="127"/>
        <v>0</v>
      </c>
      <c r="Q816" s="23">
        <f t="shared" si="129"/>
        <v>2200</v>
      </c>
      <c r="R816" s="20">
        <f t="shared" si="131"/>
        <v>2200</v>
      </c>
      <c r="S816" s="20">
        <f t="shared" si="131"/>
        <v>2200</v>
      </c>
      <c r="T816" s="18">
        <f t="shared" si="128"/>
        <v>2200</v>
      </c>
      <c r="U816" s="18"/>
      <c r="V816" s="25"/>
    </row>
    <row r="817" spans="1:22" ht="24" customHeight="1">
      <c r="A817" s="26"/>
      <c r="B817" s="15"/>
      <c r="C817" s="15"/>
      <c r="D817" s="16">
        <v>814</v>
      </c>
      <c r="E817" s="16" t="s">
        <v>776</v>
      </c>
      <c r="F817" s="16" t="s">
        <v>24</v>
      </c>
      <c r="G817" s="17">
        <v>1</v>
      </c>
      <c r="H817" s="18">
        <v>1</v>
      </c>
      <c r="I817" s="19"/>
      <c r="J817" s="19">
        <v>4000</v>
      </c>
      <c r="K817" s="19"/>
      <c r="L817" s="19">
        <f t="shared" si="130"/>
        <v>1</v>
      </c>
      <c r="M817" s="21">
        <f t="shared" si="124"/>
        <v>1</v>
      </c>
      <c r="N817" s="22">
        <f t="shared" si="125"/>
        <v>1</v>
      </c>
      <c r="O817" s="22">
        <f t="shared" si="126"/>
        <v>0</v>
      </c>
      <c r="P817" s="20">
        <f t="shared" si="127"/>
        <v>0</v>
      </c>
      <c r="Q817" s="23">
        <f t="shared" si="129"/>
        <v>4000</v>
      </c>
      <c r="R817" s="20">
        <f t="shared" si="131"/>
        <v>4000</v>
      </c>
      <c r="S817" s="20">
        <f t="shared" si="131"/>
        <v>4000</v>
      </c>
      <c r="T817" s="18">
        <f t="shared" si="128"/>
        <v>4000</v>
      </c>
      <c r="U817" s="18"/>
      <c r="V817" s="25"/>
    </row>
    <row r="818" spans="1:22" ht="24" customHeight="1">
      <c r="A818" s="26"/>
      <c r="B818" s="15"/>
      <c r="C818" s="15"/>
      <c r="D818" s="16">
        <v>815</v>
      </c>
      <c r="E818" s="16" t="s">
        <v>777</v>
      </c>
      <c r="F818" s="16" t="s">
        <v>24</v>
      </c>
      <c r="G818" s="17">
        <v>1</v>
      </c>
      <c r="H818" s="18">
        <v>1</v>
      </c>
      <c r="I818" s="19"/>
      <c r="J818" s="19">
        <v>3500</v>
      </c>
      <c r="K818" s="19"/>
      <c r="L818" s="19">
        <f t="shared" si="130"/>
        <v>1</v>
      </c>
      <c r="M818" s="21">
        <f t="shared" si="124"/>
        <v>1</v>
      </c>
      <c r="N818" s="22">
        <f t="shared" si="125"/>
        <v>1</v>
      </c>
      <c r="O818" s="22">
        <f t="shared" si="126"/>
        <v>0</v>
      </c>
      <c r="P818" s="20">
        <f t="shared" si="127"/>
        <v>0</v>
      </c>
      <c r="Q818" s="23">
        <f t="shared" si="129"/>
        <v>3500</v>
      </c>
      <c r="R818" s="20">
        <f t="shared" si="131"/>
        <v>3500</v>
      </c>
      <c r="S818" s="20">
        <f t="shared" si="131"/>
        <v>3500</v>
      </c>
      <c r="T818" s="18">
        <f t="shared" si="128"/>
        <v>3500</v>
      </c>
      <c r="U818" s="18"/>
      <c r="V818" s="25"/>
    </row>
    <row r="819" spans="1:22" ht="24" customHeight="1">
      <c r="A819" s="26"/>
      <c r="B819" s="15"/>
      <c r="C819" s="15"/>
      <c r="D819" s="16">
        <v>816</v>
      </c>
      <c r="E819" s="16" t="s">
        <v>778</v>
      </c>
      <c r="F819" s="16" t="s">
        <v>24</v>
      </c>
      <c r="G819" s="17">
        <v>1</v>
      </c>
      <c r="H819" s="18">
        <v>1</v>
      </c>
      <c r="I819" s="19"/>
      <c r="J819" s="19">
        <v>2500</v>
      </c>
      <c r="K819" s="19"/>
      <c r="L819" s="19">
        <f t="shared" si="130"/>
        <v>1</v>
      </c>
      <c r="M819" s="21">
        <f t="shared" si="124"/>
        <v>1</v>
      </c>
      <c r="N819" s="22">
        <f t="shared" si="125"/>
        <v>1</v>
      </c>
      <c r="O819" s="22">
        <f t="shared" si="126"/>
        <v>0</v>
      </c>
      <c r="P819" s="20">
        <f t="shared" si="127"/>
        <v>0</v>
      </c>
      <c r="Q819" s="23">
        <f t="shared" si="129"/>
        <v>2500</v>
      </c>
      <c r="R819" s="20">
        <f t="shared" si="131"/>
        <v>2500</v>
      </c>
      <c r="S819" s="20">
        <f t="shared" si="131"/>
        <v>2500</v>
      </c>
      <c r="T819" s="18">
        <f t="shared" si="128"/>
        <v>2500</v>
      </c>
      <c r="U819" s="18"/>
      <c r="V819" s="25"/>
    </row>
    <row r="820" spans="1:22" ht="24" customHeight="1">
      <c r="A820" s="26"/>
      <c r="B820" s="15"/>
      <c r="C820" s="15"/>
      <c r="D820" s="16">
        <v>817</v>
      </c>
      <c r="E820" s="16" t="s">
        <v>779</v>
      </c>
      <c r="F820" s="16" t="s">
        <v>24</v>
      </c>
      <c r="G820" s="17">
        <v>1</v>
      </c>
      <c r="H820" s="18">
        <v>1</v>
      </c>
      <c r="I820" s="19"/>
      <c r="J820" s="19">
        <v>1800</v>
      </c>
      <c r="K820" s="19"/>
      <c r="L820" s="19">
        <f t="shared" si="130"/>
        <v>1</v>
      </c>
      <c r="M820" s="21">
        <f t="shared" si="124"/>
        <v>1</v>
      </c>
      <c r="N820" s="22">
        <f t="shared" si="125"/>
        <v>1</v>
      </c>
      <c r="O820" s="22">
        <f t="shared" si="126"/>
        <v>0</v>
      </c>
      <c r="P820" s="20">
        <f t="shared" si="127"/>
        <v>0</v>
      </c>
      <c r="Q820" s="23">
        <f t="shared" si="129"/>
        <v>1800</v>
      </c>
      <c r="R820" s="20">
        <f t="shared" si="131"/>
        <v>1800</v>
      </c>
      <c r="S820" s="20">
        <f t="shared" si="131"/>
        <v>1800</v>
      </c>
      <c r="T820" s="18">
        <f t="shared" si="128"/>
        <v>1800</v>
      </c>
      <c r="U820" s="18"/>
      <c r="V820" s="25"/>
    </row>
    <row r="821" spans="1:22" ht="24" customHeight="1">
      <c r="A821" s="26"/>
      <c r="B821" s="15"/>
      <c r="C821" s="15"/>
      <c r="D821" s="16">
        <v>818</v>
      </c>
      <c r="E821" s="16" t="s">
        <v>780</v>
      </c>
      <c r="F821" s="16" t="s">
        <v>24</v>
      </c>
      <c r="G821" s="17">
        <v>1</v>
      </c>
      <c r="H821" s="18">
        <v>1</v>
      </c>
      <c r="I821" s="19"/>
      <c r="J821" s="19">
        <v>2850</v>
      </c>
      <c r="K821" s="19"/>
      <c r="L821" s="19">
        <f t="shared" si="130"/>
        <v>1</v>
      </c>
      <c r="M821" s="21">
        <f t="shared" si="124"/>
        <v>1</v>
      </c>
      <c r="N821" s="22">
        <f t="shared" si="125"/>
        <v>1</v>
      </c>
      <c r="O821" s="22">
        <f t="shared" si="126"/>
        <v>0</v>
      </c>
      <c r="P821" s="20">
        <f t="shared" si="127"/>
        <v>0</v>
      </c>
      <c r="Q821" s="23">
        <f t="shared" si="129"/>
        <v>2850</v>
      </c>
      <c r="R821" s="20">
        <f t="shared" si="131"/>
        <v>2850</v>
      </c>
      <c r="S821" s="20">
        <f t="shared" si="131"/>
        <v>2850</v>
      </c>
      <c r="T821" s="18">
        <f t="shared" si="128"/>
        <v>2850</v>
      </c>
      <c r="U821" s="18"/>
      <c r="V821" s="25"/>
    </row>
    <row r="822" spans="1:22" ht="24" customHeight="1">
      <c r="A822" s="26"/>
      <c r="B822" s="15"/>
      <c r="C822" s="15"/>
      <c r="D822" s="16">
        <v>819</v>
      </c>
      <c r="E822" s="16" t="s">
        <v>781</v>
      </c>
      <c r="F822" s="16" t="s">
        <v>24</v>
      </c>
      <c r="G822" s="17">
        <v>1</v>
      </c>
      <c r="H822" s="18">
        <v>1</v>
      </c>
      <c r="I822" s="19"/>
      <c r="J822" s="19">
        <v>3200</v>
      </c>
      <c r="K822" s="19"/>
      <c r="L822" s="19">
        <f t="shared" si="130"/>
        <v>1</v>
      </c>
      <c r="M822" s="21">
        <f t="shared" si="124"/>
        <v>1</v>
      </c>
      <c r="N822" s="22">
        <f t="shared" si="125"/>
        <v>1</v>
      </c>
      <c r="O822" s="22">
        <f t="shared" si="126"/>
        <v>0</v>
      </c>
      <c r="P822" s="20">
        <f t="shared" si="127"/>
        <v>0</v>
      </c>
      <c r="Q822" s="23">
        <f t="shared" si="129"/>
        <v>3200</v>
      </c>
      <c r="R822" s="20">
        <f t="shared" si="131"/>
        <v>3200</v>
      </c>
      <c r="S822" s="20">
        <f t="shared" si="131"/>
        <v>3200</v>
      </c>
      <c r="T822" s="18">
        <f t="shared" si="128"/>
        <v>3200</v>
      </c>
      <c r="U822" s="18"/>
      <c r="V822" s="25"/>
    </row>
    <row r="823" spans="1:22" ht="24" customHeight="1">
      <c r="A823" s="26"/>
      <c r="B823" s="15"/>
      <c r="C823" s="15"/>
      <c r="D823" s="16">
        <v>820</v>
      </c>
      <c r="E823" s="16" t="s">
        <v>782</v>
      </c>
      <c r="F823" s="16" t="s">
        <v>24</v>
      </c>
      <c r="G823" s="17">
        <v>1</v>
      </c>
      <c r="H823" s="18">
        <v>2</v>
      </c>
      <c r="I823" s="19"/>
      <c r="J823" s="19">
        <v>3500</v>
      </c>
      <c r="K823" s="19"/>
      <c r="L823" s="19">
        <f t="shared" si="130"/>
        <v>2</v>
      </c>
      <c r="M823" s="21">
        <f t="shared" si="124"/>
        <v>2</v>
      </c>
      <c r="N823" s="22">
        <f t="shared" si="125"/>
        <v>2</v>
      </c>
      <c r="O823" s="22">
        <f t="shared" si="126"/>
        <v>0</v>
      </c>
      <c r="P823" s="20">
        <f t="shared" si="127"/>
        <v>0</v>
      </c>
      <c r="Q823" s="23">
        <f t="shared" si="129"/>
        <v>3500</v>
      </c>
      <c r="R823" s="20">
        <f t="shared" si="131"/>
        <v>3500</v>
      </c>
      <c r="S823" s="20">
        <f t="shared" si="131"/>
        <v>3500</v>
      </c>
      <c r="T823" s="18">
        <f t="shared" si="128"/>
        <v>7000</v>
      </c>
      <c r="U823" s="18"/>
      <c r="V823" s="25"/>
    </row>
    <row r="824" spans="1:22" ht="24" customHeight="1">
      <c r="A824" s="26"/>
      <c r="B824" s="15"/>
      <c r="C824" s="15"/>
      <c r="D824" s="16">
        <v>821</v>
      </c>
      <c r="E824" s="16" t="s">
        <v>950</v>
      </c>
      <c r="F824" s="16" t="s">
        <v>24</v>
      </c>
      <c r="G824" s="17">
        <v>1</v>
      </c>
      <c r="H824" s="18">
        <v>1</v>
      </c>
      <c r="I824" s="19"/>
      <c r="J824" s="19">
        <v>3000</v>
      </c>
      <c r="K824" s="19"/>
      <c r="L824" s="19">
        <f t="shared" si="130"/>
        <v>1</v>
      </c>
      <c r="M824" s="21">
        <f t="shared" si="124"/>
        <v>1</v>
      </c>
      <c r="N824" s="22">
        <f t="shared" si="125"/>
        <v>1</v>
      </c>
      <c r="O824" s="22">
        <f t="shared" si="126"/>
        <v>0</v>
      </c>
      <c r="P824" s="20">
        <f t="shared" si="127"/>
        <v>0</v>
      </c>
      <c r="Q824" s="23">
        <f t="shared" si="129"/>
        <v>3000</v>
      </c>
      <c r="R824" s="20">
        <f t="shared" si="131"/>
        <v>3000</v>
      </c>
      <c r="S824" s="20">
        <f t="shared" si="131"/>
        <v>3000</v>
      </c>
      <c r="T824" s="18">
        <f t="shared" si="128"/>
        <v>3000</v>
      </c>
      <c r="U824" s="18"/>
      <c r="V824" s="25"/>
    </row>
    <row r="825" spans="1:22" ht="24" customHeight="1">
      <c r="A825" s="26"/>
      <c r="B825" s="15"/>
      <c r="C825" s="15"/>
      <c r="D825" s="16">
        <v>822</v>
      </c>
      <c r="E825" s="16" t="s">
        <v>783</v>
      </c>
      <c r="F825" s="16" t="s">
        <v>24</v>
      </c>
      <c r="G825" s="17">
        <v>1</v>
      </c>
      <c r="H825" s="18">
        <v>1</v>
      </c>
      <c r="I825" s="19"/>
      <c r="J825" s="19">
        <v>3200</v>
      </c>
      <c r="K825" s="19"/>
      <c r="L825" s="19">
        <f t="shared" si="130"/>
        <v>1</v>
      </c>
      <c r="M825" s="21">
        <f t="shared" si="124"/>
        <v>1</v>
      </c>
      <c r="N825" s="22">
        <f t="shared" si="125"/>
        <v>1</v>
      </c>
      <c r="O825" s="22">
        <f t="shared" si="126"/>
        <v>0</v>
      </c>
      <c r="P825" s="20">
        <f t="shared" si="127"/>
        <v>0</v>
      </c>
      <c r="Q825" s="23">
        <f t="shared" si="129"/>
        <v>3200</v>
      </c>
      <c r="R825" s="20">
        <f t="shared" si="131"/>
        <v>3200</v>
      </c>
      <c r="S825" s="20">
        <f t="shared" si="131"/>
        <v>3200</v>
      </c>
      <c r="T825" s="18">
        <f t="shared" si="128"/>
        <v>3200</v>
      </c>
      <c r="U825" s="18"/>
      <c r="V825" s="25"/>
    </row>
    <row r="826" spans="1:22" ht="24" customHeight="1">
      <c r="A826" s="26"/>
      <c r="B826" s="15"/>
      <c r="C826" s="15"/>
      <c r="D826" s="16">
        <v>823</v>
      </c>
      <c r="E826" s="16" t="s">
        <v>784</v>
      </c>
      <c r="F826" s="16" t="s">
        <v>24</v>
      </c>
      <c r="G826" s="17">
        <v>1</v>
      </c>
      <c r="H826" s="18">
        <v>1</v>
      </c>
      <c r="I826" s="19"/>
      <c r="J826" s="19">
        <v>3600</v>
      </c>
      <c r="K826" s="19"/>
      <c r="L826" s="19">
        <f t="shared" si="130"/>
        <v>1</v>
      </c>
      <c r="M826" s="21">
        <f t="shared" si="124"/>
        <v>1</v>
      </c>
      <c r="N826" s="22">
        <f t="shared" si="125"/>
        <v>1</v>
      </c>
      <c r="O826" s="22">
        <f t="shared" si="126"/>
        <v>0</v>
      </c>
      <c r="P826" s="20">
        <f t="shared" si="127"/>
        <v>0</v>
      </c>
      <c r="Q826" s="23">
        <f t="shared" si="129"/>
        <v>3600</v>
      </c>
      <c r="R826" s="20">
        <f t="shared" si="131"/>
        <v>3600</v>
      </c>
      <c r="S826" s="20">
        <f t="shared" si="131"/>
        <v>3600</v>
      </c>
      <c r="T826" s="18">
        <f t="shared" si="128"/>
        <v>3600</v>
      </c>
      <c r="U826" s="18"/>
      <c r="V826" s="25"/>
    </row>
    <row r="827" spans="1:22" ht="24" customHeight="1">
      <c r="A827" s="26"/>
      <c r="B827" s="15"/>
      <c r="C827" s="15"/>
      <c r="D827" s="16">
        <v>824</v>
      </c>
      <c r="E827" s="16" t="s">
        <v>785</v>
      </c>
      <c r="F827" s="16" t="s">
        <v>24</v>
      </c>
      <c r="G827" s="17">
        <v>1</v>
      </c>
      <c r="H827" s="18">
        <v>1</v>
      </c>
      <c r="I827" s="19"/>
      <c r="J827" s="19">
        <v>3500</v>
      </c>
      <c r="K827" s="19"/>
      <c r="L827" s="19">
        <f t="shared" si="130"/>
        <v>1</v>
      </c>
      <c r="M827" s="21">
        <f t="shared" si="124"/>
        <v>1</v>
      </c>
      <c r="N827" s="22">
        <f t="shared" si="125"/>
        <v>1</v>
      </c>
      <c r="O827" s="22">
        <f t="shared" si="126"/>
        <v>0</v>
      </c>
      <c r="P827" s="20">
        <f t="shared" si="127"/>
        <v>0</v>
      </c>
      <c r="Q827" s="23">
        <f t="shared" si="129"/>
        <v>3500</v>
      </c>
      <c r="R827" s="20">
        <f t="shared" si="131"/>
        <v>3500</v>
      </c>
      <c r="S827" s="20">
        <f t="shared" si="131"/>
        <v>3500</v>
      </c>
      <c r="T827" s="18">
        <f t="shared" si="128"/>
        <v>3500</v>
      </c>
      <c r="U827" s="18"/>
      <c r="V827" s="25"/>
    </row>
    <row r="828" spans="1:22" ht="24" customHeight="1">
      <c r="A828" s="26"/>
      <c r="B828" s="15"/>
      <c r="C828" s="15"/>
      <c r="D828" s="16">
        <v>825</v>
      </c>
      <c r="E828" s="16" t="s">
        <v>786</v>
      </c>
      <c r="F828" s="16" t="s">
        <v>24</v>
      </c>
      <c r="G828" s="17">
        <v>1</v>
      </c>
      <c r="H828" s="18">
        <v>1</v>
      </c>
      <c r="I828" s="19"/>
      <c r="J828" s="19">
        <v>4500</v>
      </c>
      <c r="K828" s="19"/>
      <c r="L828" s="19">
        <f t="shared" si="130"/>
        <v>1</v>
      </c>
      <c r="M828" s="21">
        <f t="shared" si="124"/>
        <v>1</v>
      </c>
      <c r="N828" s="22">
        <f t="shared" si="125"/>
        <v>1</v>
      </c>
      <c r="O828" s="22">
        <f t="shared" si="126"/>
        <v>0</v>
      </c>
      <c r="P828" s="20">
        <f t="shared" si="127"/>
        <v>0</v>
      </c>
      <c r="Q828" s="23">
        <f t="shared" si="129"/>
        <v>4500</v>
      </c>
      <c r="R828" s="20">
        <f t="shared" si="131"/>
        <v>4500</v>
      </c>
      <c r="S828" s="20">
        <f t="shared" si="131"/>
        <v>4500</v>
      </c>
      <c r="T828" s="18">
        <f t="shared" si="128"/>
        <v>4500</v>
      </c>
      <c r="U828" s="18"/>
      <c r="V828" s="25"/>
    </row>
    <row r="829" spans="1:22" ht="24" customHeight="1">
      <c r="A829" s="26"/>
      <c r="B829" s="15"/>
      <c r="C829" s="15"/>
      <c r="D829" s="16">
        <v>826</v>
      </c>
      <c r="E829" s="16" t="s">
        <v>787</v>
      </c>
      <c r="F829" s="16" t="s">
        <v>24</v>
      </c>
      <c r="G829" s="17">
        <v>1</v>
      </c>
      <c r="H829" s="18">
        <v>1</v>
      </c>
      <c r="I829" s="19"/>
      <c r="J829" s="19">
        <v>4500</v>
      </c>
      <c r="K829" s="19"/>
      <c r="L829" s="19">
        <f t="shared" si="130"/>
        <v>1</v>
      </c>
      <c r="M829" s="21">
        <f t="shared" si="124"/>
        <v>1</v>
      </c>
      <c r="N829" s="22">
        <f t="shared" si="125"/>
        <v>1</v>
      </c>
      <c r="O829" s="22">
        <f t="shared" si="126"/>
        <v>0</v>
      </c>
      <c r="P829" s="20">
        <f t="shared" si="127"/>
        <v>0</v>
      </c>
      <c r="Q829" s="23">
        <f t="shared" si="129"/>
        <v>4500</v>
      </c>
      <c r="R829" s="20">
        <f t="shared" si="131"/>
        <v>4500</v>
      </c>
      <c r="S829" s="20">
        <f t="shared" si="131"/>
        <v>4500</v>
      </c>
      <c r="T829" s="18">
        <f t="shared" si="128"/>
        <v>4500</v>
      </c>
      <c r="U829" s="18"/>
      <c r="V829" s="25"/>
    </row>
    <row r="830" spans="1:22" ht="24" customHeight="1">
      <c r="A830" s="26"/>
      <c r="B830" s="15"/>
      <c r="C830" s="15"/>
      <c r="D830" s="16">
        <v>827</v>
      </c>
      <c r="E830" s="16" t="s">
        <v>789</v>
      </c>
      <c r="F830" s="16" t="s">
        <v>24</v>
      </c>
      <c r="G830" s="17">
        <v>1</v>
      </c>
      <c r="H830" s="18">
        <v>1</v>
      </c>
      <c r="I830" s="19"/>
      <c r="J830" s="19">
        <v>3600</v>
      </c>
      <c r="K830" s="19"/>
      <c r="L830" s="19">
        <f t="shared" si="130"/>
        <v>1</v>
      </c>
      <c r="M830" s="21">
        <f t="shared" si="124"/>
        <v>1</v>
      </c>
      <c r="N830" s="22">
        <f t="shared" si="125"/>
        <v>1</v>
      </c>
      <c r="O830" s="22">
        <f t="shared" si="126"/>
        <v>0</v>
      </c>
      <c r="P830" s="20">
        <f t="shared" si="127"/>
        <v>0</v>
      </c>
      <c r="Q830" s="23">
        <f t="shared" si="129"/>
        <v>3600</v>
      </c>
      <c r="R830" s="20">
        <f t="shared" si="131"/>
        <v>3600</v>
      </c>
      <c r="S830" s="20">
        <f t="shared" si="131"/>
        <v>3600</v>
      </c>
      <c r="T830" s="18">
        <f t="shared" si="128"/>
        <v>3600</v>
      </c>
      <c r="U830" s="18"/>
      <c r="V830" s="25"/>
    </row>
    <row r="831" spans="1:22" ht="24" customHeight="1">
      <c r="A831" s="26"/>
      <c r="B831" s="15"/>
      <c r="C831" s="15"/>
      <c r="D831" s="16">
        <v>828</v>
      </c>
      <c r="E831" s="16" t="s">
        <v>790</v>
      </c>
      <c r="F831" s="16" t="s">
        <v>24</v>
      </c>
      <c r="G831" s="17">
        <v>1</v>
      </c>
      <c r="H831" s="18">
        <v>1</v>
      </c>
      <c r="I831" s="19"/>
      <c r="J831" s="19">
        <v>4500</v>
      </c>
      <c r="K831" s="19"/>
      <c r="L831" s="19">
        <f t="shared" si="130"/>
        <v>1</v>
      </c>
      <c r="M831" s="21">
        <f t="shared" si="124"/>
        <v>1</v>
      </c>
      <c r="N831" s="22">
        <f t="shared" si="125"/>
        <v>1</v>
      </c>
      <c r="O831" s="22">
        <f t="shared" si="126"/>
        <v>0</v>
      </c>
      <c r="P831" s="20">
        <f t="shared" si="127"/>
        <v>0</v>
      </c>
      <c r="Q831" s="23">
        <f t="shared" si="129"/>
        <v>4500</v>
      </c>
      <c r="R831" s="20">
        <f t="shared" si="131"/>
        <v>4500</v>
      </c>
      <c r="S831" s="20">
        <f t="shared" si="131"/>
        <v>4500</v>
      </c>
      <c r="T831" s="18">
        <f t="shared" si="128"/>
        <v>4500</v>
      </c>
      <c r="U831" s="18"/>
      <c r="V831" s="25"/>
    </row>
    <row r="832" spans="1:22" ht="24" customHeight="1">
      <c r="A832" s="26"/>
      <c r="B832" s="15"/>
      <c r="C832" s="15"/>
      <c r="D832" s="16">
        <v>829</v>
      </c>
      <c r="E832" s="16" t="s">
        <v>791</v>
      </c>
      <c r="F832" s="16" t="s">
        <v>24</v>
      </c>
      <c r="G832" s="17">
        <v>1</v>
      </c>
      <c r="H832" s="18">
        <v>1</v>
      </c>
      <c r="I832" s="19"/>
      <c r="J832" s="19">
        <v>4500</v>
      </c>
      <c r="K832" s="19"/>
      <c r="L832" s="19">
        <f t="shared" si="130"/>
        <v>1</v>
      </c>
      <c r="M832" s="21">
        <f t="shared" si="124"/>
        <v>1</v>
      </c>
      <c r="N832" s="22">
        <f t="shared" si="125"/>
        <v>1</v>
      </c>
      <c r="O832" s="22">
        <f t="shared" si="126"/>
        <v>0</v>
      </c>
      <c r="P832" s="20">
        <f t="shared" si="127"/>
        <v>0</v>
      </c>
      <c r="Q832" s="23">
        <f t="shared" si="129"/>
        <v>4500</v>
      </c>
      <c r="R832" s="20">
        <f t="shared" si="131"/>
        <v>4500</v>
      </c>
      <c r="S832" s="20">
        <f t="shared" si="131"/>
        <v>4500</v>
      </c>
      <c r="T832" s="18">
        <f t="shared" si="128"/>
        <v>4500</v>
      </c>
      <c r="U832" s="18"/>
      <c r="V832" s="25"/>
    </row>
    <row r="833" spans="1:22" ht="24" customHeight="1">
      <c r="A833" s="26"/>
      <c r="B833" s="15"/>
      <c r="C833" s="15"/>
      <c r="D833" s="16">
        <v>830</v>
      </c>
      <c r="E833" s="16" t="s">
        <v>792</v>
      </c>
      <c r="F833" s="16" t="s">
        <v>24</v>
      </c>
      <c r="G833" s="17">
        <v>1</v>
      </c>
      <c r="H833" s="18">
        <v>1</v>
      </c>
      <c r="I833" s="19"/>
      <c r="J833" s="19">
        <v>4500</v>
      </c>
      <c r="K833" s="19"/>
      <c r="L833" s="19">
        <f t="shared" si="130"/>
        <v>1</v>
      </c>
      <c r="M833" s="21">
        <f t="shared" si="124"/>
        <v>1</v>
      </c>
      <c r="N833" s="22">
        <f t="shared" si="125"/>
        <v>1</v>
      </c>
      <c r="O833" s="22">
        <f t="shared" si="126"/>
        <v>0</v>
      </c>
      <c r="P833" s="20">
        <f t="shared" si="127"/>
        <v>0</v>
      </c>
      <c r="Q833" s="23">
        <f t="shared" si="129"/>
        <v>4500</v>
      </c>
      <c r="R833" s="20">
        <f t="shared" si="131"/>
        <v>4500</v>
      </c>
      <c r="S833" s="20">
        <f t="shared" si="131"/>
        <v>4500</v>
      </c>
      <c r="T833" s="18">
        <f t="shared" si="128"/>
        <v>4500</v>
      </c>
      <c r="U833" s="18"/>
      <c r="V833" s="25"/>
    </row>
    <row r="834" spans="1:22" ht="24" customHeight="1">
      <c r="A834" s="26"/>
      <c r="B834" s="15"/>
      <c r="C834" s="15"/>
      <c r="D834" s="16">
        <v>831</v>
      </c>
      <c r="E834" s="16" t="s">
        <v>788</v>
      </c>
      <c r="F834" s="16" t="s">
        <v>24</v>
      </c>
      <c r="G834" s="17">
        <v>1</v>
      </c>
      <c r="H834" s="18">
        <v>1</v>
      </c>
      <c r="I834" s="19"/>
      <c r="J834" s="19">
        <v>4500</v>
      </c>
      <c r="K834" s="19"/>
      <c r="L834" s="19">
        <f t="shared" si="130"/>
        <v>1</v>
      </c>
      <c r="M834" s="21">
        <f t="shared" si="124"/>
        <v>1</v>
      </c>
      <c r="N834" s="22">
        <f t="shared" si="125"/>
        <v>1</v>
      </c>
      <c r="O834" s="22">
        <f t="shared" si="126"/>
        <v>0</v>
      </c>
      <c r="P834" s="20">
        <f t="shared" si="127"/>
        <v>0</v>
      </c>
      <c r="Q834" s="23">
        <f t="shared" si="129"/>
        <v>4500</v>
      </c>
      <c r="R834" s="20">
        <f t="shared" si="131"/>
        <v>4500</v>
      </c>
      <c r="S834" s="20">
        <f t="shared" si="131"/>
        <v>4500</v>
      </c>
      <c r="T834" s="18">
        <f t="shared" si="128"/>
        <v>4500</v>
      </c>
      <c r="U834" s="18"/>
      <c r="V834" s="25"/>
    </row>
    <row r="835" spans="1:22" ht="24" customHeight="1">
      <c r="A835" s="26"/>
      <c r="B835" s="15"/>
      <c r="C835" s="15"/>
      <c r="D835" s="16">
        <v>832</v>
      </c>
      <c r="E835" s="16" t="s">
        <v>793</v>
      </c>
      <c r="F835" s="16" t="s">
        <v>24</v>
      </c>
      <c r="G835" s="17">
        <v>1</v>
      </c>
      <c r="H835" s="18">
        <v>1</v>
      </c>
      <c r="I835" s="19"/>
      <c r="J835" s="19">
        <v>3500</v>
      </c>
      <c r="K835" s="19"/>
      <c r="L835" s="19">
        <f t="shared" si="130"/>
        <v>1</v>
      </c>
      <c r="M835" s="21">
        <f t="shared" ref="M835:M898" si="132">IFERROR(L835/G835,"")</f>
        <v>1</v>
      </c>
      <c r="N835" s="22">
        <f t="shared" ref="N835:N898" si="133">IF(G835=1,L835,IF(G835&gt;1,IFERROR((M835-O835)*G835,""),""))</f>
        <v>1</v>
      </c>
      <c r="O835" s="22">
        <f t="shared" ref="O835:O898" si="134">IFERROR(IF(G835=1,0,IF(G835&gt;1,ROUNDDOWN(M835,0))),"")</f>
        <v>0</v>
      </c>
      <c r="P835" s="20">
        <f t="shared" si="127"/>
        <v>0</v>
      </c>
      <c r="Q835" s="23">
        <f t="shared" si="129"/>
        <v>3500</v>
      </c>
      <c r="R835" s="20">
        <f t="shared" si="131"/>
        <v>3500</v>
      </c>
      <c r="S835" s="20">
        <f t="shared" si="131"/>
        <v>3500</v>
      </c>
      <c r="T835" s="18">
        <f t="shared" si="128"/>
        <v>3500</v>
      </c>
      <c r="U835" s="18"/>
      <c r="V835" s="25"/>
    </row>
    <row r="836" spans="1:22" ht="24" customHeight="1">
      <c r="A836" s="26"/>
      <c r="B836" s="15"/>
      <c r="C836" s="15"/>
      <c r="D836" s="16">
        <v>833</v>
      </c>
      <c r="E836" s="16" t="s">
        <v>949</v>
      </c>
      <c r="F836" s="16" t="s">
        <v>24</v>
      </c>
      <c r="G836" s="17">
        <v>1</v>
      </c>
      <c r="H836" s="18">
        <v>1</v>
      </c>
      <c r="I836" s="19"/>
      <c r="J836" s="19">
        <v>3500</v>
      </c>
      <c r="K836" s="19"/>
      <c r="L836" s="19">
        <f t="shared" si="130"/>
        <v>1</v>
      </c>
      <c r="M836" s="21">
        <f t="shared" si="132"/>
        <v>1</v>
      </c>
      <c r="N836" s="22">
        <f t="shared" si="133"/>
        <v>1</v>
      </c>
      <c r="O836" s="22">
        <f t="shared" si="134"/>
        <v>0</v>
      </c>
      <c r="P836" s="20">
        <f t="shared" ref="P836:P899" si="135">IFERROR(K836/G836,"")</f>
        <v>0</v>
      </c>
      <c r="Q836" s="23">
        <f t="shared" si="129"/>
        <v>3500</v>
      </c>
      <c r="R836" s="20">
        <f t="shared" si="131"/>
        <v>3500</v>
      </c>
      <c r="S836" s="20">
        <f t="shared" si="131"/>
        <v>3500</v>
      </c>
      <c r="T836" s="18">
        <f t="shared" si="128"/>
        <v>3500</v>
      </c>
      <c r="U836" s="18"/>
      <c r="V836" s="25"/>
    </row>
    <row r="837" spans="1:22" ht="24" customHeight="1">
      <c r="A837" s="26"/>
      <c r="B837" s="15"/>
      <c r="C837" s="15"/>
      <c r="D837" s="16">
        <v>834</v>
      </c>
      <c r="E837" s="16" t="s">
        <v>794</v>
      </c>
      <c r="F837" s="16" t="s">
        <v>24</v>
      </c>
      <c r="G837" s="17">
        <v>1</v>
      </c>
      <c r="H837" s="18">
        <v>1</v>
      </c>
      <c r="I837" s="19"/>
      <c r="J837" s="19">
        <v>2300</v>
      </c>
      <c r="K837" s="19"/>
      <c r="L837" s="19">
        <f t="shared" si="130"/>
        <v>1</v>
      </c>
      <c r="M837" s="21">
        <f t="shared" si="132"/>
        <v>1</v>
      </c>
      <c r="N837" s="22">
        <f t="shared" si="133"/>
        <v>1</v>
      </c>
      <c r="O837" s="22">
        <f t="shared" si="134"/>
        <v>0</v>
      </c>
      <c r="P837" s="20">
        <f t="shared" si="135"/>
        <v>0</v>
      </c>
      <c r="Q837" s="23">
        <f t="shared" si="129"/>
        <v>2300</v>
      </c>
      <c r="R837" s="20">
        <f t="shared" si="131"/>
        <v>2300</v>
      </c>
      <c r="S837" s="20">
        <f t="shared" si="131"/>
        <v>2300</v>
      </c>
      <c r="T837" s="18">
        <f t="shared" ref="T837:T900" si="136">IFERROR(S837*I837+R837*H837,"")</f>
        <v>2300</v>
      </c>
      <c r="U837" s="18"/>
      <c r="V837" s="25"/>
    </row>
    <row r="838" spans="1:22" ht="24" customHeight="1">
      <c r="A838" s="26"/>
      <c r="B838" s="15"/>
      <c r="C838" s="15"/>
      <c r="D838" s="16">
        <v>835</v>
      </c>
      <c r="E838" s="16" t="s">
        <v>795</v>
      </c>
      <c r="F838" s="16" t="s">
        <v>24</v>
      </c>
      <c r="G838" s="17">
        <v>1</v>
      </c>
      <c r="H838" s="18">
        <v>1</v>
      </c>
      <c r="I838" s="19"/>
      <c r="J838" s="19">
        <v>4200</v>
      </c>
      <c r="K838" s="19"/>
      <c r="L838" s="19">
        <f t="shared" si="130"/>
        <v>1</v>
      </c>
      <c r="M838" s="21">
        <f t="shared" si="132"/>
        <v>1</v>
      </c>
      <c r="N838" s="22">
        <f t="shared" si="133"/>
        <v>1</v>
      </c>
      <c r="O838" s="22">
        <f t="shared" si="134"/>
        <v>0</v>
      </c>
      <c r="P838" s="20">
        <f t="shared" si="135"/>
        <v>0</v>
      </c>
      <c r="Q838" s="23">
        <f t="shared" si="129"/>
        <v>4200</v>
      </c>
      <c r="R838" s="20">
        <f t="shared" si="131"/>
        <v>4200</v>
      </c>
      <c r="S838" s="20">
        <f t="shared" si="131"/>
        <v>4200</v>
      </c>
      <c r="T838" s="18">
        <f t="shared" si="136"/>
        <v>4200</v>
      </c>
      <c r="U838" s="18"/>
      <c r="V838" s="25"/>
    </row>
    <row r="839" spans="1:22" ht="24" customHeight="1">
      <c r="A839" s="26"/>
      <c r="B839" s="15"/>
      <c r="C839" s="15"/>
      <c r="D839" s="16">
        <v>836</v>
      </c>
      <c r="E839" s="16" t="s">
        <v>796</v>
      </c>
      <c r="F839" s="16" t="s">
        <v>24</v>
      </c>
      <c r="G839" s="17">
        <v>1</v>
      </c>
      <c r="H839" s="18">
        <v>1</v>
      </c>
      <c r="I839" s="19"/>
      <c r="J839" s="19">
        <v>4200</v>
      </c>
      <c r="K839" s="19"/>
      <c r="L839" s="19">
        <f t="shared" si="130"/>
        <v>1</v>
      </c>
      <c r="M839" s="21">
        <f t="shared" si="132"/>
        <v>1</v>
      </c>
      <c r="N839" s="22">
        <f t="shared" si="133"/>
        <v>1</v>
      </c>
      <c r="O839" s="22">
        <f t="shared" si="134"/>
        <v>0</v>
      </c>
      <c r="P839" s="20">
        <f t="shared" si="135"/>
        <v>0</v>
      </c>
      <c r="Q839" s="23">
        <f t="shared" si="129"/>
        <v>4200</v>
      </c>
      <c r="R839" s="20">
        <f t="shared" si="131"/>
        <v>4200</v>
      </c>
      <c r="S839" s="20">
        <f t="shared" si="131"/>
        <v>4200</v>
      </c>
      <c r="T839" s="18">
        <f t="shared" si="136"/>
        <v>4200</v>
      </c>
      <c r="U839" s="18"/>
      <c r="V839" s="25"/>
    </row>
    <row r="840" spans="1:22" ht="24" customHeight="1">
      <c r="A840" s="26"/>
      <c r="B840" s="15"/>
      <c r="C840" s="15"/>
      <c r="D840" s="16">
        <v>837</v>
      </c>
      <c r="E840" s="16" t="s">
        <v>797</v>
      </c>
      <c r="F840" s="16" t="s">
        <v>24</v>
      </c>
      <c r="G840" s="17">
        <v>1</v>
      </c>
      <c r="H840" s="18">
        <v>1</v>
      </c>
      <c r="I840" s="19"/>
      <c r="J840" s="19">
        <v>4200</v>
      </c>
      <c r="K840" s="19"/>
      <c r="L840" s="19">
        <f t="shared" si="130"/>
        <v>1</v>
      </c>
      <c r="M840" s="21">
        <f t="shared" si="132"/>
        <v>1</v>
      </c>
      <c r="N840" s="22">
        <f t="shared" si="133"/>
        <v>1</v>
      </c>
      <c r="O840" s="22">
        <f t="shared" si="134"/>
        <v>0</v>
      </c>
      <c r="P840" s="20">
        <f t="shared" si="135"/>
        <v>0</v>
      </c>
      <c r="Q840" s="23">
        <f t="shared" si="129"/>
        <v>4200</v>
      </c>
      <c r="R840" s="20">
        <f t="shared" si="131"/>
        <v>4200</v>
      </c>
      <c r="S840" s="20">
        <f t="shared" si="131"/>
        <v>4200</v>
      </c>
      <c r="T840" s="18">
        <f t="shared" si="136"/>
        <v>4200</v>
      </c>
      <c r="U840" s="18"/>
      <c r="V840" s="25"/>
    </row>
    <row r="841" spans="1:22" ht="24" customHeight="1">
      <c r="A841" s="26"/>
      <c r="B841" s="15"/>
      <c r="C841" s="15"/>
      <c r="D841" s="16">
        <v>838</v>
      </c>
      <c r="E841" s="16" t="s">
        <v>798</v>
      </c>
      <c r="F841" s="16" t="s">
        <v>24</v>
      </c>
      <c r="G841" s="17">
        <v>1</v>
      </c>
      <c r="H841" s="18">
        <v>1</v>
      </c>
      <c r="I841" s="19"/>
      <c r="J841" s="19">
        <v>4500</v>
      </c>
      <c r="K841" s="19"/>
      <c r="L841" s="19">
        <f t="shared" si="130"/>
        <v>1</v>
      </c>
      <c r="M841" s="21">
        <f t="shared" si="132"/>
        <v>1</v>
      </c>
      <c r="N841" s="22">
        <f t="shared" si="133"/>
        <v>1</v>
      </c>
      <c r="O841" s="22">
        <f t="shared" si="134"/>
        <v>0</v>
      </c>
      <c r="P841" s="20">
        <f t="shared" si="135"/>
        <v>0</v>
      </c>
      <c r="Q841" s="23">
        <f t="shared" si="129"/>
        <v>4500</v>
      </c>
      <c r="R841" s="20">
        <f t="shared" si="131"/>
        <v>4500</v>
      </c>
      <c r="S841" s="20">
        <f t="shared" si="131"/>
        <v>4500</v>
      </c>
      <c r="T841" s="18">
        <f t="shared" si="136"/>
        <v>4500</v>
      </c>
      <c r="U841" s="18"/>
      <c r="V841" s="25"/>
    </row>
    <row r="842" spans="1:22" ht="24" customHeight="1">
      <c r="A842" s="26"/>
      <c r="B842" s="15"/>
      <c r="C842" s="15"/>
      <c r="D842" s="16">
        <v>839</v>
      </c>
      <c r="E842" s="16" t="s">
        <v>799</v>
      </c>
      <c r="F842" s="16" t="s">
        <v>24</v>
      </c>
      <c r="G842" s="17">
        <v>1</v>
      </c>
      <c r="H842" s="18">
        <v>1</v>
      </c>
      <c r="I842" s="19"/>
      <c r="J842" s="19">
        <v>2200</v>
      </c>
      <c r="K842" s="19"/>
      <c r="L842" s="19">
        <f t="shared" si="130"/>
        <v>1</v>
      </c>
      <c r="M842" s="21">
        <f t="shared" si="132"/>
        <v>1</v>
      </c>
      <c r="N842" s="22">
        <f t="shared" si="133"/>
        <v>1</v>
      </c>
      <c r="O842" s="22">
        <f t="shared" si="134"/>
        <v>0</v>
      </c>
      <c r="P842" s="20">
        <f t="shared" si="135"/>
        <v>0</v>
      </c>
      <c r="Q842" s="23">
        <f t="shared" si="129"/>
        <v>2200</v>
      </c>
      <c r="R842" s="20">
        <f t="shared" si="131"/>
        <v>2200</v>
      </c>
      <c r="S842" s="20">
        <f t="shared" si="131"/>
        <v>2200</v>
      </c>
      <c r="T842" s="18">
        <f t="shared" si="136"/>
        <v>2200</v>
      </c>
      <c r="U842" s="18"/>
      <c r="V842" s="25"/>
    </row>
    <row r="843" spans="1:22" ht="24" customHeight="1">
      <c r="A843" s="26"/>
      <c r="B843" s="15"/>
      <c r="C843" s="15"/>
      <c r="D843" s="16">
        <v>840</v>
      </c>
      <c r="E843" s="16" t="s">
        <v>800</v>
      </c>
      <c r="F843" s="16" t="s">
        <v>24</v>
      </c>
      <c r="G843" s="17">
        <v>1</v>
      </c>
      <c r="H843" s="18">
        <v>1</v>
      </c>
      <c r="I843" s="19"/>
      <c r="J843" s="19">
        <v>1800</v>
      </c>
      <c r="K843" s="19"/>
      <c r="L843" s="19">
        <f t="shared" si="130"/>
        <v>1</v>
      </c>
      <c r="M843" s="21">
        <f t="shared" si="132"/>
        <v>1</v>
      </c>
      <c r="N843" s="22">
        <f t="shared" si="133"/>
        <v>1</v>
      </c>
      <c r="O843" s="22">
        <f t="shared" si="134"/>
        <v>0</v>
      </c>
      <c r="P843" s="20">
        <f t="shared" si="135"/>
        <v>0</v>
      </c>
      <c r="Q843" s="23">
        <f t="shared" si="129"/>
        <v>1800</v>
      </c>
      <c r="R843" s="20">
        <f t="shared" si="131"/>
        <v>1800</v>
      </c>
      <c r="S843" s="20">
        <f t="shared" si="131"/>
        <v>1800</v>
      </c>
      <c r="T843" s="18">
        <f t="shared" si="136"/>
        <v>1800</v>
      </c>
      <c r="U843" s="18"/>
      <c r="V843" s="25"/>
    </row>
    <row r="844" spans="1:22" ht="24" customHeight="1">
      <c r="A844" s="26"/>
      <c r="B844" s="15"/>
      <c r="C844" s="15"/>
      <c r="D844" s="16">
        <v>841</v>
      </c>
      <c r="E844" s="16" t="s">
        <v>801</v>
      </c>
      <c r="F844" s="16" t="s">
        <v>24</v>
      </c>
      <c r="G844" s="17">
        <v>1</v>
      </c>
      <c r="H844" s="18">
        <v>1</v>
      </c>
      <c r="I844" s="19"/>
      <c r="J844" s="19">
        <v>3500</v>
      </c>
      <c r="K844" s="19"/>
      <c r="L844" s="19">
        <f t="shared" si="130"/>
        <v>1</v>
      </c>
      <c r="M844" s="21">
        <f t="shared" si="132"/>
        <v>1</v>
      </c>
      <c r="N844" s="22">
        <f t="shared" si="133"/>
        <v>1</v>
      </c>
      <c r="O844" s="22">
        <f t="shared" si="134"/>
        <v>0</v>
      </c>
      <c r="P844" s="20">
        <f t="shared" si="135"/>
        <v>0</v>
      </c>
      <c r="Q844" s="23">
        <f t="shared" si="129"/>
        <v>3500</v>
      </c>
      <c r="R844" s="20">
        <f t="shared" si="131"/>
        <v>3500</v>
      </c>
      <c r="S844" s="20">
        <f t="shared" si="131"/>
        <v>3500</v>
      </c>
      <c r="T844" s="18">
        <f t="shared" si="136"/>
        <v>3500</v>
      </c>
      <c r="U844" s="18"/>
      <c r="V844" s="25"/>
    </row>
    <row r="845" spans="1:22" ht="24" customHeight="1">
      <c r="A845" s="26"/>
      <c r="B845" s="15"/>
      <c r="C845" s="15"/>
      <c r="D845" s="16">
        <v>842</v>
      </c>
      <c r="E845" s="16" t="s">
        <v>802</v>
      </c>
      <c r="F845" s="16" t="s">
        <v>24</v>
      </c>
      <c r="G845" s="17">
        <v>1</v>
      </c>
      <c r="H845" s="18">
        <v>1</v>
      </c>
      <c r="I845" s="19"/>
      <c r="J845" s="19">
        <v>1500</v>
      </c>
      <c r="K845" s="19"/>
      <c r="L845" s="19">
        <f t="shared" si="130"/>
        <v>1</v>
      </c>
      <c r="M845" s="21">
        <f t="shared" si="132"/>
        <v>1</v>
      </c>
      <c r="N845" s="22">
        <f t="shared" si="133"/>
        <v>1</v>
      </c>
      <c r="O845" s="22">
        <f t="shared" si="134"/>
        <v>0</v>
      </c>
      <c r="P845" s="20">
        <f t="shared" si="135"/>
        <v>0</v>
      </c>
      <c r="Q845" s="23">
        <f t="shared" si="129"/>
        <v>1500</v>
      </c>
      <c r="R845" s="20">
        <f t="shared" si="131"/>
        <v>1500</v>
      </c>
      <c r="S845" s="20">
        <f t="shared" si="131"/>
        <v>1500</v>
      </c>
      <c r="T845" s="18">
        <f t="shared" si="136"/>
        <v>1500</v>
      </c>
      <c r="U845" s="18"/>
      <c r="V845" s="25"/>
    </row>
    <row r="846" spans="1:22" ht="24" customHeight="1">
      <c r="A846" s="26"/>
      <c r="B846" s="15"/>
      <c r="C846" s="15"/>
      <c r="D846" s="16">
        <v>843</v>
      </c>
      <c r="E846" s="16" t="s">
        <v>803</v>
      </c>
      <c r="F846" s="16" t="s">
        <v>24</v>
      </c>
      <c r="G846" s="17">
        <v>1</v>
      </c>
      <c r="H846" s="18">
        <v>1</v>
      </c>
      <c r="I846" s="19"/>
      <c r="J846" s="19">
        <v>2400</v>
      </c>
      <c r="K846" s="19"/>
      <c r="L846" s="19">
        <f t="shared" si="130"/>
        <v>1</v>
      </c>
      <c r="M846" s="21">
        <f t="shared" si="132"/>
        <v>1</v>
      </c>
      <c r="N846" s="22">
        <f t="shared" si="133"/>
        <v>1</v>
      </c>
      <c r="O846" s="22">
        <f t="shared" si="134"/>
        <v>0</v>
      </c>
      <c r="P846" s="20">
        <f t="shared" si="135"/>
        <v>0</v>
      </c>
      <c r="Q846" s="23">
        <f t="shared" si="129"/>
        <v>2400</v>
      </c>
      <c r="R846" s="20">
        <f t="shared" si="131"/>
        <v>2400</v>
      </c>
      <c r="S846" s="20">
        <f t="shared" si="131"/>
        <v>2400</v>
      </c>
      <c r="T846" s="18">
        <f t="shared" si="136"/>
        <v>2400</v>
      </c>
      <c r="U846" s="18"/>
      <c r="V846" s="25"/>
    </row>
    <row r="847" spans="1:22" ht="24" customHeight="1">
      <c r="A847" s="26"/>
      <c r="B847" s="15"/>
      <c r="C847" s="15"/>
      <c r="D847" s="16">
        <v>844</v>
      </c>
      <c r="E847" s="16" t="s">
        <v>804</v>
      </c>
      <c r="F847" s="16" t="s">
        <v>24</v>
      </c>
      <c r="G847" s="17">
        <v>1</v>
      </c>
      <c r="H847" s="18">
        <v>1</v>
      </c>
      <c r="I847" s="19"/>
      <c r="J847" s="19">
        <v>1800</v>
      </c>
      <c r="K847" s="19"/>
      <c r="L847" s="19">
        <f t="shared" si="130"/>
        <v>1</v>
      </c>
      <c r="M847" s="21">
        <f t="shared" si="132"/>
        <v>1</v>
      </c>
      <c r="N847" s="22">
        <f t="shared" si="133"/>
        <v>1</v>
      </c>
      <c r="O847" s="22">
        <f t="shared" si="134"/>
        <v>0</v>
      </c>
      <c r="P847" s="20">
        <f t="shared" si="135"/>
        <v>0</v>
      </c>
      <c r="Q847" s="23">
        <f t="shared" si="129"/>
        <v>1800</v>
      </c>
      <c r="R847" s="20">
        <f t="shared" si="131"/>
        <v>1800</v>
      </c>
      <c r="S847" s="20">
        <f t="shared" si="131"/>
        <v>1800</v>
      </c>
      <c r="T847" s="18">
        <f t="shared" si="136"/>
        <v>1800</v>
      </c>
      <c r="U847" s="18"/>
      <c r="V847" s="25"/>
    </row>
    <row r="848" spans="1:22" ht="24" customHeight="1">
      <c r="A848" s="26"/>
      <c r="B848" s="15"/>
      <c r="C848" s="15"/>
      <c r="D848" s="16">
        <v>845</v>
      </c>
      <c r="E848" s="16" t="s">
        <v>805</v>
      </c>
      <c r="F848" s="16" t="s">
        <v>24</v>
      </c>
      <c r="G848" s="17">
        <v>1</v>
      </c>
      <c r="H848" s="18">
        <v>1</v>
      </c>
      <c r="I848" s="19"/>
      <c r="J848" s="19">
        <v>2000</v>
      </c>
      <c r="K848" s="19"/>
      <c r="L848" s="19">
        <f t="shared" si="130"/>
        <v>1</v>
      </c>
      <c r="M848" s="21">
        <f t="shared" si="132"/>
        <v>1</v>
      </c>
      <c r="N848" s="22">
        <f t="shared" si="133"/>
        <v>1</v>
      </c>
      <c r="O848" s="22">
        <f t="shared" si="134"/>
        <v>0</v>
      </c>
      <c r="P848" s="20">
        <f t="shared" si="135"/>
        <v>0</v>
      </c>
      <c r="Q848" s="23">
        <f t="shared" si="129"/>
        <v>2000</v>
      </c>
      <c r="R848" s="20">
        <f t="shared" si="131"/>
        <v>2000</v>
      </c>
      <c r="S848" s="20">
        <f t="shared" si="131"/>
        <v>2000</v>
      </c>
      <c r="T848" s="18">
        <f t="shared" si="136"/>
        <v>2000</v>
      </c>
      <c r="U848" s="18"/>
      <c r="V848" s="25"/>
    </row>
    <row r="849" spans="1:22" ht="24" customHeight="1">
      <c r="A849" s="26"/>
      <c r="B849" s="15"/>
      <c r="C849" s="15"/>
      <c r="D849" s="16">
        <v>846</v>
      </c>
      <c r="E849" s="16" t="s">
        <v>806</v>
      </c>
      <c r="F849" s="16" t="s">
        <v>24</v>
      </c>
      <c r="G849" s="17">
        <v>1</v>
      </c>
      <c r="H849" s="18">
        <v>1</v>
      </c>
      <c r="I849" s="19"/>
      <c r="J849" s="19">
        <v>2000</v>
      </c>
      <c r="K849" s="19"/>
      <c r="L849" s="19">
        <f t="shared" si="130"/>
        <v>1</v>
      </c>
      <c r="M849" s="21">
        <f t="shared" si="132"/>
        <v>1</v>
      </c>
      <c r="N849" s="22">
        <f t="shared" si="133"/>
        <v>1</v>
      </c>
      <c r="O849" s="22">
        <f t="shared" si="134"/>
        <v>0</v>
      </c>
      <c r="P849" s="20">
        <f t="shared" si="135"/>
        <v>0</v>
      </c>
      <c r="Q849" s="23">
        <f t="shared" si="129"/>
        <v>2000</v>
      </c>
      <c r="R849" s="20">
        <f t="shared" si="131"/>
        <v>2000</v>
      </c>
      <c r="S849" s="20">
        <f t="shared" si="131"/>
        <v>2000</v>
      </c>
      <c r="T849" s="18">
        <f t="shared" si="136"/>
        <v>2000</v>
      </c>
      <c r="U849" s="18"/>
      <c r="V849" s="25"/>
    </row>
    <row r="850" spans="1:22" ht="24" customHeight="1">
      <c r="A850" s="26"/>
      <c r="B850" s="15"/>
      <c r="C850" s="15"/>
      <c r="D850" s="16">
        <v>847</v>
      </c>
      <c r="E850" s="16" t="s">
        <v>807</v>
      </c>
      <c r="F850" s="16" t="s">
        <v>24</v>
      </c>
      <c r="G850" s="17">
        <v>1</v>
      </c>
      <c r="H850" s="18">
        <v>1</v>
      </c>
      <c r="I850" s="19"/>
      <c r="J850" s="19">
        <v>1500</v>
      </c>
      <c r="K850" s="19"/>
      <c r="L850" s="19">
        <f t="shared" si="130"/>
        <v>1</v>
      </c>
      <c r="M850" s="21">
        <f t="shared" si="132"/>
        <v>1</v>
      </c>
      <c r="N850" s="22">
        <f t="shared" si="133"/>
        <v>1</v>
      </c>
      <c r="O850" s="22">
        <f t="shared" si="134"/>
        <v>0</v>
      </c>
      <c r="P850" s="20">
        <f t="shared" si="135"/>
        <v>0</v>
      </c>
      <c r="Q850" s="23">
        <f t="shared" si="129"/>
        <v>1500</v>
      </c>
      <c r="R850" s="20">
        <f t="shared" si="131"/>
        <v>1500</v>
      </c>
      <c r="S850" s="20">
        <f t="shared" si="131"/>
        <v>1500</v>
      </c>
      <c r="T850" s="18">
        <f t="shared" si="136"/>
        <v>1500</v>
      </c>
      <c r="U850" s="18"/>
      <c r="V850" s="25"/>
    </row>
    <row r="851" spans="1:22" ht="24" customHeight="1">
      <c r="A851" s="26"/>
      <c r="B851" s="15"/>
      <c r="C851" s="15"/>
      <c r="D851" s="16">
        <v>848</v>
      </c>
      <c r="E851" s="16" t="s">
        <v>808</v>
      </c>
      <c r="F851" s="16" t="s">
        <v>24</v>
      </c>
      <c r="G851" s="17">
        <v>1</v>
      </c>
      <c r="H851" s="18">
        <v>1</v>
      </c>
      <c r="I851" s="19"/>
      <c r="J851" s="19">
        <v>2100</v>
      </c>
      <c r="K851" s="19"/>
      <c r="L851" s="19">
        <f t="shared" si="130"/>
        <v>1</v>
      </c>
      <c r="M851" s="21">
        <f t="shared" si="132"/>
        <v>1</v>
      </c>
      <c r="N851" s="22">
        <f t="shared" si="133"/>
        <v>1</v>
      </c>
      <c r="O851" s="22">
        <f t="shared" si="134"/>
        <v>0</v>
      </c>
      <c r="P851" s="20">
        <f t="shared" si="135"/>
        <v>0</v>
      </c>
      <c r="Q851" s="23">
        <f t="shared" si="129"/>
        <v>2100</v>
      </c>
      <c r="R851" s="20">
        <f t="shared" si="131"/>
        <v>2100</v>
      </c>
      <c r="S851" s="20">
        <f t="shared" si="131"/>
        <v>2100</v>
      </c>
      <c r="T851" s="18">
        <f t="shared" si="136"/>
        <v>2100</v>
      </c>
      <c r="U851" s="18"/>
      <c r="V851" s="25"/>
    </row>
    <row r="852" spans="1:22" ht="24" customHeight="1">
      <c r="A852" s="26"/>
      <c r="B852" s="15"/>
      <c r="C852" s="15"/>
      <c r="D852" s="16">
        <v>849</v>
      </c>
      <c r="E852" s="16" t="s">
        <v>809</v>
      </c>
      <c r="F852" s="16" t="s">
        <v>24</v>
      </c>
      <c r="G852" s="17">
        <v>1</v>
      </c>
      <c r="H852" s="18">
        <v>1</v>
      </c>
      <c r="I852" s="19"/>
      <c r="J852" s="19">
        <v>5500</v>
      </c>
      <c r="K852" s="19"/>
      <c r="L852" s="19">
        <f t="shared" si="130"/>
        <v>1</v>
      </c>
      <c r="M852" s="21">
        <f t="shared" si="132"/>
        <v>1</v>
      </c>
      <c r="N852" s="22">
        <f t="shared" si="133"/>
        <v>1</v>
      </c>
      <c r="O852" s="22">
        <f t="shared" si="134"/>
        <v>0</v>
      </c>
      <c r="P852" s="20">
        <f t="shared" si="135"/>
        <v>0</v>
      </c>
      <c r="Q852" s="23">
        <f t="shared" si="129"/>
        <v>5500</v>
      </c>
      <c r="R852" s="20">
        <f t="shared" si="131"/>
        <v>5500</v>
      </c>
      <c r="S852" s="20">
        <f t="shared" si="131"/>
        <v>5500</v>
      </c>
      <c r="T852" s="18">
        <f t="shared" si="136"/>
        <v>5500</v>
      </c>
      <c r="U852" s="18"/>
      <c r="V852" s="25"/>
    </row>
    <row r="853" spans="1:22" ht="24" customHeight="1">
      <c r="A853" s="26"/>
      <c r="B853" s="15"/>
      <c r="C853" s="15"/>
      <c r="D853" s="16">
        <v>850</v>
      </c>
      <c r="E853" s="16" t="s">
        <v>810</v>
      </c>
      <c r="F853" s="16" t="s">
        <v>24</v>
      </c>
      <c r="G853" s="17">
        <v>1</v>
      </c>
      <c r="H853" s="18">
        <v>2</v>
      </c>
      <c r="I853" s="19"/>
      <c r="J853" s="19">
        <v>5500</v>
      </c>
      <c r="K853" s="19"/>
      <c r="L853" s="19">
        <f t="shared" si="130"/>
        <v>2</v>
      </c>
      <c r="M853" s="21">
        <f t="shared" si="132"/>
        <v>2</v>
      </c>
      <c r="N853" s="22">
        <f t="shared" si="133"/>
        <v>2</v>
      </c>
      <c r="O853" s="22">
        <f t="shared" si="134"/>
        <v>0</v>
      </c>
      <c r="P853" s="20">
        <f t="shared" si="135"/>
        <v>0</v>
      </c>
      <c r="Q853" s="23">
        <f t="shared" si="129"/>
        <v>5500</v>
      </c>
      <c r="R853" s="20">
        <f t="shared" si="131"/>
        <v>5500</v>
      </c>
      <c r="S853" s="20">
        <f t="shared" si="131"/>
        <v>5500</v>
      </c>
      <c r="T853" s="18">
        <f t="shared" si="136"/>
        <v>11000</v>
      </c>
      <c r="U853" s="18"/>
      <c r="V853" s="25"/>
    </row>
    <row r="854" spans="1:22" ht="24" customHeight="1">
      <c r="A854" s="26"/>
      <c r="B854" s="15"/>
      <c r="C854" s="15"/>
      <c r="D854" s="16">
        <v>851</v>
      </c>
      <c r="E854" s="16" t="s">
        <v>811</v>
      </c>
      <c r="F854" s="16" t="s">
        <v>24</v>
      </c>
      <c r="G854" s="17">
        <v>1</v>
      </c>
      <c r="H854" s="18">
        <v>1</v>
      </c>
      <c r="I854" s="19"/>
      <c r="J854" s="19">
        <v>5500</v>
      </c>
      <c r="K854" s="19"/>
      <c r="L854" s="19">
        <f t="shared" si="130"/>
        <v>1</v>
      </c>
      <c r="M854" s="21">
        <f t="shared" si="132"/>
        <v>1</v>
      </c>
      <c r="N854" s="22">
        <f t="shared" si="133"/>
        <v>1</v>
      </c>
      <c r="O854" s="22">
        <f t="shared" si="134"/>
        <v>0</v>
      </c>
      <c r="P854" s="20">
        <f t="shared" si="135"/>
        <v>0</v>
      </c>
      <c r="Q854" s="23">
        <f t="shared" si="129"/>
        <v>5500</v>
      </c>
      <c r="R854" s="20">
        <f t="shared" si="131"/>
        <v>5500</v>
      </c>
      <c r="S854" s="20">
        <f t="shared" si="131"/>
        <v>5500</v>
      </c>
      <c r="T854" s="18">
        <f t="shared" si="136"/>
        <v>5500</v>
      </c>
      <c r="U854" s="18"/>
      <c r="V854" s="25"/>
    </row>
    <row r="855" spans="1:22" ht="24" customHeight="1">
      <c r="A855" s="26"/>
      <c r="B855" s="15"/>
      <c r="C855" s="15"/>
      <c r="D855" s="16">
        <v>852</v>
      </c>
      <c r="E855" s="16" t="s">
        <v>812</v>
      </c>
      <c r="F855" s="16" t="s">
        <v>24</v>
      </c>
      <c r="G855" s="17">
        <v>1</v>
      </c>
      <c r="H855" s="18">
        <v>2</v>
      </c>
      <c r="I855" s="19"/>
      <c r="J855" s="19">
        <v>4200</v>
      </c>
      <c r="K855" s="19"/>
      <c r="L855" s="19">
        <f t="shared" si="130"/>
        <v>2</v>
      </c>
      <c r="M855" s="21">
        <f t="shared" si="132"/>
        <v>2</v>
      </c>
      <c r="N855" s="22">
        <f t="shared" si="133"/>
        <v>2</v>
      </c>
      <c r="O855" s="22">
        <f t="shared" si="134"/>
        <v>0</v>
      </c>
      <c r="P855" s="20">
        <f t="shared" si="135"/>
        <v>0</v>
      </c>
      <c r="Q855" s="23">
        <f t="shared" si="129"/>
        <v>4200</v>
      </c>
      <c r="R855" s="20">
        <f t="shared" si="131"/>
        <v>4200</v>
      </c>
      <c r="S855" s="20">
        <f t="shared" si="131"/>
        <v>4200</v>
      </c>
      <c r="T855" s="18">
        <f t="shared" si="136"/>
        <v>8400</v>
      </c>
      <c r="U855" s="18"/>
      <c r="V855" s="25"/>
    </row>
    <row r="856" spans="1:22" ht="24" customHeight="1">
      <c r="A856" s="26"/>
      <c r="B856" s="15"/>
      <c r="C856" s="15"/>
      <c r="D856" s="16">
        <v>853</v>
      </c>
      <c r="E856" s="16" t="s">
        <v>813</v>
      </c>
      <c r="F856" s="16" t="s">
        <v>24</v>
      </c>
      <c r="G856" s="17">
        <v>1</v>
      </c>
      <c r="H856" s="18">
        <v>1</v>
      </c>
      <c r="I856" s="19"/>
      <c r="J856" s="19">
        <v>3800</v>
      </c>
      <c r="K856" s="19"/>
      <c r="L856" s="19">
        <f t="shared" si="130"/>
        <v>1</v>
      </c>
      <c r="M856" s="21">
        <f t="shared" si="132"/>
        <v>1</v>
      </c>
      <c r="N856" s="22">
        <f t="shared" si="133"/>
        <v>1</v>
      </c>
      <c r="O856" s="22">
        <f t="shared" si="134"/>
        <v>0</v>
      </c>
      <c r="P856" s="20">
        <f t="shared" si="135"/>
        <v>0</v>
      </c>
      <c r="Q856" s="23">
        <f t="shared" si="129"/>
        <v>3800</v>
      </c>
      <c r="R856" s="20">
        <f t="shared" si="131"/>
        <v>3800</v>
      </c>
      <c r="S856" s="20">
        <f t="shared" si="131"/>
        <v>3800</v>
      </c>
      <c r="T856" s="18">
        <f t="shared" si="136"/>
        <v>3800</v>
      </c>
      <c r="U856" s="18"/>
      <c r="V856" s="25"/>
    </row>
    <row r="857" spans="1:22" ht="24" customHeight="1">
      <c r="A857" s="26"/>
      <c r="B857" s="15"/>
      <c r="C857" s="15"/>
      <c r="D857" s="16">
        <v>854</v>
      </c>
      <c r="E857" s="16" t="s">
        <v>814</v>
      </c>
      <c r="F857" s="16" t="s">
        <v>24</v>
      </c>
      <c r="G857" s="17">
        <v>1</v>
      </c>
      <c r="H857" s="18">
        <v>1</v>
      </c>
      <c r="I857" s="19"/>
      <c r="J857" s="19">
        <v>4600</v>
      </c>
      <c r="K857" s="19"/>
      <c r="L857" s="19">
        <f t="shared" si="130"/>
        <v>1</v>
      </c>
      <c r="M857" s="21">
        <f t="shared" si="132"/>
        <v>1</v>
      </c>
      <c r="N857" s="22">
        <f t="shared" si="133"/>
        <v>1</v>
      </c>
      <c r="O857" s="22">
        <f t="shared" si="134"/>
        <v>0</v>
      </c>
      <c r="P857" s="20">
        <f t="shared" si="135"/>
        <v>0</v>
      </c>
      <c r="Q857" s="23">
        <f t="shared" si="129"/>
        <v>4600</v>
      </c>
      <c r="R857" s="20">
        <f t="shared" si="131"/>
        <v>4600</v>
      </c>
      <c r="S857" s="20">
        <f t="shared" si="131"/>
        <v>4600</v>
      </c>
      <c r="T857" s="18">
        <f t="shared" si="136"/>
        <v>4600</v>
      </c>
      <c r="U857" s="18"/>
      <c r="V857" s="25"/>
    </row>
    <row r="858" spans="1:22" ht="24" customHeight="1">
      <c r="A858" s="26"/>
      <c r="B858" s="15"/>
      <c r="C858" s="15"/>
      <c r="D858" s="16">
        <v>855</v>
      </c>
      <c r="E858" s="16" t="s">
        <v>815</v>
      </c>
      <c r="F858" s="16" t="s">
        <v>24</v>
      </c>
      <c r="G858" s="17">
        <v>1</v>
      </c>
      <c r="H858" s="18">
        <v>1</v>
      </c>
      <c r="I858" s="19"/>
      <c r="J858" s="19">
        <v>3500</v>
      </c>
      <c r="K858" s="19"/>
      <c r="L858" s="19">
        <f t="shared" si="130"/>
        <v>1</v>
      </c>
      <c r="M858" s="21">
        <f t="shared" si="132"/>
        <v>1</v>
      </c>
      <c r="N858" s="22">
        <f t="shared" si="133"/>
        <v>1</v>
      </c>
      <c r="O858" s="22">
        <f t="shared" si="134"/>
        <v>0</v>
      </c>
      <c r="P858" s="20">
        <f t="shared" si="135"/>
        <v>0</v>
      </c>
      <c r="Q858" s="23">
        <f t="shared" si="129"/>
        <v>3500</v>
      </c>
      <c r="R858" s="20">
        <f t="shared" si="131"/>
        <v>3500</v>
      </c>
      <c r="S858" s="20">
        <f t="shared" si="131"/>
        <v>3500</v>
      </c>
      <c r="T858" s="18">
        <f t="shared" si="136"/>
        <v>3500</v>
      </c>
      <c r="U858" s="18"/>
      <c r="V858" s="25"/>
    </row>
    <row r="859" spans="1:22" ht="24" customHeight="1">
      <c r="A859" s="26"/>
      <c r="B859" s="15"/>
      <c r="C859" s="15"/>
      <c r="D859" s="16">
        <v>856</v>
      </c>
      <c r="E859" s="16" t="s">
        <v>816</v>
      </c>
      <c r="F859" s="16" t="s">
        <v>24</v>
      </c>
      <c r="G859" s="17">
        <v>1</v>
      </c>
      <c r="H859" s="18">
        <v>1</v>
      </c>
      <c r="I859" s="19"/>
      <c r="J859" s="19">
        <v>3500</v>
      </c>
      <c r="K859" s="19"/>
      <c r="L859" s="19">
        <f t="shared" si="130"/>
        <v>1</v>
      </c>
      <c r="M859" s="21">
        <f t="shared" si="132"/>
        <v>1</v>
      </c>
      <c r="N859" s="22">
        <f t="shared" si="133"/>
        <v>1</v>
      </c>
      <c r="O859" s="22">
        <f t="shared" si="134"/>
        <v>0</v>
      </c>
      <c r="P859" s="20">
        <f t="shared" si="135"/>
        <v>0</v>
      </c>
      <c r="Q859" s="23">
        <f t="shared" si="129"/>
        <v>3500</v>
      </c>
      <c r="R859" s="20">
        <f t="shared" si="131"/>
        <v>3500</v>
      </c>
      <c r="S859" s="20">
        <f t="shared" si="131"/>
        <v>3500</v>
      </c>
      <c r="T859" s="18">
        <f t="shared" si="136"/>
        <v>3500</v>
      </c>
      <c r="U859" s="18"/>
      <c r="V859" s="25"/>
    </row>
    <row r="860" spans="1:22" ht="24" customHeight="1">
      <c r="A860" s="26"/>
      <c r="B860" s="15"/>
      <c r="C860" s="15"/>
      <c r="D860" s="16">
        <v>857</v>
      </c>
      <c r="E860" s="16" t="s">
        <v>817</v>
      </c>
      <c r="F860" s="16" t="s">
        <v>24</v>
      </c>
      <c r="G860" s="17">
        <v>1</v>
      </c>
      <c r="H860" s="18">
        <v>1</v>
      </c>
      <c r="I860" s="19"/>
      <c r="J860" s="19">
        <v>3500</v>
      </c>
      <c r="K860" s="19"/>
      <c r="L860" s="19">
        <f t="shared" si="130"/>
        <v>1</v>
      </c>
      <c r="M860" s="21">
        <f t="shared" si="132"/>
        <v>1</v>
      </c>
      <c r="N860" s="22">
        <f t="shared" si="133"/>
        <v>1</v>
      </c>
      <c r="O860" s="22">
        <f t="shared" si="134"/>
        <v>0</v>
      </c>
      <c r="P860" s="20">
        <f t="shared" si="135"/>
        <v>0</v>
      </c>
      <c r="Q860" s="23">
        <f t="shared" si="129"/>
        <v>3500</v>
      </c>
      <c r="R860" s="20">
        <f t="shared" si="131"/>
        <v>3500</v>
      </c>
      <c r="S860" s="20">
        <f t="shared" si="131"/>
        <v>3500</v>
      </c>
      <c r="T860" s="18">
        <f t="shared" si="136"/>
        <v>3500</v>
      </c>
      <c r="U860" s="18"/>
      <c r="V860" s="25"/>
    </row>
    <row r="861" spans="1:22" ht="24" customHeight="1">
      <c r="A861" s="26"/>
      <c r="B861" s="15"/>
      <c r="C861" s="15"/>
      <c r="D861" s="16">
        <v>858</v>
      </c>
      <c r="E861" s="16" t="s">
        <v>818</v>
      </c>
      <c r="F861" s="16" t="s">
        <v>24</v>
      </c>
      <c r="G861" s="17">
        <v>1</v>
      </c>
      <c r="H861" s="18">
        <v>11</v>
      </c>
      <c r="I861" s="19"/>
      <c r="J861" s="19">
        <v>750</v>
      </c>
      <c r="K861" s="19"/>
      <c r="L861" s="19">
        <f t="shared" si="130"/>
        <v>11</v>
      </c>
      <c r="M861" s="21">
        <f t="shared" si="132"/>
        <v>11</v>
      </c>
      <c r="N861" s="22">
        <f t="shared" si="133"/>
        <v>11</v>
      </c>
      <c r="O861" s="22">
        <f t="shared" si="134"/>
        <v>0</v>
      </c>
      <c r="P861" s="20">
        <f t="shared" si="135"/>
        <v>0</v>
      </c>
      <c r="Q861" s="23">
        <f t="shared" ref="Q861:Q924" si="137">IFERROR(J861*G861,"")</f>
        <v>750</v>
      </c>
      <c r="R861" s="20">
        <f t="shared" si="131"/>
        <v>750</v>
      </c>
      <c r="S861" s="20">
        <f t="shared" si="131"/>
        <v>750</v>
      </c>
      <c r="T861" s="18">
        <f t="shared" si="136"/>
        <v>8250</v>
      </c>
      <c r="U861" s="18"/>
      <c r="V861" s="25"/>
    </row>
    <row r="862" spans="1:22" ht="24" customHeight="1">
      <c r="A862" s="26"/>
      <c r="B862" s="15"/>
      <c r="C862" s="15"/>
      <c r="D862" s="16">
        <v>859</v>
      </c>
      <c r="E862" s="16" t="s">
        <v>805</v>
      </c>
      <c r="F862" s="16" t="s">
        <v>24</v>
      </c>
      <c r="G862" s="17">
        <v>1</v>
      </c>
      <c r="H862" s="18">
        <v>5</v>
      </c>
      <c r="I862" s="19"/>
      <c r="J862" s="19">
        <v>1200</v>
      </c>
      <c r="K862" s="19"/>
      <c r="L862" s="19">
        <f t="shared" si="130"/>
        <v>5</v>
      </c>
      <c r="M862" s="21">
        <f t="shared" si="132"/>
        <v>5</v>
      </c>
      <c r="N862" s="22">
        <f t="shared" si="133"/>
        <v>5</v>
      </c>
      <c r="O862" s="22">
        <f t="shared" si="134"/>
        <v>0</v>
      </c>
      <c r="P862" s="20">
        <f t="shared" si="135"/>
        <v>0</v>
      </c>
      <c r="Q862" s="23">
        <f t="shared" si="137"/>
        <v>1200</v>
      </c>
      <c r="R862" s="20">
        <f t="shared" si="131"/>
        <v>1200</v>
      </c>
      <c r="S862" s="20">
        <f t="shared" si="131"/>
        <v>1200</v>
      </c>
      <c r="T862" s="18">
        <f t="shared" si="136"/>
        <v>6000</v>
      </c>
      <c r="U862" s="18"/>
      <c r="V862" s="25"/>
    </row>
    <row r="863" spans="1:22" ht="24" customHeight="1">
      <c r="A863" s="26"/>
      <c r="B863" s="15"/>
      <c r="C863" s="15"/>
      <c r="D863" s="16">
        <v>860</v>
      </c>
      <c r="E863" s="16" t="s">
        <v>819</v>
      </c>
      <c r="F863" s="16" t="s">
        <v>24</v>
      </c>
      <c r="G863" s="17">
        <v>1</v>
      </c>
      <c r="H863" s="18">
        <v>5</v>
      </c>
      <c r="I863" s="19"/>
      <c r="J863" s="19">
        <v>2800</v>
      </c>
      <c r="K863" s="19"/>
      <c r="L863" s="19">
        <f t="shared" si="130"/>
        <v>5</v>
      </c>
      <c r="M863" s="21">
        <f t="shared" si="132"/>
        <v>5</v>
      </c>
      <c r="N863" s="22">
        <f t="shared" si="133"/>
        <v>5</v>
      </c>
      <c r="O863" s="22">
        <f t="shared" si="134"/>
        <v>0</v>
      </c>
      <c r="P863" s="20">
        <f t="shared" si="135"/>
        <v>0</v>
      </c>
      <c r="Q863" s="23">
        <f t="shared" si="137"/>
        <v>2800</v>
      </c>
      <c r="R863" s="20">
        <f t="shared" si="131"/>
        <v>2800</v>
      </c>
      <c r="S863" s="20">
        <f t="shared" si="131"/>
        <v>2800</v>
      </c>
      <c r="T863" s="18">
        <f t="shared" si="136"/>
        <v>14000</v>
      </c>
      <c r="U863" s="18"/>
      <c r="V863" s="25"/>
    </row>
    <row r="864" spans="1:22" ht="24" customHeight="1">
      <c r="A864" s="26"/>
      <c r="B864" s="15"/>
      <c r="C864" s="15"/>
      <c r="D864" s="16">
        <v>861</v>
      </c>
      <c r="E864" s="16" t="s">
        <v>820</v>
      </c>
      <c r="F864" s="16" t="s">
        <v>24</v>
      </c>
      <c r="G864" s="17">
        <v>1</v>
      </c>
      <c r="H864" s="18">
        <v>1</v>
      </c>
      <c r="I864" s="19"/>
      <c r="J864" s="19">
        <v>2800</v>
      </c>
      <c r="K864" s="19"/>
      <c r="L864" s="19">
        <f t="shared" si="130"/>
        <v>1</v>
      </c>
      <c r="M864" s="21">
        <f t="shared" si="132"/>
        <v>1</v>
      </c>
      <c r="N864" s="22">
        <f t="shared" si="133"/>
        <v>1</v>
      </c>
      <c r="O864" s="22">
        <f t="shared" si="134"/>
        <v>0</v>
      </c>
      <c r="P864" s="20">
        <f t="shared" si="135"/>
        <v>0</v>
      </c>
      <c r="Q864" s="23">
        <f t="shared" si="137"/>
        <v>2800</v>
      </c>
      <c r="R864" s="20">
        <f t="shared" si="131"/>
        <v>2800</v>
      </c>
      <c r="S864" s="20">
        <f t="shared" si="131"/>
        <v>2800</v>
      </c>
      <c r="T864" s="18">
        <f t="shared" si="136"/>
        <v>2800</v>
      </c>
      <c r="U864" s="18"/>
      <c r="V864" s="25"/>
    </row>
    <row r="865" spans="1:22" ht="24" customHeight="1">
      <c r="A865" s="26"/>
      <c r="B865" s="15"/>
      <c r="C865" s="15"/>
      <c r="D865" s="16">
        <v>862</v>
      </c>
      <c r="E865" s="16" t="s">
        <v>821</v>
      </c>
      <c r="F865" s="16" t="s">
        <v>24</v>
      </c>
      <c r="G865" s="17">
        <v>1</v>
      </c>
      <c r="H865" s="18">
        <v>1</v>
      </c>
      <c r="I865" s="19"/>
      <c r="J865" s="19">
        <v>2800</v>
      </c>
      <c r="K865" s="19"/>
      <c r="L865" s="19">
        <f t="shared" si="130"/>
        <v>1</v>
      </c>
      <c r="M865" s="21">
        <f t="shared" si="132"/>
        <v>1</v>
      </c>
      <c r="N865" s="22">
        <f t="shared" si="133"/>
        <v>1</v>
      </c>
      <c r="O865" s="22">
        <f t="shared" si="134"/>
        <v>0</v>
      </c>
      <c r="P865" s="20">
        <f t="shared" si="135"/>
        <v>0</v>
      </c>
      <c r="Q865" s="23">
        <f t="shared" si="137"/>
        <v>2800</v>
      </c>
      <c r="R865" s="20">
        <f t="shared" si="131"/>
        <v>2800</v>
      </c>
      <c r="S865" s="20">
        <f t="shared" si="131"/>
        <v>2800</v>
      </c>
      <c r="T865" s="18">
        <f t="shared" si="136"/>
        <v>2800</v>
      </c>
      <c r="U865" s="18"/>
      <c r="V865" s="25"/>
    </row>
    <row r="866" spans="1:22" ht="24" customHeight="1">
      <c r="A866" s="26"/>
      <c r="B866" s="15"/>
      <c r="C866" s="15"/>
      <c r="D866" s="16">
        <v>863</v>
      </c>
      <c r="E866" s="16" t="s">
        <v>822</v>
      </c>
      <c r="F866" s="16" t="s">
        <v>24</v>
      </c>
      <c r="G866" s="17">
        <v>1</v>
      </c>
      <c r="H866" s="18">
        <v>1</v>
      </c>
      <c r="I866" s="19"/>
      <c r="J866" s="19">
        <v>1500</v>
      </c>
      <c r="K866" s="19"/>
      <c r="L866" s="19">
        <f t="shared" si="130"/>
        <v>1</v>
      </c>
      <c r="M866" s="21">
        <f t="shared" si="132"/>
        <v>1</v>
      </c>
      <c r="N866" s="22">
        <f t="shared" si="133"/>
        <v>1</v>
      </c>
      <c r="O866" s="22">
        <f t="shared" si="134"/>
        <v>0</v>
      </c>
      <c r="P866" s="20">
        <f t="shared" si="135"/>
        <v>0</v>
      </c>
      <c r="Q866" s="23">
        <f t="shared" si="137"/>
        <v>1500</v>
      </c>
      <c r="R866" s="20">
        <f t="shared" si="131"/>
        <v>1500</v>
      </c>
      <c r="S866" s="20">
        <f t="shared" si="131"/>
        <v>1500</v>
      </c>
      <c r="T866" s="18">
        <f t="shared" si="136"/>
        <v>1500</v>
      </c>
      <c r="U866" s="18"/>
      <c r="V866" s="25"/>
    </row>
    <row r="867" spans="1:22" ht="24" customHeight="1">
      <c r="A867" s="26"/>
      <c r="B867" s="15"/>
      <c r="C867" s="15"/>
      <c r="D867" s="16">
        <v>864</v>
      </c>
      <c r="E867" s="16" t="s">
        <v>823</v>
      </c>
      <c r="F867" s="16" t="s">
        <v>24</v>
      </c>
      <c r="G867" s="17">
        <v>1</v>
      </c>
      <c r="H867" s="18">
        <v>1</v>
      </c>
      <c r="I867" s="19"/>
      <c r="J867" s="19">
        <v>2800</v>
      </c>
      <c r="K867" s="19"/>
      <c r="L867" s="19">
        <f t="shared" si="130"/>
        <v>1</v>
      </c>
      <c r="M867" s="21">
        <f t="shared" si="132"/>
        <v>1</v>
      </c>
      <c r="N867" s="22">
        <f t="shared" si="133"/>
        <v>1</v>
      </c>
      <c r="O867" s="22">
        <f t="shared" si="134"/>
        <v>0</v>
      </c>
      <c r="P867" s="20">
        <f t="shared" si="135"/>
        <v>0</v>
      </c>
      <c r="Q867" s="23">
        <f t="shared" si="137"/>
        <v>2800</v>
      </c>
      <c r="R867" s="20">
        <f t="shared" si="131"/>
        <v>2800</v>
      </c>
      <c r="S867" s="20">
        <f t="shared" si="131"/>
        <v>2800</v>
      </c>
      <c r="T867" s="18">
        <f t="shared" si="136"/>
        <v>2800</v>
      </c>
      <c r="U867" s="18"/>
      <c r="V867" s="25"/>
    </row>
    <row r="868" spans="1:22" ht="24" customHeight="1">
      <c r="A868" s="26"/>
      <c r="B868" s="15"/>
      <c r="C868" s="15"/>
      <c r="D868" s="16">
        <v>865</v>
      </c>
      <c r="E868" s="16" t="s">
        <v>824</v>
      </c>
      <c r="F868" s="16" t="s">
        <v>24</v>
      </c>
      <c r="G868" s="17">
        <v>1</v>
      </c>
      <c r="H868" s="18">
        <v>1</v>
      </c>
      <c r="I868" s="19"/>
      <c r="J868" s="19">
        <v>2800</v>
      </c>
      <c r="K868" s="19"/>
      <c r="L868" s="19">
        <f t="shared" si="130"/>
        <v>1</v>
      </c>
      <c r="M868" s="21">
        <f t="shared" si="132"/>
        <v>1</v>
      </c>
      <c r="N868" s="22">
        <f t="shared" si="133"/>
        <v>1</v>
      </c>
      <c r="O868" s="22">
        <f t="shared" si="134"/>
        <v>0</v>
      </c>
      <c r="P868" s="20">
        <f t="shared" si="135"/>
        <v>0</v>
      </c>
      <c r="Q868" s="23">
        <f t="shared" si="137"/>
        <v>2800</v>
      </c>
      <c r="R868" s="20">
        <f t="shared" si="131"/>
        <v>2800</v>
      </c>
      <c r="S868" s="20">
        <f t="shared" si="131"/>
        <v>2800</v>
      </c>
      <c r="T868" s="18">
        <f t="shared" si="136"/>
        <v>2800</v>
      </c>
      <c r="U868" s="18"/>
      <c r="V868" s="25"/>
    </row>
    <row r="869" spans="1:22" ht="24" customHeight="1">
      <c r="A869" s="26"/>
      <c r="B869" s="15"/>
      <c r="C869" s="15"/>
      <c r="D869" s="16">
        <v>866</v>
      </c>
      <c r="E869" s="16" t="s">
        <v>825</v>
      </c>
      <c r="F869" s="16" t="s">
        <v>24</v>
      </c>
      <c r="G869" s="17">
        <v>1</v>
      </c>
      <c r="H869" s="18">
        <v>1</v>
      </c>
      <c r="I869" s="19"/>
      <c r="J869" s="19">
        <v>3400</v>
      </c>
      <c r="K869" s="19"/>
      <c r="L869" s="19">
        <f t="shared" si="130"/>
        <v>1</v>
      </c>
      <c r="M869" s="21">
        <f t="shared" si="132"/>
        <v>1</v>
      </c>
      <c r="N869" s="22">
        <f t="shared" si="133"/>
        <v>1</v>
      </c>
      <c r="O869" s="22">
        <f t="shared" si="134"/>
        <v>0</v>
      </c>
      <c r="P869" s="20">
        <f t="shared" si="135"/>
        <v>0</v>
      </c>
      <c r="Q869" s="23">
        <f t="shared" si="137"/>
        <v>3400</v>
      </c>
      <c r="R869" s="20">
        <f t="shared" si="131"/>
        <v>3400</v>
      </c>
      <c r="S869" s="20">
        <f t="shared" si="131"/>
        <v>3400</v>
      </c>
      <c r="T869" s="18">
        <f t="shared" si="136"/>
        <v>3400</v>
      </c>
      <c r="U869" s="18"/>
      <c r="V869" s="25"/>
    </row>
    <row r="870" spans="1:22" ht="24" customHeight="1">
      <c r="A870" s="26"/>
      <c r="B870" s="15"/>
      <c r="C870" s="15"/>
      <c r="D870" s="16">
        <v>867</v>
      </c>
      <c r="E870" s="16" t="s">
        <v>826</v>
      </c>
      <c r="F870" s="16" t="s">
        <v>24</v>
      </c>
      <c r="G870" s="17">
        <v>1</v>
      </c>
      <c r="H870" s="18">
        <v>1</v>
      </c>
      <c r="I870" s="19"/>
      <c r="J870" s="19">
        <v>1400</v>
      </c>
      <c r="K870" s="19"/>
      <c r="L870" s="19">
        <f t="shared" ref="L870:L933" si="138">I870*G870+H870</f>
        <v>1</v>
      </c>
      <c r="M870" s="21">
        <f t="shared" si="132"/>
        <v>1</v>
      </c>
      <c r="N870" s="22">
        <f t="shared" si="133"/>
        <v>1</v>
      </c>
      <c r="O870" s="22">
        <f t="shared" si="134"/>
        <v>0</v>
      </c>
      <c r="P870" s="20">
        <f t="shared" si="135"/>
        <v>0</v>
      </c>
      <c r="Q870" s="23">
        <f t="shared" si="137"/>
        <v>1400</v>
      </c>
      <c r="R870" s="20">
        <f t="shared" si="131"/>
        <v>1400</v>
      </c>
      <c r="S870" s="20">
        <f t="shared" si="131"/>
        <v>1400</v>
      </c>
      <c r="T870" s="18">
        <f t="shared" si="136"/>
        <v>1400</v>
      </c>
      <c r="U870" s="18"/>
      <c r="V870" s="25"/>
    </row>
    <row r="871" spans="1:22" ht="24" customHeight="1">
      <c r="A871" s="26"/>
      <c r="B871" s="15"/>
      <c r="C871" s="15"/>
      <c r="D871" s="16">
        <v>868</v>
      </c>
      <c r="E871" s="16" t="s">
        <v>827</v>
      </c>
      <c r="F871" s="16" t="s">
        <v>24</v>
      </c>
      <c r="G871" s="17">
        <v>1</v>
      </c>
      <c r="H871" s="18">
        <v>1</v>
      </c>
      <c r="I871" s="19"/>
      <c r="J871" s="19">
        <v>3400</v>
      </c>
      <c r="K871" s="19"/>
      <c r="L871" s="19">
        <f t="shared" si="138"/>
        <v>1</v>
      </c>
      <c r="M871" s="21">
        <f t="shared" si="132"/>
        <v>1</v>
      </c>
      <c r="N871" s="22">
        <f t="shared" si="133"/>
        <v>1</v>
      </c>
      <c r="O871" s="22">
        <f t="shared" si="134"/>
        <v>0</v>
      </c>
      <c r="P871" s="20">
        <f t="shared" si="135"/>
        <v>0</v>
      </c>
      <c r="Q871" s="23">
        <f t="shared" si="137"/>
        <v>3400</v>
      </c>
      <c r="R871" s="20">
        <f t="shared" si="131"/>
        <v>3400</v>
      </c>
      <c r="S871" s="20">
        <f t="shared" si="131"/>
        <v>3400</v>
      </c>
      <c r="T871" s="18">
        <f t="shared" si="136"/>
        <v>3400</v>
      </c>
      <c r="U871" s="18"/>
      <c r="V871" s="25"/>
    </row>
    <row r="872" spans="1:22" ht="24" customHeight="1">
      <c r="A872" s="26"/>
      <c r="B872" s="15"/>
      <c r="C872" s="15"/>
      <c r="D872" s="16">
        <v>869</v>
      </c>
      <c r="E872" s="16" t="s">
        <v>828</v>
      </c>
      <c r="F872" s="16" t="s">
        <v>24</v>
      </c>
      <c r="G872" s="17">
        <v>1</v>
      </c>
      <c r="H872" s="18">
        <v>1</v>
      </c>
      <c r="I872" s="19"/>
      <c r="J872" s="19">
        <v>900</v>
      </c>
      <c r="K872" s="19"/>
      <c r="L872" s="19">
        <f t="shared" si="138"/>
        <v>1</v>
      </c>
      <c r="M872" s="21">
        <f t="shared" si="132"/>
        <v>1</v>
      </c>
      <c r="N872" s="22">
        <f t="shared" si="133"/>
        <v>1</v>
      </c>
      <c r="O872" s="22">
        <f t="shared" si="134"/>
        <v>0</v>
      </c>
      <c r="P872" s="20">
        <f t="shared" si="135"/>
        <v>0</v>
      </c>
      <c r="Q872" s="23">
        <f t="shared" si="137"/>
        <v>900</v>
      </c>
      <c r="R872" s="20">
        <f t="shared" si="131"/>
        <v>900</v>
      </c>
      <c r="S872" s="20">
        <f t="shared" si="131"/>
        <v>900</v>
      </c>
      <c r="T872" s="18">
        <f t="shared" si="136"/>
        <v>900</v>
      </c>
      <c r="U872" s="18"/>
      <c r="V872" s="25"/>
    </row>
    <row r="873" spans="1:22" ht="24" customHeight="1">
      <c r="A873" s="26"/>
      <c r="B873" s="15"/>
      <c r="C873" s="15"/>
      <c r="D873" s="16">
        <v>870</v>
      </c>
      <c r="E873" s="16" t="s">
        <v>829</v>
      </c>
      <c r="F873" s="16" t="s">
        <v>24</v>
      </c>
      <c r="G873" s="17">
        <v>1</v>
      </c>
      <c r="H873" s="18">
        <v>1</v>
      </c>
      <c r="I873" s="19"/>
      <c r="J873" s="19">
        <v>3500</v>
      </c>
      <c r="K873" s="19"/>
      <c r="L873" s="19">
        <f t="shared" si="138"/>
        <v>1</v>
      </c>
      <c r="M873" s="21">
        <f t="shared" si="132"/>
        <v>1</v>
      </c>
      <c r="N873" s="22">
        <f t="shared" si="133"/>
        <v>1</v>
      </c>
      <c r="O873" s="22">
        <f t="shared" si="134"/>
        <v>0</v>
      </c>
      <c r="P873" s="20">
        <f t="shared" si="135"/>
        <v>0</v>
      </c>
      <c r="Q873" s="23">
        <f t="shared" si="137"/>
        <v>3500</v>
      </c>
      <c r="R873" s="20">
        <f t="shared" si="131"/>
        <v>3500</v>
      </c>
      <c r="S873" s="20">
        <f t="shared" si="131"/>
        <v>3500</v>
      </c>
      <c r="T873" s="18">
        <f t="shared" si="136"/>
        <v>3500</v>
      </c>
      <c r="U873" s="18"/>
      <c r="V873" s="25"/>
    </row>
    <row r="874" spans="1:22" ht="24" customHeight="1">
      <c r="A874" s="26"/>
      <c r="B874" s="15"/>
      <c r="C874" s="15"/>
      <c r="D874" s="16">
        <v>871</v>
      </c>
      <c r="E874" s="16" t="s">
        <v>834</v>
      </c>
      <c r="F874" s="16" t="s">
        <v>24</v>
      </c>
      <c r="G874" s="17">
        <v>1</v>
      </c>
      <c r="H874" s="18">
        <v>1</v>
      </c>
      <c r="I874" s="19"/>
      <c r="J874" s="19">
        <v>4000</v>
      </c>
      <c r="K874" s="19"/>
      <c r="L874" s="19">
        <f t="shared" si="138"/>
        <v>1</v>
      </c>
      <c r="M874" s="21">
        <f t="shared" si="132"/>
        <v>1</v>
      </c>
      <c r="N874" s="22">
        <f t="shared" si="133"/>
        <v>1</v>
      </c>
      <c r="O874" s="22">
        <f t="shared" si="134"/>
        <v>0</v>
      </c>
      <c r="P874" s="20">
        <f t="shared" si="135"/>
        <v>0</v>
      </c>
      <c r="Q874" s="23">
        <f t="shared" si="137"/>
        <v>4000</v>
      </c>
      <c r="R874" s="20">
        <f t="shared" si="131"/>
        <v>4000</v>
      </c>
      <c r="S874" s="20">
        <f t="shared" si="131"/>
        <v>4000</v>
      </c>
      <c r="T874" s="18">
        <f t="shared" si="136"/>
        <v>4000</v>
      </c>
      <c r="U874" s="18"/>
      <c r="V874" s="25"/>
    </row>
    <row r="875" spans="1:22" ht="24" customHeight="1">
      <c r="A875" s="26"/>
      <c r="B875" s="15"/>
      <c r="C875" s="15"/>
      <c r="D875" s="16">
        <v>872</v>
      </c>
      <c r="E875" s="16" t="s">
        <v>830</v>
      </c>
      <c r="F875" s="16" t="s">
        <v>24</v>
      </c>
      <c r="G875" s="17">
        <v>1</v>
      </c>
      <c r="H875" s="18">
        <v>1</v>
      </c>
      <c r="I875" s="19"/>
      <c r="J875" s="19">
        <v>2400</v>
      </c>
      <c r="K875" s="19"/>
      <c r="L875" s="19">
        <f t="shared" si="138"/>
        <v>1</v>
      </c>
      <c r="M875" s="21">
        <f t="shared" si="132"/>
        <v>1</v>
      </c>
      <c r="N875" s="22">
        <f t="shared" si="133"/>
        <v>1</v>
      </c>
      <c r="O875" s="22">
        <f t="shared" si="134"/>
        <v>0</v>
      </c>
      <c r="P875" s="20">
        <f t="shared" si="135"/>
        <v>0</v>
      </c>
      <c r="Q875" s="23">
        <f t="shared" si="137"/>
        <v>2400</v>
      </c>
      <c r="R875" s="20">
        <f t="shared" si="131"/>
        <v>2400</v>
      </c>
      <c r="S875" s="20">
        <f t="shared" si="131"/>
        <v>2400</v>
      </c>
      <c r="T875" s="18">
        <f t="shared" si="136"/>
        <v>2400</v>
      </c>
      <c r="U875" s="18"/>
      <c r="V875" s="25"/>
    </row>
    <row r="876" spans="1:22" ht="24" customHeight="1">
      <c r="A876" s="26"/>
      <c r="B876" s="15"/>
      <c r="C876" s="15"/>
      <c r="D876" s="16">
        <v>873</v>
      </c>
      <c r="E876" s="16" t="s">
        <v>835</v>
      </c>
      <c r="F876" s="16" t="s">
        <v>24</v>
      </c>
      <c r="G876" s="17">
        <v>1</v>
      </c>
      <c r="H876" s="18">
        <v>1</v>
      </c>
      <c r="I876" s="19"/>
      <c r="J876" s="19">
        <v>4500</v>
      </c>
      <c r="K876" s="19"/>
      <c r="L876" s="19">
        <f t="shared" si="138"/>
        <v>1</v>
      </c>
      <c r="M876" s="21">
        <f t="shared" si="132"/>
        <v>1</v>
      </c>
      <c r="N876" s="22">
        <f t="shared" si="133"/>
        <v>1</v>
      </c>
      <c r="O876" s="22">
        <f t="shared" si="134"/>
        <v>0</v>
      </c>
      <c r="P876" s="20">
        <f t="shared" si="135"/>
        <v>0</v>
      </c>
      <c r="Q876" s="23">
        <f t="shared" si="137"/>
        <v>4500</v>
      </c>
      <c r="R876" s="20">
        <f t="shared" si="131"/>
        <v>4500</v>
      </c>
      <c r="S876" s="20">
        <f t="shared" si="131"/>
        <v>4500</v>
      </c>
      <c r="T876" s="18">
        <f t="shared" si="136"/>
        <v>4500</v>
      </c>
      <c r="U876" s="18"/>
      <c r="V876" s="25"/>
    </row>
    <row r="877" spans="1:22" ht="24" customHeight="1">
      <c r="A877" s="26"/>
      <c r="B877" s="15"/>
      <c r="C877" s="15"/>
      <c r="D877" s="16">
        <v>874</v>
      </c>
      <c r="E877" s="16" t="s">
        <v>831</v>
      </c>
      <c r="F877" s="16" t="s">
        <v>24</v>
      </c>
      <c r="G877" s="17">
        <v>1</v>
      </c>
      <c r="H877" s="18">
        <v>1</v>
      </c>
      <c r="I877" s="19"/>
      <c r="J877" s="19">
        <v>2800</v>
      </c>
      <c r="K877" s="19"/>
      <c r="L877" s="19">
        <f t="shared" si="138"/>
        <v>1</v>
      </c>
      <c r="M877" s="21">
        <f t="shared" si="132"/>
        <v>1</v>
      </c>
      <c r="N877" s="22">
        <f t="shared" si="133"/>
        <v>1</v>
      </c>
      <c r="O877" s="22">
        <f t="shared" si="134"/>
        <v>0</v>
      </c>
      <c r="P877" s="20">
        <f t="shared" si="135"/>
        <v>0</v>
      </c>
      <c r="Q877" s="23">
        <f t="shared" si="137"/>
        <v>2800</v>
      </c>
      <c r="R877" s="20">
        <f t="shared" si="131"/>
        <v>2800</v>
      </c>
      <c r="S877" s="20">
        <f t="shared" si="131"/>
        <v>2800</v>
      </c>
      <c r="T877" s="18">
        <f t="shared" si="136"/>
        <v>2800</v>
      </c>
      <c r="U877" s="18"/>
      <c r="V877" s="25"/>
    </row>
    <row r="878" spans="1:22" ht="24" customHeight="1">
      <c r="A878" s="26"/>
      <c r="B878" s="15"/>
      <c r="C878" s="15"/>
      <c r="D878" s="16">
        <v>875</v>
      </c>
      <c r="E878" s="16" t="s">
        <v>832</v>
      </c>
      <c r="F878" s="16" t="s">
        <v>24</v>
      </c>
      <c r="G878" s="17">
        <v>1</v>
      </c>
      <c r="H878" s="18">
        <v>1</v>
      </c>
      <c r="I878" s="19"/>
      <c r="J878" s="19">
        <v>2400</v>
      </c>
      <c r="K878" s="19"/>
      <c r="L878" s="19">
        <f t="shared" si="138"/>
        <v>1</v>
      </c>
      <c r="M878" s="21">
        <f t="shared" si="132"/>
        <v>1</v>
      </c>
      <c r="N878" s="22">
        <f t="shared" si="133"/>
        <v>1</v>
      </c>
      <c r="O878" s="22">
        <f t="shared" si="134"/>
        <v>0</v>
      </c>
      <c r="P878" s="20">
        <f t="shared" si="135"/>
        <v>0</v>
      </c>
      <c r="Q878" s="23">
        <f t="shared" si="137"/>
        <v>2400</v>
      </c>
      <c r="R878" s="20">
        <f t="shared" si="131"/>
        <v>2400</v>
      </c>
      <c r="S878" s="20">
        <f t="shared" si="131"/>
        <v>2400</v>
      </c>
      <c r="T878" s="18">
        <f t="shared" si="136"/>
        <v>2400</v>
      </c>
      <c r="U878" s="18"/>
      <c r="V878" s="25"/>
    </row>
    <row r="879" spans="1:22" ht="24" customHeight="1">
      <c r="A879" s="26"/>
      <c r="B879" s="15"/>
      <c r="C879" s="15"/>
      <c r="D879" s="16">
        <v>876</v>
      </c>
      <c r="E879" s="16" t="s">
        <v>948</v>
      </c>
      <c r="F879" s="16" t="s">
        <v>24</v>
      </c>
      <c r="G879" s="17">
        <v>1</v>
      </c>
      <c r="H879" s="18">
        <v>1</v>
      </c>
      <c r="I879" s="19"/>
      <c r="J879" s="19">
        <v>4100</v>
      </c>
      <c r="K879" s="19"/>
      <c r="L879" s="19">
        <f t="shared" si="138"/>
        <v>1</v>
      </c>
      <c r="M879" s="21">
        <f t="shared" si="132"/>
        <v>1</v>
      </c>
      <c r="N879" s="22">
        <f t="shared" si="133"/>
        <v>1</v>
      </c>
      <c r="O879" s="22">
        <f t="shared" si="134"/>
        <v>0</v>
      </c>
      <c r="P879" s="20">
        <f t="shared" si="135"/>
        <v>0</v>
      </c>
      <c r="Q879" s="23">
        <f t="shared" si="137"/>
        <v>4100</v>
      </c>
      <c r="R879" s="20">
        <f t="shared" ref="R879:S942" si="139">IFERROR(IF(J879&gt;0,J879,IF(J879&lt;0,P879,IF(J879=0,P879))),"")</f>
        <v>4100</v>
      </c>
      <c r="S879" s="20">
        <f t="shared" si="139"/>
        <v>4100</v>
      </c>
      <c r="T879" s="18">
        <f t="shared" si="136"/>
        <v>4100</v>
      </c>
      <c r="U879" s="18"/>
      <c r="V879" s="25"/>
    </row>
    <row r="880" spans="1:22" ht="24" customHeight="1">
      <c r="A880" s="26"/>
      <c r="B880" s="15"/>
      <c r="C880" s="15"/>
      <c r="D880" s="16">
        <v>877</v>
      </c>
      <c r="E880" s="16" t="s">
        <v>833</v>
      </c>
      <c r="F880" s="16" t="s">
        <v>24</v>
      </c>
      <c r="G880" s="17">
        <v>1</v>
      </c>
      <c r="H880" s="18">
        <v>1</v>
      </c>
      <c r="I880" s="19"/>
      <c r="J880" s="19">
        <v>1800</v>
      </c>
      <c r="K880" s="19"/>
      <c r="L880" s="19">
        <f t="shared" si="138"/>
        <v>1</v>
      </c>
      <c r="M880" s="21">
        <f t="shared" si="132"/>
        <v>1</v>
      </c>
      <c r="N880" s="22">
        <f t="shared" si="133"/>
        <v>1</v>
      </c>
      <c r="O880" s="22">
        <f t="shared" si="134"/>
        <v>0</v>
      </c>
      <c r="P880" s="20">
        <f t="shared" si="135"/>
        <v>0</v>
      </c>
      <c r="Q880" s="23">
        <f t="shared" si="137"/>
        <v>1800</v>
      </c>
      <c r="R880" s="20">
        <f t="shared" si="139"/>
        <v>1800</v>
      </c>
      <c r="S880" s="20">
        <f t="shared" si="139"/>
        <v>1800</v>
      </c>
      <c r="T880" s="18">
        <f t="shared" si="136"/>
        <v>1800</v>
      </c>
      <c r="U880" s="18"/>
      <c r="V880" s="25"/>
    </row>
    <row r="881" spans="1:22" ht="24" customHeight="1">
      <c r="A881" s="26"/>
      <c r="B881" s="15"/>
      <c r="C881" s="15"/>
      <c r="D881" s="16">
        <v>878</v>
      </c>
      <c r="E881" s="16" t="s">
        <v>836</v>
      </c>
      <c r="F881" s="16" t="s">
        <v>24</v>
      </c>
      <c r="G881" s="17">
        <v>1</v>
      </c>
      <c r="H881" s="18">
        <v>1</v>
      </c>
      <c r="I881" s="19"/>
      <c r="J881" s="19">
        <v>3500</v>
      </c>
      <c r="K881" s="19"/>
      <c r="L881" s="19">
        <f t="shared" si="138"/>
        <v>1</v>
      </c>
      <c r="M881" s="21">
        <f t="shared" si="132"/>
        <v>1</v>
      </c>
      <c r="N881" s="22">
        <f t="shared" si="133"/>
        <v>1</v>
      </c>
      <c r="O881" s="22">
        <f t="shared" si="134"/>
        <v>0</v>
      </c>
      <c r="P881" s="20">
        <f t="shared" si="135"/>
        <v>0</v>
      </c>
      <c r="Q881" s="23">
        <f t="shared" si="137"/>
        <v>3500</v>
      </c>
      <c r="R881" s="20">
        <f t="shared" si="139"/>
        <v>3500</v>
      </c>
      <c r="S881" s="20">
        <f t="shared" si="139"/>
        <v>3500</v>
      </c>
      <c r="T881" s="18">
        <f t="shared" si="136"/>
        <v>3500</v>
      </c>
      <c r="U881" s="18"/>
      <c r="V881" s="25"/>
    </row>
    <row r="882" spans="1:22" ht="24" customHeight="1">
      <c r="A882" s="26"/>
      <c r="B882" s="15"/>
      <c r="C882" s="15"/>
      <c r="D882" s="16">
        <v>879</v>
      </c>
      <c r="E882" s="16" t="s">
        <v>837</v>
      </c>
      <c r="F882" s="16" t="s">
        <v>24</v>
      </c>
      <c r="G882" s="17">
        <v>1</v>
      </c>
      <c r="H882" s="18">
        <v>1</v>
      </c>
      <c r="I882" s="19"/>
      <c r="J882" s="19">
        <v>1500</v>
      </c>
      <c r="K882" s="19"/>
      <c r="L882" s="19">
        <f t="shared" si="138"/>
        <v>1</v>
      </c>
      <c r="M882" s="21">
        <f t="shared" si="132"/>
        <v>1</v>
      </c>
      <c r="N882" s="22">
        <f t="shared" si="133"/>
        <v>1</v>
      </c>
      <c r="O882" s="22">
        <f t="shared" si="134"/>
        <v>0</v>
      </c>
      <c r="P882" s="20">
        <f t="shared" si="135"/>
        <v>0</v>
      </c>
      <c r="Q882" s="23">
        <f t="shared" si="137"/>
        <v>1500</v>
      </c>
      <c r="R882" s="20">
        <f t="shared" si="139"/>
        <v>1500</v>
      </c>
      <c r="S882" s="20">
        <f t="shared" si="139"/>
        <v>1500</v>
      </c>
      <c r="T882" s="18">
        <f t="shared" si="136"/>
        <v>1500</v>
      </c>
      <c r="U882" s="18"/>
      <c r="V882" s="25"/>
    </row>
    <row r="883" spans="1:22" ht="24" customHeight="1">
      <c r="A883" s="26"/>
      <c r="B883" s="15"/>
      <c r="C883" s="15"/>
      <c r="D883" s="16">
        <v>880</v>
      </c>
      <c r="E883" s="16" t="s">
        <v>838</v>
      </c>
      <c r="F883" s="16" t="s">
        <v>24</v>
      </c>
      <c r="G883" s="17">
        <v>1</v>
      </c>
      <c r="H883" s="18">
        <v>1</v>
      </c>
      <c r="I883" s="19"/>
      <c r="J883" s="19">
        <v>1500</v>
      </c>
      <c r="K883" s="19"/>
      <c r="L883" s="19">
        <f t="shared" si="138"/>
        <v>1</v>
      </c>
      <c r="M883" s="21">
        <f t="shared" si="132"/>
        <v>1</v>
      </c>
      <c r="N883" s="22">
        <f t="shared" si="133"/>
        <v>1</v>
      </c>
      <c r="O883" s="22">
        <f t="shared" si="134"/>
        <v>0</v>
      </c>
      <c r="P883" s="20">
        <f t="shared" si="135"/>
        <v>0</v>
      </c>
      <c r="Q883" s="23">
        <f t="shared" si="137"/>
        <v>1500</v>
      </c>
      <c r="R883" s="20">
        <f t="shared" si="139"/>
        <v>1500</v>
      </c>
      <c r="S883" s="20">
        <f t="shared" si="139"/>
        <v>1500</v>
      </c>
      <c r="T883" s="18">
        <f t="shared" si="136"/>
        <v>1500</v>
      </c>
      <c r="U883" s="18"/>
      <c r="V883" s="25"/>
    </row>
    <row r="884" spans="1:22" ht="24" customHeight="1">
      <c r="A884" s="26"/>
      <c r="B884" s="15"/>
      <c r="C884" s="15"/>
      <c r="D884" s="16">
        <v>881</v>
      </c>
      <c r="E884" s="16" t="s">
        <v>839</v>
      </c>
      <c r="F884" s="16" t="s">
        <v>24</v>
      </c>
      <c r="G884" s="17">
        <v>1</v>
      </c>
      <c r="H884" s="18">
        <v>1</v>
      </c>
      <c r="I884" s="19"/>
      <c r="J884" s="19">
        <v>1500</v>
      </c>
      <c r="K884" s="19"/>
      <c r="L884" s="19">
        <f t="shared" si="138"/>
        <v>1</v>
      </c>
      <c r="M884" s="21">
        <f t="shared" si="132"/>
        <v>1</v>
      </c>
      <c r="N884" s="22">
        <f t="shared" si="133"/>
        <v>1</v>
      </c>
      <c r="O884" s="22">
        <f t="shared" si="134"/>
        <v>0</v>
      </c>
      <c r="P884" s="20">
        <f t="shared" si="135"/>
        <v>0</v>
      </c>
      <c r="Q884" s="23">
        <f t="shared" si="137"/>
        <v>1500</v>
      </c>
      <c r="R884" s="20">
        <f t="shared" si="139"/>
        <v>1500</v>
      </c>
      <c r="S884" s="20">
        <f t="shared" si="139"/>
        <v>1500</v>
      </c>
      <c r="T884" s="18">
        <f t="shared" si="136"/>
        <v>1500</v>
      </c>
      <c r="U884" s="18"/>
      <c r="V884" s="25"/>
    </row>
    <row r="885" spans="1:22" ht="24" customHeight="1">
      <c r="A885" s="26"/>
      <c r="B885" s="15"/>
      <c r="C885" s="15"/>
      <c r="D885" s="16">
        <v>882</v>
      </c>
      <c r="E885" s="16" t="s">
        <v>840</v>
      </c>
      <c r="F885" s="16" t="s">
        <v>24</v>
      </c>
      <c r="G885" s="17">
        <v>1</v>
      </c>
      <c r="H885" s="18">
        <v>1</v>
      </c>
      <c r="I885" s="19"/>
      <c r="J885" s="19">
        <v>2400</v>
      </c>
      <c r="K885" s="19"/>
      <c r="L885" s="19">
        <f t="shared" si="138"/>
        <v>1</v>
      </c>
      <c r="M885" s="21">
        <f t="shared" si="132"/>
        <v>1</v>
      </c>
      <c r="N885" s="22">
        <f t="shared" si="133"/>
        <v>1</v>
      </c>
      <c r="O885" s="22">
        <f t="shared" si="134"/>
        <v>0</v>
      </c>
      <c r="P885" s="20">
        <f t="shared" si="135"/>
        <v>0</v>
      </c>
      <c r="Q885" s="23">
        <f t="shared" si="137"/>
        <v>2400</v>
      </c>
      <c r="R885" s="20">
        <f t="shared" si="139"/>
        <v>2400</v>
      </c>
      <c r="S885" s="20">
        <f t="shared" si="139"/>
        <v>2400</v>
      </c>
      <c r="T885" s="18">
        <f t="shared" si="136"/>
        <v>2400</v>
      </c>
      <c r="U885" s="18"/>
      <c r="V885" s="25"/>
    </row>
    <row r="886" spans="1:22" ht="24" customHeight="1">
      <c r="A886" s="26"/>
      <c r="B886" s="15"/>
      <c r="C886" s="15"/>
      <c r="D886" s="16">
        <v>883</v>
      </c>
      <c r="E886" s="16" t="s">
        <v>954</v>
      </c>
      <c r="F886" s="16" t="s">
        <v>24</v>
      </c>
      <c r="G886" s="17">
        <v>1</v>
      </c>
      <c r="H886" s="18">
        <v>2</v>
      </c>
      <c r="I886" s="19"/>
      <c r="J886" s="19">
        <v>2000</v>
      </c>
      <c r="K886" s="19"/>
      <c r="L886" s="19">
        <f t="shared" si="138"/>
        <v>2</v>
      </c>
      <c r="M886" s="21">
        <f t="shared" si="132"/>
        <v>2</v>
      </c>
      <c r="N886" s="22">
        <f t="shared" si="133"/>
        <v>2</v>
      </c>
      <c r="O886" s="22">
        <f t="shared" si="134"/>
        <v>0</v>
      </c>
      <c r="P886" s="20">
        <f t="shared" si="135"/>
        <v>0</v>
      </c>
      <c r="Q886" s="23">
        <f t="shared" si="137"/>
        <v>2000</v>
      </c>
      <c r="R886" s="20">
        <f t="shared" si="139"/>
        <v>2000</v>
      </c>
      <c r="S886" s="20">
        <f t="shared" si="139"/>
        <v>2000</v>
      </c>
      <c r="T886" s="18">
        <f t="shared" si="136"/>
        <v>4000</v>
      </c>
      <c r="U886" s="18"/>
      <c r="V886" s="25"/>
    </row>
    <row r="887" spans="1:22" ht="24" customHeight="1">
      <c r="A887" s="26"/>
      <c r="B887" s="15"/>
      <c r="C887" s="15"/>
      <c r="D887" s="16">
        <v>884</v>
      </c>
      <c r="E887" s="16" t="s">
        <v>841</v>
      </c>
      <c r="F887" s="16" t="s">
        <v>24</v>
      </c>
      <c r="G887" s="17">
        <v>1</v>
      </c>
      <c r="H887" s="18">
        <v>1</v>
      </c>
      <c r="I887" s="19"/>
      <c r="J887" s="19">
        <v>2000</v>
      </c>
      <c r="K887" s="19"/>
      <c r="L887" s="19">
        <f t="shared" si="138"/>
        <v>1</v>
      </c>
      <c r="M887" s="21">
        <f t="shared" si="132"/>
        <v>1</v>
      </c>
      <c r="N887" s="22">
        <f t="shared" si="133"/>
        <v>1</v>
      </c>
      <c r="O887" s="22">
        <f t="shared" si="134"/>
        <v>0</v>
      </c>
      <c r="P887" s="20">
        <f t="shared" si="135"/>
        <v>0</v>
      </c>
      <c r="Q887" s="23">
        <f t="shared" si="137"/>
        <v>2000</v>
      </c>
      <c r="R887" s="20">
        <f t="shared" si="139"/>
        <v>2000</v>
      </c>
      <c r="S887" s="20">
        <f t="shared" si="139"/>
        <v>2000</v>
      </c>
      <c r="T887" s="18">
        <f t="shared" si="136"/>
        <v>2000</v>
      </c>
      <c r="U887" s="18"/>
      <c r="V887" s="25"/>
    </row>
    <row r="888" spans="1:22" ht="24" customHeight="1">
      <c r="A888" s="26"/>
      <c r="B888" s="15"/>
      <c r="C888" s="15"/>
      <c r="D888" s="16">
        <v>885</v>
      </c>
      <c r="E888" s="16" t="s">
        <v>842</v>
      </c>
      <c r="F888" s="16" t="s">
        <v>24</v>
      </c>
      <c r="G888" s="17">
        <v>1</v>
      </c>
      <c r="H888" s="18">
        <v>1</v>
      </c>
      <c r="I888" s="19"/>
      <c r="J888" s="19">
        <v>1200</v>
      </c>
      <c r="K888" s="19"/>
      <c r="L888" s="19">
        <f t="shared" si="138"/>
        <v>1</v>
      </c>
      <c r="M888" s="21">
        <f t="shared" si="132"/>
        <v>1</v>
      </c>
      <c r="N888" s="22">
        <f t="shared" si="133"/>
        <v>1</v>
      </c>
      <c r="O888" s="22">
        <f t="shared" si="134"/>
        <v>0</v>
      </c>
      <c r="P888" s="20">
        <f t="shared" si="135"/>
        <v>0</v>
      </c>
      <c r="Q888" s="23">
        <f t="shared" si="137"/>
        <v>1200</v>
      </c>
      <c r="R888" s="20">
        <f t="shared" si="139"/>
        <v>1200</v>
      </c>
      <c r="S888" s="20">
        <f t="shared" si="139"/>
        <v>1200</v>
      </c>
      <c r="T888" s="18">
        <f t="shared" si="136"/>
        <v>1200</v>
      </c>
      <c r="U888" s="18"/>
      <c r="V888" s="25"/>
    </row>
    <row r="889" spans="1:22" ht="24" customHeight="1">
      <c r="A889" s="26"/>
      <c r="B889" s="15"/>
      <c r="C889" s="15"/>
      <c r="D889" s="16">
        <v>886</v>
      </c>
      <c r="E889" s="16" t="s">
        <v>843</v>
      </c>
      <c r="F889" s="16" t="s">
        <v>24</v>
      </c>
      <c r="G889" s="17">
        <v>1</v>
      </c>
      <c r="H889" s="18">
        <v>1</v>
      </c>
      <c r="I889" s="19"/>
      <c r="J889" s="19">
        <v>1300</v>
      </c>
      <c r="K889" s="19"/>
      <c r="L889" s="19">
        <f t="shared" si="138"/>
        <v>1</v>
      </c>
      <c r="M889" s="21">
        <f t="shared" si="132"/>
        <v>1</v>
      </c>
      <c r="N889" s="22">
        <f t="shared" si="133"/>
        <v>1</v>
      </c>
      <c r="O889" s="22">
        <f t="shared" si="134"/>
        <v>0</v>
      </c>
      <c r="P889" s="20">
        <f t="shared" si="135"/>
        <v>0</v>
      </c>
      <c r="Q889" s="23">
        <f t="shared" si="137"/>
        <v>1300</v>
      </c>
      <c r="R889" s="20">
        <f t="shared" si="139"/>
        <v>1300</v>
      </c>
      <c r="S889" s="20">
        <f t="shared" si="139"/>
        <v>1300</v>
      </c>
      <c r="T889" s="18">
        <f t="shared" si="136"/>
        <v>1300</v>
      </c>
      <c r="U889" s="18"/>
      <c r="V889" s="25"/>
    </row>
    <row r="890" spans="1:22" ht="24" customHeight="1">
      <c r="A890" s="26"/>
      <c r="B890" s="15"/>
      <c r="C890" s="15"/>
      <c r="D890" s="16">
        <v>887</v>
      </c>
      <c r="E890" s="16" t="s">
        <v>844</v>
      </c>
      <c r="F890" s="16" t="s">
        <v>24</v>
      </c>
      <c r="G890" s="17">
        <v>1</v>
      </c>
      <c r="H890" s="18">
        <v>1</v>
      </c>
      <c r="I890" s="19"/>
      <c r="J890" s="19">
        <v>1200</v>
      </c>
      <c r="K890" s="19"/>
      <c r="L890" s="19">
        <f t="shared" si="138"/>
        <v>1</v>
      </c>
      <c r="M890" s="21">
        <f t="shared" si="132"/>
        <v>1</v>
      </c>
      <c r="N890" s="22">
        <f t="shared" si="133"/>
        <v>1</v>
      </c>
      <c r="O890" s="22">
        <f t="shared" si="134"/>
        <v>0</v>
      </c>
      <c r="P890" s="20">
        <f t="shared" si="135"/>
        <v>0</v>
      </c>
      <c r="Q890" s="23">
        <f t="shared" si="137"/>
        <v>1200</v>
      </c>
      <c r="R890" s="20">
        <f t="shared" si="139"/>
        <v>1200</v>
      </c>
      <c r="S890" s="20">
        <f t="shared" si="139"/>
        <v>1200</v>
      </c>
      <c r="T890" s="18">
        <f t="shared" si="136"/>
        <v>1200</v>
      </c>
      <c r="U890" s="18"/>
      <c r="V890" s="25"/>
    </row>
    <row r="891" spans="1:22" ht="24" customHeight="1">
      <c r="A891" s="26"/>
      <c r="B891" s="15"/>
      <c r="C891" s="15"/>
      <c r="D891" s="16">
        <v>888</v>
      </c>
      <c r="E891" s="16" t="s">
        <v>845</v>
      </c>
      <c r="F891" s="16" t="s">
        <v>24</v>
      </c>
      <c r="G891" s="17">
        <v>1</v>
      </c>
      <c r="H891" s="18">
        <v>1</v>
      </c>
      <c r="I891" s="19"/>
      <c r="J891" s="19">
        <v>3500</v>
      </c>
      <c r="K891" s="19"/>
      <c r="L891" s="19">
        <f t="shared" si="138"/>
        <v>1</v>
      </c>
      <c r="M891" s="21">
        <f t="shared" si="132"/>
        <v>1</v>
      </c>
      <c r="N891" s="22">
        <f t="shared" si="133"/>
        <v>1</v>
      </c>
      <c r="O891" s="22">
        <f t="shared" si="134"/>
        <v>0</v>
      </c>
      <c r="P891" s="20">
        <f t="shared" si="135"/>
        <v>0</v>
      </c>
      <c r="Q891" s="23">
        <f t="shared" si="137"/>
        <v>3500</v>
      </c>
      <c r="R891" s="20">
        <f t="shared" si="139"/>
        <v>3500</v>
      </c>
      <c r="S891" s="20">
        <f t="shared" si="139"/>
        <v>3500</v>
      </c>
      <c r="T891" s="18">
        <f t="shared" si="136"/>
        <v>3500</v>
      </c>
      <c r="U891" s="18"/>
      <c r="V891" s="25"/>
    </row>
    <row r="892" spans="1:22" ht="24" customHeight="1">
      <c r="A892" s="26"/>
      <c r="B892" s="15"/>
      <c r="C892" s="15"/>
      <c r="D892" s="16">
        <v>889</v>
      </c>
      <c r="E892" s="16" t="s">
        <v>849</v>
      </c>
      <c r="F892" s="16" t="s">
        <v>24</v>
      </c>
      <c r="G892" s="17">
        <v>1</v>
      </c>
      <c r="H892" s="18">
        <v>1</v>
      </c>
      <c r="I892" s="19"/>
      <c r="J892" s="19">
        <v>1200</v>
      </c>
      <c r="K892" s="19"/>
      <c r="L892" s="19">
        <f t="shared" si="138"/>
        <v>1</v>
      </c>
      <c r="M892" s="21">
        <f t="shared" si="132"/>
        <v>1</v>
      </c>
      <c r="N892" s="22">
        <f t="shared" si="133"/>
        <v>1</v>
      </c>
      <c r="O892" s="22">
        <f t="shared" si="134"/>
        <v>0</v>
      </c>
      <c r="P892" s="20">
        <f t="shared" si="135"/>
        <v>0</v>
      </c>
      <c r="Q892" s="23">
        <f t="shared" si="137"/>
        <v>1200</v>
      </c>
      <c r="R892" s="20">
        <f t="shared" si="139"/>
        <v>1200</v>
      </c>
      <c r="S892" s="20">
        <f t="shared" si="139"/>
        <v>1200</v>
      </c>
      <c r="T892" s="18">
        <f t="shared" si="136"/>
        <v>1200</v>
      </c>
      <c r="U892" s="18"/>
      <c r="V892" s="25"/>
    </row>
    <row r="893" spans="1:22" ht="24" customHeight="1">
      <c r="A893" s="26"/>
      <c r="B893" s="15"/>
      <c r="C893" s="15"/>
      <c r="D893" s="16">
        <v>890</v>
      </c>
      <c r="E893" s="16" t="s">
        <v>848</v>
      </c>
      <c r="F893" s="16" t="s">
        <v>24</v>
      </c>
      <c r="G893" s="17">
        <v>1</v>
      </c>
      <c r="H893" s="18">
        <v>1</v>
      </c>
      <c r="I893" s="19"/>
      <c r="J893" s="19">
        <v>1800</v>
      </c>
      <c r="K893" s="19"/>
      <c r="L893" s="19">
        <f t="shared" si="138"/>
        <v>1</v>
      </c>
      <c r="M893" s="21">
        <f t="shared" si="132"/>
        <v>1</v>
      </c>
      <c r="N893" s="22">
        <f t="shared" si="133"/>
        <v>1</v>
      </c>
      <c r="O893" s="22">
        <f t="shared" si="134"/>
        <v>0</v>
      </c>
      <c r="P893" s="20">
        <f t="shared" si="135"/>
        <v>0</v>
      </c>
      <c r="Q893" s="23">
        <f t="shared" si="137"/>
        <v>1800</v>
      </c>
      <c r="R893" s="20">
        <f t="shared" si="139"/>
        <v>1800</v>
      </c>
      <c r="S893" s="20">
        <f t="shared" si="139"/>
        <v>1800</v>
      </c>
      <c r="T893" s="18">
        <f t="shared" si="136"/>
        <v>1800</v>
      </c>
      <c r="U893" s="18"/>
      <c r="V893" s="25"/>
    </row>
    <row r="894" spans="1:22" ht="24" customHeight="1">
      <c r="A894" s="26"/>
      <c r="B894" s="15"/>
      <c r="C894" s="15"/>
      <c r="D894" s="16">
        <v>891</v>
      </c>
      <c r="E894" s="16" t="s">
        <v>846</v>
      </c>
      <c r="F894" s="16" t="s">
        <v>24</v>
      </c>
      <c r="G894" s="17">
        <v>1</v>
      </c>
      <c r="H894" s="18">
        <v>1</v>
      </c>
      <c r="I894" s="19"/>
      <c r="J894" s="19">
        <v>1200</v>
      </c>
      <c r="K894" s="19"/>
      <c r="L894" s="19">
        <f t="shared" si="138"/>
        <v>1</v>
      </c>
      <c r="M894" s="21">
        <f t="shared" si="132"/>
        <v>1</v>
      </c>
      <c r="N894" s="22">
        <f t="shared" si="133"/>
        <v>1</v>
      </c>
      <c r="O894" s="22">
        <f t="shared" si="134"/>
        <v>0</v>
      </c>
      <c r="P894" s="20">
        <f t="shared" si="135"/>
        <v>0</v>
      </c>
      <c r="Q894" s="23">
        <f t="shared" si="137"/>
        <v>1200</v>
      </c>
      <c r="R894" s="20">
        <f t="shared" si="139"/>
        <v>1200</v>
      </c>
      <c r="S894" s="20">
        <f t="shared" si="139"/>
        <v>1200</v>
      </c>
      <c r="T894" s="18">
        <f t="shared" si="136"/>
        <v>1200</v>
      </c>
      <c r="U894" s="18"/>
      <c r="V894" s="25"/>
    </row>
    <row r="895" spans="1:22" ht="24" customHeight="1">
      <c r="A895" s="26"/>
      <c r="B895" s="15"/>
      <c r="C895" s="15"/>
      <c r="D895" s="16">
        <v>892</v>
      </c>
      <c r="E895" s="16" t="s">
        <v>847</v>
      </c>
      <c r="F895" s="16" t="s">
        <v>24</v>
      </c>
      <c r="G895" s="17">
        <v>1</v>
      </c>
      <c r="H895" s="18">
        <v>1</v>
      </c>
      <c r="I895" s="19"/>
      <c r="J895" s="19">
        <v>3500</v>
      </c>
      <c r="K895" s="19"/>
      <c r="L895" s="19">
        <f t="shared" si="138"/>
        <v>1</v>
      </c>
      <c r="M895" s="21">
        <f t="shared" si="132"/>
        <v>1</v>
      </c>
      <c r="N895" s="22">
        <f t="shared" si="133"/>
        <v>1</v>
      </c>
      <c r="O895" s="22">
        <f t="shared" si="134"/>
        <v>0</v>
      </c>
      <c r="P895" s="20">
        <f t="shared" si="135"/>
        <v>0</v>
      </c>
      <c r="Q895" s="23">
        <f t="shared" si="137"/>
        <v>3500</v>
      </c>
      <c r="R895" s="20">
        <f t="shared" si="139"/>
        <v>3500</v>
      </c>
      <c r="S895" s="20">
        <f t="shared" si="139"/>
        <v>3500</v>
      </c>
      <c r="T895" s="18">
        <f t="shared" si="136"/>
        <v>3500</v>
      </c>
      <c r="U895" s="18"/>
      <c r="V895" s="25"/>
    </row>
    <row r="896" spans="1:22" ht="24" customHeight="1">
      <c r="A896" s="26"/>
      <c r="B896" s="15"/>
      <c r="C896" s="15"/>
      <c r="D896" s="16">
        <v>893</v>
      </c>
      <c r="E896" s="16" t="s">
        <v>850</v>
      </c>
      <c r="F896" s="16" t="s">
        <v>24</v>
      </c>
      <c r="G896" s="17">
        <v>1</v>
      </c>
      <c r="H896" s="18">
        <v>7</v>
      </c>
      <c r="I896" s="19"/>
      <c r="J896" s="19">
        <v>900</v>
      </c>
      <c r="K896" s="19"/>
      <c r="L896" s="19">
        <f t="shared" si="138"/>
        <v>7</v>
      </c>
      <c r="M896" s="21">
        <f t="shared" si="132"/>
        <v>7</v>
      </c>
      <c r="N896" s="22">
        <f t="shared" si="133"/>
        <v>7</v>
      </c>
      <c r="O896" s="22">
        <f t="shared" si="134"/>
        <v>0</v>
      </c>
      <c r="P896" s="20">
        <f t="shared" si="135"/>
        <v>0</v>
      </c>
      <c r="Q896" s="23">
        <f t="shared" si="137"/>
        <v>900</v>
      </c>
      <c r="R896" s="20">
        <f t="shared" si="139"/>
        <v>900</v>
      </c>
      <c r="S896" s="20">
        <f t="shared" si="139"/>
        <v>900</v>
      </c>
      <c r="T896" s="18">
        <f t="shared" si="136"/>
        <v>6300</v>
      </c>
      <c r="U896" s="18"/>
      <c r="V896" s="25"/>
    </row>
    <row r="897" spans="1:22" ht="24" customHeight="1">
      <c r="A897" s="26"/>
      <c r="B897" s="15"/>
      <c r="C897" s="15"/>
      <c r="D897" s="16">
        <v>894</v>
      </c>
      <c r="E897" s="16" t="s">
        <v>857</v>
      </c>
      <c r="F897" s="16" t="s">
        <v>24</v>
      </c>
      <c r="G897" s="17">
        <v>1</v>
      </c>
      <c r="H897" s="18">
        <v>5</v>
      </c>
      <c r="I897" s="19"/>
      <c r="J897" s="19">
        <v>1100</v>
      </c>
      <c r="K897" s="19"/>
      <c r="L897" s="19">
        <f t="shared" si="138"/>
        <v>5</v>
      </c>
      <c r="M897" s="21">
        <f t="shared" si="132"/>
        <v>5</v>
      </c>
      <c r="N897" s="22">
        <f t="shared" si="133"/>
        <v>5</v>
      </c>
      <c r="O897" s="22">
        <f t="shared" si="134"/>
        <v>0</v>
      </c>
      <c r="P897" s="20">
        <f t="shared" si="135"/>
        <v>0</v>
      </c>
      <c r="Q897" s="23">
        <f t="shared" si="137"/>
        <v>1100</v>
      </c>
      <c r="R897" s="20">
        <f t="shared" si="139"/>
        <v>1100</v>
      </c>
      <c r="S897" s="20">
        <f t="shared" si="139"/>
        <v>1100</v>
      </c>
      <c r="T897" s="18">
        <f t="shared" si="136"/>
        <v>5500</v>
      </c>
      <c r="U897" s="18"/>
      <c r="V897" s="25"/>
    </row>
    <row r="898" spans="1:22" ht="24" customHeight="1">
      <c r="A898" s="26"/>
      <c r="B898" s="15"/>
      <c r="C898" s="15"/>
      <c r="D898" s="16">
        <v>895</v>
      </c>
      <c r="E898" s="16" t="s">
        <v>851</v>
      </c>
      <c r="F898" s="16" t="s">
        <v>24</v>
      </c>
      <c r="G898" s="17">
        <v>1</v>
      </c>
      <c r="H898" s="18">
        <v>1</v>
      </c>
      <c r="I898" s="19"/>
      <c r="J898" s="19">
        <v>2400</v>
      </c>
      <c r="K898" s="19"/>
      <c r="L898" s="19">
        <f t="shared" si="138"/>
        <v>1</v>
      </c>
      <c r="M898" s="21">
        <f t="shared" si="132"/>
        <v>1</v>
      </c>
      <c r="N898" s="22">
        <f t="shared" si="133"/>
        <v>1</v>
      </c>
      <c r="O898" s="22">
        <f t="shared" si="134"/>
        <v>0</v>
      </c>
      <c r="P898" s="20">
        <f t="shared" si="135"/>
        <v>0</v>
      </c>
      <c r="Q898" s="23">
        <f t="shared" si="137"/>
        <v>2400</v>
      </c>
      <c r="R898" s="20">
        <f t="shared" si="139"/>
        <v>2400</v>
      </c>
      <c r="S898" s="20">
        <f t="shared" si="139"/>
        <v>2400</v>
      </c>
      <c r="T898" s="18">
        <f t="shared" si="136"/>
        <v>2400</v>
      </c>
      <c r="U898" s="18"/>
      <c r="V898" s="25"/>
    </row>
    <row r="899" spans="1:22" ht="24" customHeight="1">
      <c r="A899" s="26"/>
      <c r="B899" s="15"/>
      <c r="C899" s="15"/>
      <c r="D899" s="16">
        <v>896</v>
      </c>
      <c r="E899" s="16" t="s">
        <v>852</v>
      </c>
      <c r="F899" s="16" t="s">
        <v>24</v>
      </c>
      <c r="G899" s="17">
        <v>1</v>
      </c>
      <c r="H899" s="18">
        <v>5</v>
      </c>
      <c r="I899" s="19"/>
      <c r="J899" s="19">
        <v>1200</v>
      </c>
      <c r="K899" s="19"/>
      <c r="L899" s="19">
        <f t="shared" si="138"/>
        <v>5</v>
      </c>
      <c r="M899" s="21">
        <f t="shared" ref="M899:M962" si="140">IFERROR(L899/G899,"")</f>
        <v>5</v>
      </c>
      <c r="N899" s="22">
        <f t="shared" ref="N899:N962" si="141">IF(G899=1,L899,IF(G899&gt;1,IFERROR((M899-O899)*G899,""),""))</f>
        <v>5</v>
      </c>
      <c r="O899" s="22">
        <f t="shared" ref="O899:O962" si="142">IFERROR(IF(G899=1,0,IF(G899&gt;1,ROUNDDOWN(M899,0))),"")</f>
        <v>0</v>
      </c>
      <c r="P899" s="20">
        <f t="shared" si="135"/>
        <v>0</v>
      </c>
      <c r="Q899" s="23">
        <f t="shared" si="137"/>
        <v>1200</v>
      </c>
      <c r="R899" s="20">
        <f t="shared" si="139"/>
        <v>1200</v>
      </c>
      <c r="S899" s="20">
        <f t="shared" si="139"/>
        <v>1200</v>
      </c>
      <c r="T899" s="18">
        <f t="shared" si="136"/>
        <v>6000</v>
      </c>
      <c r="U899" s="18"/>
      <c r="V899" s="25"/>
    </row>
    <row r="900" spans="1:22" ht="24" customHeight="1">
      <c r="A900" s="26"/>
      <c r="B900" s="15"/>
      <c r="C900" s="15"/>
      <c r="D900" s="16">
        <v>897</v>
      </c>
      <c r="E900" s="16" t="s">
        <v>853</v>
      </c>
      <c r="F900" s="16" t="s">
        <v>24</v>
      </c>
      <c r="G900" s="17">
        <v>1</v>
      </c>
      <c r="H900" s="18">
        <v>1</v>
      </c>
      <c r="I900" s="19"/>
      <c r="J900" s="19">
        <v>2100</v>
      </c>
      <c r="K900" s="19"/>
      <c r="L900" s="19">
        <f t="shared" si="138"/>
        <v>1</v>
      </c>
      <c r="M900" s="21">
        <f t="shared" si="140"/>
        <v>1</v>
      </c>
      <c r="N900" s="22">
        <f t="shared" si="141"/>
        <v>1</v>
      </c>
      <c r="O900" s="22">
        <f t="shared" si="142"/>
        <v>0</v>
      </c>
      <c r="P900" s="20">
        <f t="shared" ref="P900:P963" si="143">IFERROR(K900/G900,"")</f>
        <v>0</v>
      </c>
      <c r="Q900" s="23">
        <f t="shared" si="137"/>
        <v>2100</v>
      </c>
      <c r="R900" s="20">
        <f t="shared" si="139"/>
        <v>2100</v>
      </c>
      <c r="S900" s="20">
        <f t="shared" si="139"/>
        <v>2100</v>
      </c>
      <c r="T900" s="18">
        <f t="shared" si="136"/>
        <v>2100</v>
      </c>
      <c r="U900" s="18"/>
      <c r="V900" s="25"/>
    </row>
    <row r="901" spans="1:22" ht="24" customHeight="1">
      <c r="A901" s="26"/>
      <c r="B901" s="15"/>
      <c r="C901" s="15"/>
      <c r="D901" s="16">
        <v>898</v>
      </c>
      <c r="E901" s="16" t="s">
        <v>854</v>
      </c>
      <c r="F901" s="16" t="s">
        <v>24</v>
      </c>
      <c r="G901" s="17">
        <v>1</v>
      </c>
      <c r="H901" s="18">
        <v>1</v>
      </c>
      <c r="I901" s="19"/>
      <c r="J901" s="19">
        <v>2000</v>
      </c>
      <c r="K901" s="19"/>
      <c r="L901" s="19">
        <f t="shared" si="138"/>
        <v>1</v>
      </c>
      <c r="M901" s="21">
        <f t="shared" si="140"/>
        <v>1</v>
      </c>
      <c r="N901" s="22">
        <f t="shared" si="141"/>
        <v>1</v>
      </c>
      <c r="O901" s="22">
        <f t="shared" si="142"/>
        <v>0</v>
      </c>
      <c r="P901" s="20">
        <f t="shared" si="143"/>
        <v>0</v>
      </c>
      <c r="Q901" s="23">
        <f t="shared" si="137"/>
        <v>2000</v>
      </c>
      <c r="R901" s="20">
        <f t="shared" si="139"/>
        <v>2000</v>
      </c>
      <c r="S901" s="20">
        <f t="shared" si="139"/>
        <v>2000</v>
      </c>
      <c r="T901" s="18">
        <f t="shared" ref="T901:T964" si="144">IFERROR(S901*I901+R901*H901,"")</f>
        <v>2000</v>
      </c>
      <c r="U901" s="18"/>
      <c r="V901" s="25"/>
    </row>
    <row r="902" spans="1:22" ht="24" customHeight="1">
      <c r="A902" s="26"/>
      <c r="B902" s="15"/>
      <c r="C902" s="15"/>
      <c r="D902" s="16">
        <v>899</v>
      </c>
      <c r="E902" s="16" t="s">
        <v>855</v>
      </c>
      <c r="F902" s="16" t="s">
        <v>24</v>
      </c>
      <c r="G902" s="17">
        <v>1</v>
      </c>
      <c r="H902" s="18">
        <v>1</v>
      </c>
      <c r="I902" s="19"/>
      <c r="J902" s="19">
        <v>1800</v>
      </c>
      <c r="K902" s="19"/>
      <c r="L902" s="19">
        <f t="shared" si="138"/>
        <v>1</v>
      </c>
      <c r="M902" s="21">
        <f t="shared" si="140"/>
        <v>1</v>
      </c>
      <c r="N902" s="22">
        <f t="shared" si="141"/>
        <v>1</v>
      </c>
      <c r="O902" s="22">
        <f t="shared" si="142"/>
        <v>0</v>
      </c>
      <c r="P902" s="20">
        <f t="shared" si="143"/>
        <v>0</v>
      </c>
      <c r="Q902" s="23">
        <f t="shared" si="137"/>
        <v>1800</v>
      </c>
      <c r="R902" s="20">
        <f t="shared" si="139"/>
        <v>1800</v>
      </c>
      <c r="S902" s="20">
        <f t="shared" si="139"/>
        <v>1800</v>
      </c>
      <c r="T902" s="18">
        <f t="shared" si="144"/>
        <v>1800</v>
      </c>
      <c r="U902" s="18"/>
      <c r="V902" s="25"/>
    </row>
    <row r="903" spans="1:22" ht="24" customHeight="1">
      <c r="A903" s="26"/>
      <c r="B903" s="15"/>
      <c r="C903" s="15"/>
      <c r="D903" s="16">
        <v>900</v>
      </c>
      <c r="E903" s="16" t="s">
        <v>931</v>
      </c>
      <c r="F903" s="16" t="s">
        <v>24</v>
      </c>
      <c r="G903" s="17">
        <v>1</v>
      </c>
      <c r="H903" s="18">
        <v>2</v>
      </c>
      <c r="I903" s="19"/>
      <c r="J903" s="19">
        <v>1500</v>
      </c>
      <c r="K903" s="19"/>
      <c r="L903" s="19">
        <f t="shared" si="138"/>
        <v>2</v>
      </c>
      <c r="M903" s="21">
        <f t="shared" si="140"/>
        <v>2</v>
      </c>
      <c r="N903" s="22">
        <f t="shared" si="141"/>
        <v>2</v>
      </c>
      <c r="O903" s="22">
        <f t="shared" si="142"/>
        <v>0</v>
      </c>
      <c r="P903" s="20">
        <f t="shared" si="143"/>
        <v>0</v>
      </c>
      <c r="Q903" s="23">
        <f t="shared" si="137"/>
        <v>1500</v>
      </c>
      <c r="R903" s="20">
        <f t="shared" si="139"/>
        <v>1500</v>
      </c>
      <c r="S903" s="20">
        <f t="shared" si="139"/>
        <v>1500</v>
      </c>
      <c r="T903" s="18">
        <f t="shared" si="144"/>
        <v>3000</v>
      </c>
      <c r="U903" s="18"/>
      <c r="V903" s="25"/>
    </row>
    <row r="904" spans="1:22" ht="24" customHeight="1">
      <c r="A904" s="26"/>
      <c r="B904" s="15"/>
      <c r="C904" s="15"/>
      <c r="D904" s="16">
        <v>901</v>
      </c>
      <c r="E904" s="16" t="s">
        <v>856</v>
      </c>
      <c r="F904" s="16" t="s">
        <v>24</v>
      </c>
      <c r="G904" s="17">
        <v>1</v>
      </c>
      <c r="H904" s="18">
        <v>1</v>
      </c>
      <c r="I904" s="19"/>
      <c r="J904" s="19">
        <v>1500</v>
      </c>
      <c r="K904" s="19"/>
      <c r="L904" s="19">
        <f t="shared" si="138"/>
        <v>1</v>
      </c>
      <c r="M904" s="21">
        <f t="shared" si="140"/>
        <v>1</v>
      </c>
      <c r="N904" s="22">
        <f t="shared" si="141"/>
        <v>1</v>
      </c>
      <c r="O904" s="22">
        <f t="shared" si="142"/>
        <v>0</v>
      </c>
      <c r="P904" s="20">
        <f t="shared" si="143"/>
        <v>0</v>
      </c>
      <c r="Q904" s="23">
        <f t="shared" si="137"/>
        <v>1500</v>
      </c>
      <c r="R904" s="20">
        <f t="shared" si="139"/>
        <v>1500</v>
      </c>
      <c r="S904" s="20">
        <f t="shared" si="139"/>
        <v>1500</v>
      </c>
      <c r="T904" s="18">
        <f t="shared" si="144"/>
        <v>1500</v>
      </c>
      <c r="U904" s="18"/>
      <c r="V904" s="25"/>
    </row>
    <row r="905" spans="1:22" ht="24" customHeight="1">
      <c r="A905" s="26"/>
      <c r="B905" s="15"/>
      <c r="C905" s="15"/>
      <c r="D905" s="16">
        <v>902</v>
      </c>
      <c r="E905" s="16" t="s">
        <v>858</v>
      </c>
      <c r="F905" s="16" t="s">
        <v>24</v>
      </c>
      <c r="G905" s="17">
        <v>1</v>
      </c>
      <c r="H905" s="18">
        <v>1</v>
      </c>
      <c r="I905" s="19"/>
      <c r="J905" s="19">
        <v>3800</v>
      </c>
      <c r="K905" s="19"/>
      <c r="L905" s="19">
        <f t="shared" si="138"/>
        <v>1</v>
      </c>
      <c r="M905" s="21">
        <f t="shared" si="140"/>
        <v>1</v>
      </c>
      <c r="N905" s="22">
        <f t="shared" si="141"/>
        <v>1</v>
      </c>
      <c r="O905" s="22">
        <f t="shared" si="142"/>
        <v>0</v>
      </c>
      <c r="P905" s="20">
        <f t="shared" si="143"/>
        <v>0</v>
      </c>
      <c r="Q905" s="23">
        <f t="shared" si="137"/>
        <v>3800</v>
      </c>
      <c r="R905" s="20">
        <f t="shared" si="139"/>
        <v>3800</v>
      </c>
      <c r="S905" s="20">
        <f t="shared" si="139"/>
        <v>3800</v>
      </c>
      <c r="T905" s="18">
        <f t="shared" si="144"/>
        <v>3800</v>
      </c>
      <c r="U905" s="18"/>
      <c r="V905" s="25"/>
    </row>
    <row r="906" spans="1:22" ht="24" customHeight="1">
      <c r="A906" s="26"/>
      <c r="B906" s="15"/>
      <c r="C906" s="15"/>
      <c r="D906" s="16">
        <v>903</v>
      </c>
      <c r="E906" s="16" t="s">
        <v>859</v>
      </c>
      <c r="F906" s="16" t="s">
        <v>24</v>
      </c>
      <c r="G906" s="17">
        <v>1</v>
      </c>
      <c r="H906" s="18">
        <v>1</v>
      </c>
      <c r="I906" s="19"/>
      <c r="J906" s="19">
        <v>1500</v>
      </c>
      <c r="K906" s="19"/>
      <c r="L906" s="19">
        <f t="shared" si="138"/>
        <v>1</v>
      </c>
      <c r="M906" s="21">
        <f t="shared" si="140"/>
        <v>1</v>
      </c>
      <c r="N906" s="22">
        <f t="shared" si="141"/>
        <v>1</v>
      </c>
      <c r="O906" s="22">
        <f t="shared" si="142"/>
        <v>0</v>
      </c>
      <c r="P906" s="20">
        <f t="shared" si="143"/>
        <v>0</v>
      </c>
      <c r="Q906" s="23">
        <f t="shared" si="137"/>
        <v>1500</v>
      </c>
      <c r="R906" s="20">
        <f t="shared" si="139"/>
        <v>1500</v>
      </c>
      <c r="S906" s="20">
        <f t="shared" si="139"/>
        <v>1500</v>
      </c>
      <c r="T906" s="18">
        <f t="shared" si="144"/>
        <v>1500</v>
      </c>
      <c r="U906" s="18"/>
      <c r="V906" s="25"/>
    </row>
    <row r="907" spans="1:22" ht="24" customHeight="1">
      <c r="A907" s="26"/>
      <c r="B907" s="15"/>
      <c r="C907" s="15"/>
      <c r="D907" s="16">
        <v>904</v>
      </c>
      <c r="E907" s="16" t="s">
        <v>860</v>
      </c>
      <c r="F907" s="16" t="s">
        <v>24</v>
      </c>
      <c r="G907" s="17">
        <v>1</v>
      </c>
      <c r="H907" s="18">
        <v>1</v>
      </c>
      <c r="I907" s="19"/>
      <c r="J907" s="19">
        <v>1500</v>
      </c>
      <c r="K907" s="19"/>
      <c r="L907" s="19">
        <f t="shared" si="138"/>
        <v>1</v>
      </c>
      <c r="M907" s="21">
        <f t="shared" si="140"/>
        <v>1</v>
      </c>
      <c r="N907" s="22">
        <f t="shared" si="141"/>
        <v>1</v>
      </c>
      <c r="O907" s="22">
        <f t="shared" si="142"/>
        <v>0</v>
      </c>
      <c r="P907" s="20">
        <f t="shared" si="143"/>
        <v>0</v>
      </c>
      <c r="Q907" s="23">
        <f t="shared" si="137"/>
        <v>1500</v>
      </c>
      <c r="R907" s="20">
        <f t="shared" si="139"/>
        <v>1500</v>
      </c>
      <c r="S907" s="20">
        <f t="shared" si="139"/>
        <v>1500</v>
      </c>
      <c r="T907" s="18">
        <f t="shared" si="144"/>
        <v>1500</v>
      </c>
      <c r="U907" s="18"/>
      <c r="V907" s="25"/>
    </row>
    <row r="908" spans="1:22" ht="24" customHeight="1">
      <c r="A908" s="26"/>
      <c r="B908" s="15"/>
      <c r="C908" s="15"/>
      <c r="D908" s="16">
        <v>905</v>
      </c>
      <c r="E908" s="16" t="s">
        <v>864</v>
      </c>
      <c r="F908" s="16" t="s">
        <v>24</v>
      </c>
      <c r="G908" s="17">
        <v>1</v>
      </c>
      <c r="H908" s="18">
        <v>1</v>
      </c>
      <c r="I908" s="19"/>
      <c r="J908" s="19">
        <v>1800</v>
      </c>
      <c r="K908" s="19"/>
      <c r="L908" s="19">
        <f t="shared" si="138"/>
        <v>1</v>
      </c>
      <c r="M908" s="21">
        <f t="shared" si="140"/>
        <v>1</v>
      </c>
      <c r="N908" s="22">
        <f t="shared" si="141"/>
        <v>1</v>
      </c>
      <c r="O908" s="22">
        <f t="shared" si="142"/>
        <v>0</v>
      </c>
      <c r="P908" s="20">
        <f t="shared" si="143"/>
        <v>0</v>
      </c>
      <c r="Q908" s="23">
        <f t="shared" si="137"/>
        <v>1800</v>
      </c>
      <c r="R908" s="20">
        <f t="shared" si="139"/>
        <v>1800</v>
      </c>
      <c r="S908" s="20">
        <f t="shared" si="139"/>
        <v>1800</v>
      </c>
      <c r="T908" s="18">
        <f t="shared" si="144"/>
        <v>1800</v>
      </c>
      <c r="U908" s="18"/>
      <c r="V908" s="25"/>
    </row>
    <row r="909" spans="1:22" ht="24" customHeight="1">
      <c r="A909" s="26"/>
      <c r="B909" s="15"/>
      <c r="C909" s="15"/>
      <c r="D909" s="16">
        <v>906</v>
      </c>
      <c r="E909" s="16" t="s">
        <v>861</v>
      </c>
      <c r="F909" s="16" t="s">
        <v>24</v>
      </c>
      <c r="G909" s="17">
        <v>1</v>
      </c>
      <c r="H909" s="18">
        <v>1</v>
      </c>
      <c r="I909" s="19"/>
      <c r="J909" s="19">
        <v>3300</v>
      </c>
      <c r="K909" s="19"/>
      <c r="L909" s="19">
        <f t="shared" si="138"/>
        <v>1</v>
      </c>
      <c r="M909" s="21">
        <f t="shared" si="140"/>
        <v>1</v>
      </c>
      <c r="N909" s="22">
        <f t="shared" si="141"/>
        <v>1</v>
      </c>
      <c r="O909" s="22">
        <f t="shared" si="142"/>
        <v>0</v>
      </c>
      <c r="P909" s="20">
        <f t="shared" si="143"/>
        <v>0</v>
      </c>
      <c r="Q909" s="23">
        <f t="shared" si="137"/>
        <v>3300</v>
      </c>
      <c r="R909" s="20">
        <f t="shared" si="139"/>
        <v>3300</v>
      </c>
      <c r="S909" s="20">
        <f t="shared" si="139"/>
        <v>3300</v>
      </c>
      <c r="T909" s="18">
        <f t="shared" si="144"/>
        <v>3300</v>
      </c>
      <c r="U909" s="18"/>
      <c r="V909" s="25"/>
    </row>
    <row r="910" spans="1:22" ht="24" customHeight="1">
      <c r="A910" s="26"/>
      <c r="B910" s="15"/>
      <c r="C910" s="15"/>
      <c r="D910" s="16">
        <v>907</v>
      </c>
      <c r="E910" s="16" t="s">
        <v>862</v>
      </c>
      <c r="F910" s="16" t="s">
        <v>24</v>
      </c>
      <c r="G910" s="17">
        <v>1</v>
      </c>
      <c r="H910" s="18">
        <v>2</v>
      </c>
      <c r="I910" s="19"/>
      <c r="J910" s="19">
        <v>1800</v>
      </c>
      <c r="K910" s="19"/>
      <c r="L910" s="19">
        <f t="shared" si="138"/>
        <v>2</v>
      </c>
      <c r="M910" s="21">
        <f t="shared" si="140"/>
        <v>2</v>
      </c>
      <c r="N910" s="22">
        <f t="shared" si="141"/>
        <v>2</v>
      </c>
      <c r="O910" s="22">
        <f t="shared" si="142"/>
        <v>0</v>
      </c>
      <c r="P910" s="20">
        <f t="shared" si="143"/>
        <v>0</v>
      </c>
      <c r="Q910" s="23">
        <f t="shared" si="137"/>
        <v>1800</v>
      </c>
      <c r="R910" s="20">
        <f t="shared" si="139"/>
        <v>1800</v>
      </c>
      <c r="S910" s="20">
        <f t="shared" si="139"/>
        <v>1800</v>
      </c>
      <c r="T910" s="18">
        <f t="shared" si="144"/>
        <v>3600</v>
      </c>
      <c r="U910" s="18"/>
      <c r="V910" s="25"/>
    </row>
    <row r="911" spans="1:22" ht="24" customHeight="1">
      <c r="A911" s="26"/>
      <c r="B911" s="15"/>
      <c r="C911" s="15"/>
      <c r="D911" s="16">
        <v>908</v>
      </c>
      <c r="E911" s="16" t="s">
        <v>863</v>
      </c>
      <c r="F911" s="16" t="s">
        <v>24</v>
      </c>
      <c r="G911" s="17">
        <v>1</v>
      </c>
      <c r="H911" s="18">
        <v>2</v>
      </c>
      <c r="I911" s="19"/>
      <c r="J911" s="19">
        <v>1800</v>
      </c>
      <c r="K911" s="19"/>
      <c r="L911" s="19">
        <f t="shared" si="138"/>
        <v>2</v>
      </c>
      <c r="M911" s="21">
        <f t="shared" si="140"/>
        <v>2</v>
      </c>
      <c r="N911" s="22">
        <f t="shared" si="141"/>
        <v>2</v>
      </c>
      <c r="O911" s="22">
        <f t="shared" si="142"/>
        <v>0</v>
      </c>
      <c r="P911" s="20">
        <f t="shared" si="143"/>
        <v>0</v>
      </c>
      <c r="Q911" s="23">
        <f t="shared" si="137"/>
        <v>1800</v>
      </c>
      <c r="R911" s="20">
        <f t="shared" si="139"/>
        <v>1800</v>
      </c>
      <c r="S911" s="20">
        <f t="shared" si="139"/>
        <v>1800</v>
      </c>
      <c r="T911" s="18">
        <f t="shared" si="144"/>
        <v>3600</v>
      </c>
      <c r="U911" s="18"/>
      <c r="V911" s="25"/>
    </row>
    <row r="912" spans="1:22" ht="24" customHeight="1">
      <c r="A912" s="26"/>
      <c r="B912" s="15"/>
      <c r="C912" s="15"/>
      <c r="D912" s="16">
        <v>909</v>
      </c>
      <c r="E912" s="16" t="s">
        <v>865</v>
      </c>
      <c r="F912" s="16" t="s">
        <v>24</v>
      </c>
      <c r="G912" s="17">
        <v>1</v>
      </c>
      <c r="H912" s="18">
        <v>1</v>
      </c>
      <c r="I912" s="19"/>
      <c r="J912" s="19">
        <v>3400</v>
      </c>
      <c r="K912" s="19"/>
      <c r="L912" s="19">
        <f t="shared" si="138"/>
        <v>1</v>
      </c>
      <c r="M912" s="21">
        <f t="shared" si="140"/>
        <v>1</v>
      </c>
      <c r="N912" s="22">
        <f t="shared" si="141"/>
        <v>1</v>
      </c>
      <c r="O912" s="22">
        <f t="shared" si="142"/>
        <v>0</v>
      </c>
      <c r="P912" s="20">
        <f t="shared" si="143"/>
        <v>0</v>
      </c>
      <c r="Q912" s="23">
        <f t="shared" si="137"/>
        <v>3400</v>
      </c>
      <c r="R912" s="20">
        <f t="shared" si="139"/>
        <v>3400</v>
      </c>
      <c r="S912" s="20">
        <f t="shared" si="139"/>
        <v>3400</v>
      </c>
      <c r="T912" s="18">
        <f t="shared" si="144"/>
        <v>3400</v>
      </c>
      <c r="U912" s="18"/>
      <c r="V912" s="25"/>
    </row>
    <row r="913" spans="1:22" ht="24" customHeight="1">
      <c r="A913" s="26"/>
      <c r="B913" s="15"/>
      <c r="C913" s="15"/>
      <c r="D913" s="16">
        <v>910</v>
      </c>
      <c r="E913" s="16" t="s">
        <v>930</v>
      </c>
      <c r="F913" s="16" t="s">
        <v>24</v>
      </c>
      <c r="G913" s="17">
        <v>1</v>
      </c>
      <c r="H913" s="18">
        <v>1</v>
      </c>
      <c r="I913" s="19"/>
      <c r="J913" s="19">
        <v>2400</v>
      </c>
      <c r="K913" s="19"/>
      <c r="L913" s="19">
        <f t="shared" si="138"/>
        <v>1</v>
      </c>
      <c r="M913" s="21">
        <f t="shared" si="140"/>
        <v>1</v>
      </c>
      <c r="N913" s="22">
        <f t="shared" si="141"/>
        <v>1</v>
      </c>
      <c r="O913" s="22">
        <f t="shared" si="142"/>
        <v>0</v>
      </c>
      <c r="P913" s="20">
        <f t="shared" si="143"/>
        <v>0</v>
      </c>
      <c r="Q913" s="23">
        <f t="shared" si="137"/>
        <v>2400</v>
      </c>
      <c r="R913" s="20">
        <f t="shared" si="139"/>
        <v>2400</v>
      </c>
      <c r="S913" s="20">
        <f t="shared" si="139"/>
        <v>2400</v>
      </c>
      <c r="T913" s="18">
        <f t="shared" si="144"/>
        <v>2400</v>
      </c>
      <c r="U913" s="18"/>
      <c r="V913" s="25"/>
    </row>
    <row r="914" spans="1:22" ht="24" customHeight="1">
      <c r="A914" s="26"/>
      <c r="B914" s="15"/>
      <c r="C914" s="15"/>
      <c r="D914" s="16">
        <v>911</v>
      </c>
      <c r="E914" s="16" t="s">
        <v>866</v>
      </c>
      <c r="F914" s="16" t="s">
        <v>24</v>
      </c>
      <c r="G914" s="17">
        <v>1</v>
      </c>
      <c r="H914" s="18">
        <v>1</v>
      </c>
      <c r="I914" s="19"/>
      <c r="J914" s="19">
        <v>1200</v>
      </c>
      <c r="K914" s="19"/>
      <c r="L914" s="19">
        <f t="shared" si="138"/>
        <v>1</v>
      </c>
      <c r="M914" s="21">
        <f t="shared" si="140"/>
        <v>1</v>
      </c>
      <c r="N914" s="22">
        <f t="shared" si="141"/>
        <v>1</v>
      </c>
      <c r="O914" s="22">
        <f t="shared" si="142"/>
        <v>0</v>
      </c>
      <c r="P914" s="20">
        <f t="shared" si="143"/>
        <v>0</v>
      </c>
      <c r="Q914" s="23">
        <f t="shared" si="137"/>
        <v>1200</v>
      </c>
      <c r="R914" s="20">
        <f t="shared" si="139"/>
        <v>1200</v>
      </c>
      <c r="S914" s="20">
        <f t="shared" si="139"/>
        <v>1200</v>
      </c>
      <c r="T914" s="18">
        <f t="shared" si="144"/>
        <v>1200</v>
      </c>
      <c r="U914" s="18"/>
      <c r="V914" s="25"/>
    </row>
    <row r="915" spans="1:22" ht="24" customHeight="1">
      <c r="A915" s="26"/>
      <c r="B915" s="15"/>
      <c r="C915" s="15"/>
      <c r="D915" s="16">
        <v>912</v>
      </c>
      <c r="E915" s="16" t="s">
        <v>867</v>
      </c>
      <c r="F915" s="16" t="s">
        <v>24</v>
      </c>
      <c r="G915" s="17">
        <v>1</v>
      </c>
      <c r="H915" s="18">
        <v>1</v>
      </c>
      <c r="I915" s="19"/>
      <c r="J915" s="19">
        <v>900</v>
      </c>
      <c r="K915" s="19"/>
      <c r="L915" s="19">
        <f t="shared" si="138"/>
        <v>1</v>
      </c>
      <c r="M915" s="21">
        <f t="shared" si="140"/>
        <v>1</v>
      </c>
      <c r="N915" s="22">
        <f t="shared" si="141"/>
        <v>1</v>
      </c>
      <c r="O915" s="22">
        <f t="shared" si="142"/>
        <v>0</v>
      </c>
      <c r="P915" s="20">
        <f t="shared" si="143"/>
        <v>0</v>
      </c>
      <c r="Q915" s="23">
        <f t="shared" si="137"/>
        <v>900</v>
      </c>
      <c r="R915" s="20">
        <f t="shared" si="139"/>
        <v>900</v>
      </c>
      <c r="S915" s="20">
        <f t="shared" si="139"/>
        <v>900</v>
      </c>
      <c r="T915" s="18">
        <f t="shared" si="144"/>
        <v>900</v>
      </c>
      <c r="U915" s="18"/>
      <c r="V915" s="25"/>
    </row>
    <row r="916" spans="1:22" ht="24" customHeight="1">
      <c r="A916" s="26"/>
      <c r="B916" s="15"/>
      <c r="C916" s="15"/>
      <c r="D916" s="16">
        <v>913</v>
      </c>
      <c r="E916" s="16" t="s">
        <v>868</v>
      </c>
      <c r="F916" s="16" t="s">
        <v>24</v>
      </c>
      <c r="G916" s="17">
        <v>1</v>
      </c>
      <c r="H916" s="18">
        <v>6</v>
      </c>
      <c r="I916" s="19"/>
      <c r="J916" s="19">
        <v>450</v>
      </c>
      <c r="K916" s="19"/>
      <c r="L916" s="19">
        <f t="shared" si="138"/>
        <v>6</v>
      </c>
      <c r="M916" s="21">
        <f t="shared" si="140"/>
        <v>6</v>
      </c>
      <c r="N916" s="22">
        <f t="shared" si="141"/>
        <v>6</v>
      </c>
      <c r="O916" s="22">
        <f t="shared" si="142"/>
        <v>0</v>
      </c>
      <c r="P916" s="20">
        <f t="shared" si="143"/>
        <v>0</v>
      </c>
      <c r="Q916" s="23">
        <f t="shared" si="137"/>
        <v>450</v>
      </c>
      <c r="R916" s="20">
        <f t="shared" si="139"/>
        <v>450</v>
      </c>
      <c r="S916" s="20">
        <f t="shared" si="139"/>
        <v>450</v>
      </c>
      <c r="T916" s="18">
        <f t="shared" si="144"/>
        <v>2700</v>
      </c>
      <c r="U916" s="18"/>
      <c r="V916" s="25"/>
    </row>
    <row r="917" spans="1:22" ht="24" customHeight="1">
      <c r="A917" s="26"/>
      <c r="B917" s="15"/>
      <c r="C917" s="15"/>
      <c r="D917" s="16">
        <v>914</v>
      </c>
      <c r="E917" s="16" t="s">
        <v>879</v>
      </c>
      <c r="F917" s="16" t="s">
        <v>24</v>
      </c>
      <c r="G917" s="17">
        <v>1</v>
      </c>
      <c r="H917" s="18">
        <v>2</v>
      </c>
      <c r="I917" s="19"/>
      <c r="J917" s="19">
        <v>550</v>
      </c>
      <c r="K917" s="19"/>
      <c r="L917" s="19">
        <f t="shared" si="138"/>
        <v>2</v>
      </c>
      <c r="M917" s="21">
        <f t="shared" si="140"/>
        <v>2</v>
      </c>
      <c r="N917" s="22">
        <f t="shared" si="141"/>
        <v>2</v>
      </c>
      <c r="O917" s="22">
        <f t="shared" si="142"/>
        <v>0</v>
      </c>
      <c r="P917" s="20">
        <f t="shared" si="143"/>
        <v>0</v>
      </c>
      <c r="Q917" s="23">
        <f t="shared" si="137"/>
        <v>550</v>
      </c>
      <c r="R917" s="20">
        <f t="shared" si="139"/>
        <v>550</v>
      </c>
      <c r="S917" s="20">
        <f t="shared" si="139"/>
        <v>550</v>
      </c>
      <c r="T917" s="18">
        <f t="shared" si="144"/>
        <v>1100</v>
      </c>
      <c r="U917" s="18"/>
      <c r="V917" s="25"/>
    </row>
    <row r="918" spans="1:22" ht="24" customHeight="1">
      <c r="A918" s="26"/>
      <c r="B918" s="15"/>
      <c r="C918" s="15"/>
      <c r="D918" s="16">
        <v>915</v>
      </c>
      <c r="E918" s="16" t="s">
        <v>869</v>
      </c>
      <c r="F918" s="16" t="s">
        <v>24</v>
      </c>
      <c r="G918" s="17">
        <v>1</v>
      </c>
      <c r="H918" s="18">
        <v>7</v>
      </c>
      <c r="I918" s="19"/>
      <c r="J918" s="19">
        <v>1200</v>
      </c>
      <c r="K918" s="19"/>
      <c r="L918" s="19">
        <f t="shared" si="138"/>
        <v>7</v>
      </c>
      <c r="M918" s="21">
        <f t="shared" si="140"/>
        <v>7</v>
      </c>
      <c r="N918" s="22">
        <f t="shared" si="141"/>
        <v>7</v>
      </c>
      <c r="O918" s="22">
        <f t="shared" si="142"/>
        <v>0</v>
      </c>
      <c r="P918" s="20">
        <f t="shared" si="143"/>
        <v>0</v>
      </c>
      <c r="Q918" s="23">
        <f t="shared" si="137"/>
        <v>1200</v>
      </c>
      <c r="R918" s="20">
        <f t="shared" si="139"/>
        <v>1200</v>
      </c>
      <c r="S918" s="20">
        <f t="shared" si="139"/>
        <v>1200</v>
      </c>
      <c r="T918" s="18">
        <f t="shared" si="144"/>
        <v>8400</v>
      </c>
      <c r="U918" s="18"/>
      <c r="V918" s="25"/>
    </row>
    <row r="919" spans="1:22" ht="24" customHeight="1">
      <c r="A919" s="26"/>
      <c r="B919" s="15"/>
      <c r="C919" s="15"/>
      <c r="D919" s="16">
        <v>916</v>
      </c>
      <c r="E919" s="16" t="s">
        <v>870</v>
      </c>
      <c r="F919" s="16" t="s">
        <v>24</v>
      </c>
      <c r="G919" s="17">
        <v>1</v>
      </c>
      <c r="H919" s="18">
        <v>1</v>
      </c>
      <c r="I919" s="19"/>
      <c r="J919" s="19">
        <v>1800</v>
      </c>
      <c r="K919" s="19"/>
      <c r="L919" s="19">
        <f t="shared" si="138"/>
        <v>1</v>
      </c>
      <c r="M919" s="21">
        <f t="shared" si="140"/>
        <v>1</v>
      </c>
      <c r="N919" s="22">
        <f t="shared" si="141"/>
        <v>1</v>
      </c>
      <c r="O919" s="22">
        <f t="shared" si="142"/>
        <v>0</v>
      </c>
      <c r="P919" s="20">
        <f t="shared" si="143"/>
        <v>0</v>
      </c>
      <c r="Q919" s="23">
        <f t="shared" si="137"/>
        <v>1800</v>
      </c>
      <c r="R919" s="20">
        <f t="shared" si="139"/>
        <v>1800</v>
      </c>
      <c r="S919" s="20">
        <f t="shared" si="139"/>
        <v>1800</v>
      </c>
      <c r="T919" s="18">
        <f t="shared" si="144"/>
        <v>1800</v>
      </c>
      <c r="U919" s="18"/>
      <c r="V919" s="25"/>
    </row>
    <row r="920" spans="1:22" ht="24" customHeight="1">
      <c r="A920" s="26"/>
      <c r="B920" s="15"/>
      <c r="C920" s="15"/>
      <c r="D920" s="16">
        <v>917</v>
      </c>
      <c r="E920" s="16" t="s">
        <v>871</v>
      </c>
      <c r="F920" s="16" t="s">
        <v>24</v>
      </c>
      <c r="G920" s="17">
        <v>1</v>
      </c>
      <c r="H920" s="18">
        <v>1</v>
      </c>
      <c r="I920" s="19"/>
      <c r="J920" s="19">
        <v>1100</v>
      </c>
      <c r="K920" s="19"/>
      <c r="L920" s="19">
        <f t="shared" si="138"/>
        <v>1</v>
      </c>
      <c r="M920" s="21">
        <f t="shared" si="140"/>
        <v>1</v>
      </c>
      <c r="N920" s="22">
        <f t="shared" si="141"/>
        <v>1</v>
      </c>
      <c r="O920" s="22">
        <f t="shared" si="142"/>
        <v>0</v>
      </c>
      <c r="P920" s="20">
        <f t="shared" si="143"/>
        <v>0</v>
      </c>
      <c r="Q920" s="23">
        <f t="shared" si="137"/>
        <v>1100</v>
      </c>
      <c r="R920" s="20">
        <f t="shared" si="139"/>
        <v>1100</v>
      </c>
      <c r="S920" s="20">
        <f t="shared" si="139"/>
        <v>1100</v>
      </c>
      <c r="T920" s="18">
        <f t="shared" si="144"/>
        <v>1100</v>
      </c>
      <c r="U920" s="18"/>
      <c r="V920" s="25"/>
    </row>
    <row r="921" spans="1:22" ht="24" customHeight="1">
      <c r="A921" s="26"/>
      <c r="B921" s="15"/>
      <c r="C921" s="15"/>
      <c r="D921" s="16">
        <v>918</v>
      </c>
      <c r="E921" s="16" t="s">
        <v>872</v>
      </c>
      <c r="F921" s="16" t="s">
        <v>24</v>
      </c>
      <c r="G921" s="17">
        <v>1</v>
      </c>
      <c r="H921" s="18">
        <v>12</v>
      </c>
      <c r="I921" s="19"/>
      <c r="J921" s="19">
        <v>900</v>
      </c>
      <c r="K921" s="19"/>
      <c r="L921" s="19">
        <f t="shared" si="138"/>
        <v>12</v>
      </c>
      <c r="M921" s="21">
        <f t="shared" si="140"/>
        <v>12</v>
      </c>
      <c r="N921" s="22">
        <f t="shared" si="141"/>
        <v>12</v>
      </c>
      <c r="O921" s="22">
        <f t="shared" si="142"/>
        <v>0</v>
      </c>
      <c r="P921" s="20">
        <f t="shared" si="143"/>
        <v>0</v>
      </c>
      <c r="Q921" s="23">
        <f t="shared" si="137"/>
        <v>900</v>
      </c>
      <c r="R921" s="20">
        <f t="shared" si="139"/>
        <v>900</v>
      </c>
      <c r="S921" s="20">
        <f t="shared" si="139"/>
        <v>900</v>
      </c>
      <c r="T921" s="18">
        <f t="shared" si="144"/>
        <v>10800</v>
      </c>
      <c r="U921" s="18"/>
      <c r="V921" s="25"/>
    </row>
    <row r="922" spans="1:22" ht="24" customHeight="1">
      <c r="A922" s="26"/>
      <c r="B922" s="15"/>
      <c r="C922" s="15"/>
      <c r="D922" s="16">
        <v>919</v>
      </c>
      <c r="E922" s="16" t="s">
        <v>873</v>
      </c>
      <c r="F922" s="16" t="s">
        <v>24</v>
      </c>
      <c r="G922" s="17">
        <v>1</v>
      </c>
      <c r="H922" s="18">
        <v>2</v>
      </c>
      <c r="I922" s="19"/>
      <c r="J922" s="19">
        <v>5500</v>
      </c>
      <c r="K922" s="19"/>
      <c r="L922" s="19">
        <f t="shared" si="138"/>
        <v>2</v>
      </c>
      <c r="M922" s="21">
        <f t="shared" si="140"/>
        <v>2</v>
      </c>
      <c r="N922" s="22">
        <f t="shared" si="141"/>
        <v>2</v>
      </c>
      <c r="O922" s="22">
        <f t="shared" si="142"/>
        <v>0</v>
      </c>
      <c r="P922" s="20">
        <f t="shared" si="143"/>
        <v>0</v>
      </c>
      <c r="Q922" s="23">
        <f t="shared" si="137"/>
        <v>5500</v>
      </c>
      <c r="R922" s="20">
        <f t="shared" si="139"/>
        <v>5500</v>
      </c>
      <c r="S922" s="20">
        <f t="shared" si="139"/>
        <v>5500</v>
      </c>
      <c r="T922" s="18">
        <f t="shared" si="144"/>
        <v>11000</v>
      </c>
      <c r="U922" s="18"/>
      <c r="V922" s="25"/>
    </row>
    <row r="923" spans="1:22" ht="24" customHeight="1">
      <c r="A923" s="26"/>
      <c r="B923" s="15"/>
      <c r="C923" s="15"/>
      <c r="D923" s="16">
        <v>920</v>
      </c>
      <c r="E923" s="16" t="s">
        <v>874</v>
      </c>
      <c r="F923" s="16" t="s">
        <v>24</v>
      </c>
      <c r="G923" s="17">
        <v>1</v>
      </c>
      <c r="H923" s="18">
        <v>1</v>
      </c>
      <c r="I923" s="19"/>
      <c r="J923" s="19">
        <v>4500</v>
      </c>
      <c r="K923" s="19"/>
      <c r="L923" s="19">
        <f t="shared" si="138"/>
        <v>1</v>
      </c>
      <c r="M923" s="21">
        <f t="shared" si="140"/>
        <v>1</v>
      </c>
      <c r="N923" s="22">
        <f t="shared" si="141"/>
        <v>1</v>
      </c>
      <c r="O923" s="22">
        <f t="shared" si="142"/>
        <v>0</v>
      </c>
      <c r="P923" s="20">
        <f t="shared" si="143"/>
        <v>0</v>
      </c>
      <c r="Q923" s="23">
        <f t="shared" si="137"/>
        <v>4500</v>
      </c>
      <c r="R923" s="20">
        <f t="shared" si="139"/>
        <v>4500</v>
      </c>
      <c r="S923" s="20">
        <f t="shared" si="139"/>
        <v>4500</v>
      </c>
      <c r="T923" s="18">
        <f t="shared" si="144"/>
        <v>4500</v>
      </c>
      <c r="U923" s="18"/>
      <c r="V923" s="25"/>
    </row>
    <row r="924" spans="1:22" ht="24" customHeight="1">
      <c r="A924" s="26"/>
      <c r="B924" s="15"/>
      <c r="C924" s="15"/>
      <c r="D924" s="16">
        <v>921</v>
      </c>
      <c r="E924" s="16" t="s">
        <v>875</v>
      </c>
      <c r="F924" s="16" t="s">
        <v>24</v>
      </c>
      <c r="G924" s="17">
        <v>1</v>
      </c>
      <c r="H924" s="18">
        <v>2</v>
      </c>
      <c r="I924" s="19"/>
      <c r="J924" s="19">
        <v>2000</v>
      </c>
      <c r="K924" s="19"/>
      <c r="L924" s="19">
        <f t="shared" si="138"/>
        <v>2</v>
      </c>
      <c r="M924" s="21">
        <f t="shared" si="140"/>
        <v>2</v>
      </c>
      <c r="N924" s="22">
        <f t="shared" si="141"/>
        <v>2</v>
      </c>
      <c r="O924" s="22">
        <f t="shared" si="142"/>
        <v>0</v>
      </c>
      <c r="P924" s="20">
        <f t="shared" si="143"/>
        <v>0</v>
      </c>
      <c r="Q924" s="23">
        <f t="shared" si="137"/>
        <v>2000</v>
      </c>
      <c r="R924" s="20">
        <f t="shared" si="139"/>
        <v>2000</v>
      </c>
      <c r="S924" s="20">
        <f t="shared" si="139"/>
        <v>2000</v>
      </c>
      <c r="T924" s="18">
        <f t="shared" si="144"/>
        <v>4000</v>
      </c>
      <c r="U924" s="18"/>
      <c r="V924" s="25"/>
    </row>
    <row r="925" spans="1:22" ht="24" customHeight="1">
      <c r="A925" s="26"/>
      <c r="B925" s="15"/>
      <c r="C925" s="15"/>
      <c r="D925" s="16">
        <v>922</v>
      </c>
      <c r="E925" s="16" t="s">
        <v>876</v>
      </c>
      <c r="F925" s="16" t="s">
        <v>24</v>
      </c>
      <c r="G925" s="17">
        <v>1</v>
      </c>
      <c r="H925" s="18">
        <v>1</v>
      </c>
      <c r="I925" s="19"/>
      <c r="J925" s="19">
        <v>2500</v>
      </c>
      <c r="K925" s="19"/>
      <c r="L925" s="19">
        <f t="shared" si="138"/>
        <v>1</v>
      </c>
      <c r="M925" s="21">
        <f t="shared" si="140"/>
        <v>1</v>
      </c>
      <c r="N925" s="22">
        <f t="shared" si="141"/>
        <v>1</v>
      </c>
      <c r="O925" s="22">
        <f t="shared" si="142"/>
        <v>0</v>
      </c>
      <c r="P925" s="20">
        <f t="shared" si="143"/>
        <v>0</v>
      </c>
      <c r="Q925" s="23">
        <f t="shared" ref="Q925:Q988" si="145">IFERROR(J925*G925,"")</f>
        <v>2500</v>
      </c>
      <c r="R925" s="20">
        <f t="shared" si="139"/>
        <v>2500</v>
      </c>
      <c r="S925" s="20">
        <f t="shared" si="139"/>
        <v>2500</v>
      </c>
      <c r="T925" s="18">
        <f t="shared" si="144"/>
        <v>2500</v>
      </c>
      <c r="U925" s="18"/>
      <c r="V925" s="25"/>
    </row>
    <row r="926" spans="1:22" ht="24" customHeight="1">
      <c r="A926" s="26"/>
      <c r="B926" s="15"/>
      <c r="C926" s="15"/>
      <c r="D926" s="16">
        <v>923</v>
      </c>
      <c r="E926" s="16" t="s">
        <v>877</v>
      </c>
      <c r="F926" s="16" t="s">
        <v>24</v>
      </c>
      <c r="G926" s="17">
        <v>1</v>
      </c>
      <c r="H926" s="18">
        <v>1</v>
      </c>
      <c r="I926" s="19"/>
      <c r="J926" s="19">
        <v>2400</v>
      </c>
      <c r="K926" s="19"/>
      <c r="L926" s="19">
        <f t="shared" si="138"/>
        <v>1</v>
      </c>
      <c r="M926" s="21">
        <f t="shared" si="140"/>
        <v>1</v>
      </c>
      <c r="N926" s="22">
        <f t="shared" si="141"/>
        <v>1</v>
      </c>
      <c r="O926" s="22">
        <f t="shared" si="142"/>
        <v>0</v>
      </c>
      <c r="P926" s="20">
        <f t="shared" si="143"/>
        <v>0</v>
      </c>
      <c r="Q926" s="23">
        <f t="shared" si="145"/>
        <v>2400</v>
      </c>
      <c r="R926" s="20">
        <f t="shared" si="139"/>
        <v>2400</v>
      </c>
      <c r="S926" s="20">
        <f t="shared" si="139"/>
        <v>2400</v>
      </c>
      <c r="T926" s="18">
        <f t="shared" si="144"/>
        <v>2400</v>
      </c>
      <c r="U926" s="18"/>
      <c r="V926" s="25"/>
    </row>
    <row r="927" spans="1:22" ht="24" customHeight="1">
      <c r="A927" s="26"/>
      <c r="B927" s="15"/>
      <c r="C927" s="15"/>
      <c r="D927" s="16">
        <v>924</v>
      </c>
      <c r="E927" s="16" t="s">
        <v>878</v>
      </c>
      <c r="F927" s="16" t="s">
        <v>24</v>
      </c>
      <c r="G927" s="17">
        <v>1</v>
      </c>
      <c r="H927" s="18">
        <v>1</v>
      </c>
      <c r="I927" s="19"/>
      <c r="J927" s="19">
        <v>4100</v>
      </c>
      <c r="K927" s="19"/>
      <c r="L927" s="19">
        <f t="shared" si="138"/>
        <v>1</v>
      </c>
      <c r="M927" s="21">
        <f t="shared" si="140"/>
        <v>1</v>
      </c>
      <c r="N927" s="22">
        <f t="shared" si="141"/>
        <v>1</v>
      </c>
      <c r="O927" s="22">
        <f t="shared" si="142"/>
        <v>0</v>
      </c>
      <c r="P927" s="20">
        <f t="shared" si="143"/>
        <v>0</v>
      </c>
      <c r="Q927" s="23">
        <f t="shared" si="145"/>
        <v>4100</v>
      </c>
      <c r="R927" s="20">
        <f t="shared" si="139"/>
        <v>4100</v>
      </c>
      <c r="S927" s="20">
        <f t="shared" si="139"/>
        <v>4100</v>
      </c>
      <c r="T927" s="18">
        <f t="shared" si="144"/>
        <v>4100</v>
      </c>
      <c r="U927" s="18"/>
      <c r="V927" s="25"/>
    </row>
    <row r="928" spans="1:22" ht="24" customHeight="1">
      <c r="A928" s="26"/>
      <c r="B928" s="15"/>
      <c r="C928" s="15"/>
      <c r="D928" s="16">
        <v>925</v>
      </c>
      <c r="E928" s="16"/>
      <c r="F928" s="16"/>
      <c r="G928" s="17"/>
      <c r="H928" s="18"/>
      <c r="I928" s="19"/>
      <c r="J928" s="19"/>
      <c r="K928" s="19"/>
      <c r="L928" s="19"/>
      <c r="M928" s="21"/>
      <c r="N928" s="22"/>
      <c r="O928" s="22"/>
      <c r="P928" s="20"/>
      <c r="Q928" s="23"/>
      <c r="R928" s="20">
        <f t="shared" si="139"/>
        <v>0</v>
      </c>
      <c r="S928" s="20">
        <f t="shared" si="139"/>
        <v>0</v>
      </c>
      <c r="T928" s="18">
        <f t="shared" si="144"/>
        <v>0</v>
      </c>
      <c r="U928" s="18"/>
      <c r="V928" s="25"/>
    </row>
    <row r="929" spans="1:22" ht="24" customHeight="1">
      <c r="A929" s="26"/>
      <c r="B929" s="15"/>
      <c r="C929" s="15"/>
      <c r="D929" s="16">
        <v>926</v>
      </c>
      <c r="E929" s="16" t="s">
        <v>956</v>
      </c>
      <c r="F929" s="16" t="s">
        <v>24</v>
      </c>
      <c r="G929" s="17">
        <v>1</v>
      </c>
      <c r="H929" s="18">
        <v>2</v>
      </c>
      <c r="I929" s="19"/>
      <c r="J929" s="19">
        <v>1800</v>
      </c>
      <c r="K929" s="19"/>
      <c r="L929" s="19">
        <f t="shared" si="138"/>
        <v>2</v>
      </c>
      <c r="M929" s="21">
        <f t="shared" si="140"/>
        <v>2</v>
      </c>
      <c r="N929" s="22">
        <f t="shared" si="141"/>
        <v>2</v>
      </c>
      <c r="O929" s="22">
        <f t="shared" si="142"/>
        <v>0</v>
      </c>
      <c r="P929" s="20">
        <f t="shared" si="143"/>
        <v>0</v>
      </c>
      <c r="Q929" s="23">
        <f t="shared" si="145"/>
        <v>1800</v>
      </c>
      <c r="R929" s="20">
        <f t="shared" si="139"/>
        <v>1800</v>
      </c>
      <c r="S929" s="20">
        <f t="shared" si="139"/>
        <v>1800</v>
      </c>
      <c r="T929" s="18">
        <f t="shared" si="144"/>
        <v>3600</v>
      </c>
      <c r="U929" s="18"/>
      <c r="V929" s="25"/>
    </row>
    <row r="930" spans="1:22" ht="24" customHeight="1">
      <c r="A930" s="26"/>
      <c r="B930" s="15"/>
      <c r="C930" s="15"/>
      <c r="D930" s="16">
        <v>927</v>
      </c>
      <c r="E930" s="16" t="s">
        <v>955</v>
      </c>
      <c r="F930" s="16" t="s">
        <v>24</v>
      </c>
      <c r="G930" s="17">
        <v>1</v>
      </c>
      <c r="H930" s="18">
        <v>7</v>
      </c>
      <c r="I930" s="19"/>
      <c r="J930" s="19">
        <v>200</v>
      </c>
      <c r="K930" s="19"/>
      <c r="L930" s="19">
        <f t="shared" si="138"/>
        <v>7</v>
      </c>
      <c r="M930" s="21">
        <f t="shared" si="140"/>
        <v>7</v>
      </c>
      <c r="N930" s="22">
        <f t="shared" si="141"/>
        <v>7</v>
      </c>
      <c r="O930" s="22">
        <f t="shared" si="142"/>
        <v>0</v>
      </c>
      <c r="P930" s="20">
        <f t="shared" si="143"/>
        <v>0</v>
      </c>
      <c r="Q930" s="23">
        <f t="shared" si="145"/>
        <v>200</v>
      </c>
      <c r="R930" s="20">
        <f t="shared" si="139"/>
        <v>200</v>
      </c>
      <c r="S930" s="20">
        <f t="shared" si="139"/>
        <v>200</v>
      </c>
      <c r="T930" s="18">
        <f t="shared" si="144"/>
        <v>1400</v>
      </c>
      <c r="U930" s="18"/>
      <c r="V930" s="25"/>
    </row>
    <row r="931" spans="1:22" ht="24" customHeight="1">
      <c r="A931" s="26"/>
      <c r="B931" s="15"/>
      <c r="C931" s="15"/>
      <c r="D931" s="16">
        <v>928</v>
      </c>
      <c r="E931" s="16" t="s">
        <v>957</v>
      </c>
      <c r="F931" s="16" t="s">
        <v>24</v>
      </c>
      <c r="G931" s="17">
        <v>1</v>
      </c>
      <c r="H931" s="18">
        <v>16</v>
      </c>
      <c r="I931" s="19"/>
      <c r="J931" s="19">
        <v>150</v>
      </c>
      <c r="K931" s="19"/>
      <c r="L931" s="19">
        <f t="shared" si="138"/>
        <v>16</v>
      </c>
      <c r="M931" s="21">
        <f t="shared" si="140"/>
        <v>16</v>
      </c>
      <c r="N931" s="22">
        <f t="shared" si="141"/>
        <v>16</v>
      </c>
      <c r="O931" s="22">
        <f t="shared" si="142"/>
        <v>0</v>
      </c>
      <c r="P931" s="20">
        <f t="shared" si="143"/>
        <v>0</v>
      </c>
      <c r="Q931" s="23">
        <f t="shared" si="145"/>
        <v>150</v>
      </c>
      <c r="R931" s="20">
        <f t="shared" si="139"/>
        <v>150</v>
      </c>
      <c r="S931" s="20">
        <f t="shared" si="139"/>
        <v>150</v>
      </c>
      <c r="T931" s="18">
        <f t="shared" si="144"/>
        <v>2400</v>
      </c>
      <c r="U931" s="18"/>
      <c r="V931" s="25"/>
    </row>
    <row r="932" spans="1:22" ht="24" customHeight="1">
      <c r="A932" s="26"/>
      <c r="B932" s="15"/>
      <c r="C932" s="15"/>
      <c r="D932" s="16">
        <v>929</v>
      </c>
      <c r="E932" s="16" t="s">
        <v>157</v>
      </c>
      <c r="F932" s="16" t="s">
        <v>24</v>
      </c>
      <c r="G932" s="17">
        <v>1</v>
      </c>
      <c r="H932" s="18">
        <v>3</v>
      </c>
      <c r="I932" s="19"/>
      <c r="J932" s="19">
        <v>150</v>
      </c>
      <c r="K932" s="19"/>
      <c r="L932" s="19">
        <f t="shared" si="138"/>
        <v>3</v>
      </c>
      <c r="M932" s="21">
        <f t="shared" si="140"/>
        <v>3</v>
      </c>
      <c r="N932" s="22">
        <f t="shared" si="141"/>
        <v>3</v>
      </c>
      <c r="O932" s="22">
        <f t="shared" si="142"/>
        <v>0</v>
      </c>
      <c r="P932" s="20">
        <f t="shared" si="143"/>
        <v>0</v>
      </c>
      <c r="Q932" s="23">
        <f t="shared" si="145"/>
        <v>150</v>
      </c>
      <c r="R932" s="20">
        <f t="shared" si="139"/>
        <v>150</v>
      </c>
      <c r="S932" s="20">
        <f t="shared" si="139"/>
        <v>150</v>
      </c>
      <c r="T932" s="18">
        <f t="shared" si="144"/>
        <v>450</v>
      </c>
      <c r="U932" s="18"/>
      <c r="V932" s="25"/>
    </row>
    <row r="933" spans="1:22" ht="24" customHeight="1">
      <c r="A933" s="26"/>
      <c r="B933" s="15"/>
      <c r="C933" s="15"/>
      <c r="D933" s="16">
        <v>930</v>
      </c>
      <c r="E933" s="16" t="s">
        <v>958</v>
      </c>
      <c r="F933" s="16" t="s">
        <v>24</v>
      </c>
      <c r="G933" s="17">
        <v>1</v>
      </c>
      <c r="H933" s="18">
        <v>11</v>
      </c>
      <c r="I933" s="19"/>
      <c r="J933" s="19">
        <v>450</v>
      </c>
      <c r="K933" s="19"/>
      <c r="L933" s="19">
        <f t="shared" si="138"/>
        <v>11</v>
      </c>
      <c r="M933" s="21">
        <f t="shared" si="140"/>
        <v>11</v>
      </c>
      <c r="N933" s="22">
        <f t="shared" si="141"/>
        <v>11</v>
      </c>
      <c r="O933" s="22">
        <f t="shared" si="142"/>
        <v>0</v>
      </c>
      <c r="P933" s="20">
        <f t="shared" si="143"/>
        <v>0</v>
      </c>
      <c r="Q933" s="23">
        <f t="shared" si="145"/>
        <v>450</v>
      </c>
      <c r="R933" s="20">
        <f t="shared" si="139"/>
        <v>450</v>
      </c>
      <c r="S933" s="20">
        <f t="shared" si="139"/>
        <v>450</v>
      </c>
      <c r="T933" s="18">
        <f t="shared" si="144"/>
        <v>4950</v>
      </c>
      <c r="U933" s="18"/>
      <c r="V933" s="25"/>
    </row>
    <row r="934" spans="1:22" ht="24" customHeight="1">
      <c r="A934" s="26"/>
      <c r="B934" s="15"/>
      <c r="C934" s="15"/>
      <c r="D934" s="16">
        <v>931</v>
      </c>
      <c r="E934" s="16" t="s">
        <v>959</v>
      </c>
      <c r="F934" s="16" t="s">
        <v>24</v>
      </c>
      <c r="G934" s="17">
        <v>1</v>
      </c>
      <c r="H934" s="18">
        <v>1</v>
      </c>
      <c r="I934" s="19"/>
      <c r="J934" s="19">
        <v>300</v>
      </c>
      <c r="K934" s="19"/>
      <c r="L934" s="19">
        <f t="shared" ref="L934:L997" si="146">I934*G934+H934</f>
        <v>1</v>
      </c>
      <c r="M934" s="21">
        <f t="shared" si="140"/>
        <v>1</v>
      </c>
      <c r="N934" s="22">
        <f t="shared" si="141"/>
        <v>1</v>
      </c>
      <c r="O934" s="22">
        <f t="shared" si="142"/>
        <v>0</v>
      </c>
      <c r="P934" s="20">
        <f t="shared" si="143"/>
        <v>0</v>
      </c>
      <c r="Q934" s="23">
        <f t="shared" si="145"/>
        <v>300</v>
      </c>
      <c r="R934" s="20">
        <f t="shared" si="139"/>
        <v>300</v>
      </c>
      <c r="S934" s="20">
        <f t="shared" si="139"/>
        <v>300</v>
      </c>
      <c r="T934" s="18">
        <f t="shared" si="144"/>
        <v>300</v>
      </c>
      <c r="U934" s="18"/>
      <c r="V934" s="25"/>
    </row>
    <row r="935" spans="1:22" ht="24" customHeight="1">
      <c r="A935" s="26"/>
      <c r="B935" s="15"/>
      <c r="C935" s="15"/>
      <c r="D935" s="16">
        <v>932</v>
      </c>
      <c r="E935" s="16" t="s">
        <v>960</v>
      </c>
      <c r="F935" s="16" t="s">
        <v>24</v>
      </c>
      <c r="G935" s="17">
        <v>1</v>
      </c>
      <c r="H935" s="18">
        <v>84</v>
      </c>
      <c r="I935" s="19"/>
      <c r="J935" s="19">
        <v>35</v>
      </c>
      <c r="K935" s="19"/>
      <c r="L935" s="19">
        <f t="shared" si="146"/>
        <v>84</v>
      </c>
      <c r="M935" s="21">
        <f t="shared" si="140"/>
        <v>84</v>
      </c>
      <c r="N935" s="22">
        <f t="shared" si="141"/>
        <v>84</v>
      </c>
      <c r="O935" s="22">
        <f t="shared" si="142"/>
        <v>0</v>
      </c>
      <c r="P935" s="20">
        <f t="shared" si="143"/>
        <v>0</v>
      </c>
      <c r="Q935" s="23">
        <f t="shared" si="145"/>
        <v>35</v>
      </c>
      <c r="R935" s="20">
        <f t="shared" si="139"/>
        <v>35</v>
      </c>
      <c r="S935" s="20">
        <f t="shared" si="139"/>
        <v>35</v>
      </c>
      <c r="T935" s="18">
        <f t="shared" si="144"/>
        <v>2940</v>
      </c>
      <c r="U935" s="18"/>
      <c r="V935" s="25"/>
    </row>
    <row r="936" spans="1:22" ht="24" customHeight="1">
      <c r="A936" s="26"/>
      <c r="B936" s="15"/>
      <c r="C936" s="15"/>
      <c r="D936" s="16">
        <v>933</v>
      </c>
      <c r="E936" s="16" t="s">
        <v>961</v>
      </c>
      <c r="F936" s="16" t="s">
        <v>24</v>
      </c>
      <c r="G936" s="17">
        <v>1</v>
      </c>
      <c r="H936" s="18">
        <v>3</v>
      </c>
      <c r="I936" s="19"/>
      <c r="J936" s="19">
        <v>2000</v>
      </c>
      <c r="K936" s="19"/>
      <c r="L936" s="19">
        <f t="shared" si="146"/>
        <v>3</v>
      </c>
      <c r="M936" s="21">
        <f t="shared" si="140"/>
        <v>3</v>
      </c>
      <c r="N936" s="22">
        <f t="shared" si="141"/>
        <v>3</v>
      </c>
      <c r="O936" s="22">
        <f t="shared" si="142"/>
        <v>0</v>
      </c>
      <c r="P936" s="20">
        <f t="shared" si="143"/>
        <v>0</v>
      </c>
      <c r="Q936" s="23">
        <f t="shared" si="145"/>
        <v>2000</v>
      </c>
      <c r="R936" s="20">
        <f t="shared" si="139"/>
        <v>2000</v>
      </c>
      <c r="S936" s="20">
        <f t="shared" si="139"/>
        <v>2000</v>
      </c>
      <c r="T936" s="18">
        <f t="shared" si="144"/>
        <v>6000</v>
      </c>
      <c r="U936" s="18"/>
      <c r="V936" s="25"/>
    </row>
    <row r="937" spans="1:22" ht="24" customHeight="1">
      <c r="A937" s="26"/>
      <c r="B937" s="15"/>
      <c r="C937" s="15"/>
      <c r="D937" s="16">
        <v>934</v>
      </c>
      <c r="E937" s="43" t="s">
        <v>1154</v>
      </c>
      <c r="F937" s="16" t="s">
        <v>24</v>
      </c>
      <c r="G937" s="17">
        <v>1</v>
      </c>
      <c r="H937" s="18">
        <v>10</v>
      </c>
      <c r="I937" s="19"/>
      <c r="J937" s="19">
        <v>69.5</v>
      </c>
      <c r="K937" s="19"/>
      <c r="L937" s="19">
        <f t="shared" si="146"/>
        <v>10</v>
      </c>
      <c r="M937" s="21">
        <f t="shared" si="140"/>
        <v>10</v>
      </c>
      <c r="N937" s="22">
        <f t="shared" si="141"/>
        <v>10</v>
      </c>
      <c r="O937" s="22">
        <f t="shared" si="142"/>
        <v>0</v>
      </c>
      <c r="P937" s="20">
        <f t="shared" si="143"/>
        <v>0</v>
      </c>
      <c r="Q937" s="23">
        <f t="shared" si="145"/>
        <v>69.5</v>
      </c>
      <c r="R937" s="20">
        <f t="shared" si="139"/>
        <v>69.5</v>
      </c>
      <c r="S937" s="20">
        <f t="shared" si="139"/>
        <v>69.5</v>
      </c>
      <c r="T937" s="18">
        <f t="shared" si="144"/>
        <v>695</v>
      </c>
      <c r="U937" s="18" t="s">
        <v>1155</v>
      </c>
      <c r="V937" s="25"/>
    </row>
    <row r="938" spans="1:22" ht="24" customHeight="1">
      <c r="A938" s="26"/>
      <c r="B938" s="15"/>
      <c r="C938" s="15"/>
      <c r="D938" s="16">
        <v>935</v>
      </c>
      <c r="E938" s="16" t="s">
        <v>962</v>
      </c>
      <c r="F938" s="16" t="s">
        <v>24</v>
      </c>
      <c r="G938" s="17">
        <v>1</v>
      </c>
      <c r="H938" s="18">
        <v>2</v>
      </c>
      <c r="I938" s="19"/>
      <c r="J938" s="19">
        <v>250</v>
      </c>
      <c r="K938" s="19"/>
      <c r="L938" s="19">
        <f t="shared" si="146"/>
        <v>2</v>
      </c>
      <c r="M938" s="21">
        <f t="shared" si="140"/>
        <v>2</v>
      </c>
      <c r="N938" s="22">
        <f t="shared" si="141"/>
        <v>2</v>
      </c>
      <c r="O938" s="22">
        <f t="shared" si="142"/>
        <v>0</v>
      </c>
      <c r="P938" s="20">
        <f t="shared" si="143"/>
        <v>0</v>
      </c>
      <c r="Q938" s="23">
        <f t="shared" si="145"/>
        <v>250</v>
      </c>
      <c r="R938" s="20">
        <f t="shared" si="139"/>
        <v>250</v>
      </c>
      <c r="S938" s="20">
        <f t="shared" si="139"/>
        <v>250</v>
      </c>
      <c r="T938" s="18">
        <f t="shared" si="144"/>
        <v>500</v>
      </c>
      <c r="U938" s="18"/>
      <c r="V938" s="25"/>
    </row>
    <row r="939" spans="1:22" ht="24" customHeight="1">
      <c r="A939" s="26"/>
      <c r="B939" s="15"/>
      <c r="C939" s="15"/>
      <c r="D939" s="16">
        <v>936</v>
      </c>
      <c r="E939" s="16" t="s">
        <v>963</v>
      </c>
      <c r="F939" s="16" t="s">
        <v>24</v>
      </c>
      <c r="G939" s="17">
        <v>1</v>
      </c>
      <c r="H939" s="18">
        <v>1</v>
      </c>
      <c r="I939" s="19"/>
      <c r="J939" s="19">
        <v>350</v>
      </c>
      <c r="K939" s="19"/>
      <c r="L939" s="19">
        <f t="shared" si="146"/>
        <v>1</v>
      </c>
      <c r="M939" s="21">
        <f t="shared" si="140"/>
        <v>1</v>
      </c>
      <c r="N939" s="22">
        <f t="shared" si="141"/>
        <v>1</v>
      </c>
      <c r="O939" s="22">
        <f t="shared" si="142"/>
        <v>0</v>
      </c>
      <c r="P939" s="20">
        <f t="shared" si="143"/>
        <v>0</v>
      </c>
      <c r="Q939" s="23">
        <f t="shared" si="145"/>
        <v>350</v>
      </c>
      <c r="R939" s="20">
        <f t="shared" si="139"/>
        <v>350</v>
      </c>
      <c r="S939" s="20">
        <f t="shared" si="139"/>
        <v>350</v>
      </c>
      <c r="T939" s="18">
        <f t="shared" si="144"/>
        <v>350</v>
      </c>
      <c r="U939" s="18"/>
      <c r="V939" s="25"/>
    </row>
    <row r="940" spans="1:22" ht="24" customHeight="1">
      <c r="A940" s="26"/>
      <c r="B940" s="15"/>
      <c r="C940" s="15"/>
      <c r="D940" s="16">
        <v>937</v>
      </c>
      <c r="E940" s="16" t="s">
        <v>1156</v>
      </c>
      <c r="F940" s="16" t="s">
        <v>24</v>
      </c>
      <c r="G940" s="17">
        <v>1</v>
      </c>
      <c r="H940" s="18">
        <v>9</v>
      </c>
      <c r="I940" s="19"/>
      <c r="J940" s="19">
        <v>66.7</v>
      </c>
      <c r="K940" s="19"/>
      <c r="L940" s="19">
        <f t="shared" si="146"/>
        <v>9</v>
      </c>
      <c r="M940" s="21">
        <f t="shared" si="140"/>
        <v>9</v>
      </c>
      <c r="N940" s="22">
        <f t="shared" si="141"/>
        <v>9</v>
      </c>
      <c r="O940" s="22">
        <f t="shared" si="142"/>
        <v>0</v>
      </c>
      <c r="P940" s="20">
        <f t="shared" si="143"/>
        <v>0</v>
      </c>
      <c r="Q940" s="23">
        <f t="shared" si="145"/>
        <v>66.7</v>
      </c>
      <c r="R940" s="20">
        <f t="shared" si="139"/>
        <v>66.7</v>
      </c>
      <c r="S940" s="20">
        <f t="shared" si="139"/>
        <v>66.7</v>
      </c>
      <c r="T940" s="18">
        <f t="shared" si="144"/>
        <v>600.30000000000007</v>
      </c>
      <c r="U940" s="18"/>
      <c r="V940" s="25"/>
    </row>
    <row r="941" spans="1:22" ht="24" customHeight="1">
      <c r="A941" s="26"/>
      <c r="B941" s="15"/>
      <c r="C941" s="15"/>
      <c r="D941" s="16">
        <v>938</v>
      </c>
      <c r="E941" s="16" t="s">
        <v>964</v>
      </c>
      <c r="F941" s="16" t="s">
        <v>24</v>
      </c>
      <c r="G941" s="17">
        <v>1</v>
      </c>
      <c r="H941" s="18">
        <v>3</v>
      </c>
      <c r="I941" s="19"/>
      <c r="J941" s="19">
        <v>750</v>
      </c>
      <c r="K941" s="19"/>
      <c r="L941" s="19">
        <f t="shared" si="146"/>
        <v>3</v>
      </c>
      <c r="M941" s="21">
        <f t="shared" si="140"/>
        <v>3</v>
      </c>
      <c r="N941" s="22">
        <f t="shared" si="141"/>
        <v>3</v>
      </c>
      <c r="O941" s="22">
        <f t="shared" si="142"/>
        <v>0</v>
      </c>
      <c r="P941" s="20">
        <f t="shared" si="143"/>
        <v>0</v>
      </c>
      <c r="Q941" s="23">
        <f t="shared" si="145"/>
        <v>750</v>
      </c>
      <c r="R941" s="20">
        <f t="shared" si="139"/>
        <v>750</v>
      </c>
      <c r="S941" s="20">
        <f t="shared" si="139"/>
        <v>750</v>
      </c>
      <c r="T941" s="18">
        <f t="shared" si="144"/>
        <v>2250</v>
      </c>
      <c r="U941" s="18"/>
      <c r="V941" s="25"/>
    </row>
    <row r="942" spans="1:22" ht="24" customHeight="1">
      <c r="A942" s="26"/>
      <c r="B942" s="15"/>
      <c r="C942" s="15"/>
      <c r="D942" s="16">
        <v>939</v>
      </c>
      <c r="E942" s="16" t="s">
        <v>965</v>
      </c>
      <c r="F942" s="16" t="s">
        <v>24</v>
      </c>
      <c r="G942" s="17">
        <v>1</v>
      </c>
      <c r="H942" s="18">
        <v>3</v>
      </c>
      <c r="I942" s="19"/>
      <c r="J942" s="19">
        <v>1200</v>
      </c>
      <c r="K942" s="19"/>
      <c r="L942" s="19">
        <f t="shared" si="146"/>
        <v>3</v>
      </c>
      <c r="M942" s="21">
        <f t="shared" si="140"/>
        <v>3</v>
      </c>
      <c r="N942" s="22">
        <f t="shared" si="141"/>
        <v>3</v>
      </c>
      <c r="O942" s="22">
        <f t="shared" si="142"/>
        <v>0</v>
      </c>
      <c r="P942" s="20">
        <f t="shared" si="143"/>
        <v>0</v>
      </c>
      <c r="Q942" s="23">
        <f t="shared" si="145"/>
        <v>1200</v>
      </c>
      <c r="R942" s="20">
        <f t="shared" si="139"/>
        <v>1200</v>
      </c>
      <c r="S942" s="20">
        <f t="shared" si="139"/>
        <v>1200</v>
      </c>
      <c r="T942" s="18">
        <f t="shared" si="144"/>
        <v>3600</v>
      </c>
      <c r="U942" s="18"/>
      <c r="V942" s="25"/>
    </row>
    <row r="943" spans="1:22" ht="24" customHeight="1">
      <c r="A943" s="26"/>
      <c r="B943" s="15"/>
      <c r="C943" s="15"/>
      <c r="D943" s="16">
        <v>940</v>
      </c>
      <c r="E943" s="16" t="s">
        <v>966</v>
      </c>
      <c r="F943" s="16" t="s">
        <v>24</v>
      </c>
      <c r="G943" s="17">
        <v>1</v>
      </c>
      <c r="H943" s="18">
        <v>3</v>
      </c>
      <c r="I943" s="19"/>
      <c r="J943" s="19">
        <v>400</v>
      </c>
      <c r="K943" s="19"/>
      <c r="L943" s="19">
        <f t="shared" si="146"/>
        <v>3</v>
      </c>
      <c r="M943" s="21">
        <f t="shared" si="140"/>
        <v>3</v>
      </c>
      <c r="N943" s="22">
        <f t="shared" si="141"/>
        <v>3</v>
      </c>
      <c r="O943" s="22">
        <f t="shared" si="142"/>
        <v>0</v>
      </c>
      <c r="P943" s="20">
        <f t="shared" si="143"/>
        <v>0</v>
      </c>
      <c r="Q943" s="23">
        <f t="shared" si="145"/>
        <v>400</v>
      </c>
      <c r="R943" s="20">
        <f t="shared" ref="R943:S1006" si="147">IFERROR(IF(J943&gt;0,J943,IF(J943&lt;0,P943,IF(J943=0,P943))),"")</f>
        <v>400</v>
      </c>
      <c r="S943" s="20">
        <f t="shared" si="147"/>
        <v>400</v>
      </c>
      <c r="T943" s="18">
        <f t="shared" si="144"/>
        <v>1200</v>
      </c>
      <c r="U943" s="18"/>
      <c r="V943" s="25"/>
    </row>
    <row r="944" spans="1:22" ht="24" customHeight="1">
      <c r="A944" s="26"/>
      <c r="B944" s="15"/>
      <c r="C944" s="15"/>
      <c r="D944" s="16">
        <v>941</v>
      </c>
      <c r="E944" s="16" t="s">
        <v>967</v>
      </c>
      <c r="F944" s="16" t="s">
        <v>24</v>
      </c>
      <c r="G944" s="17">
        <v>1</v>
      </c>
      <c r="H944" s="18">
        <v>1</v>
      </c>
      <c r="I944" s="19"/>
      <c r="J944" s="19">
        <v>600</v>
      </c>
      <c r="K944" s="19"/>
      <c r="L944" s="19">
        <f t="shared" si="146"/>
        <v>1</v>
      </c>
      <c r="M944" s="21">
        <f t="shared" si="140"/>
        <v>1</v>
      </c>
      <c r="N944" s="22">
        <f t="shared" si="141"/>
        <v>1</v>
      </c>
      <c r="O944" s="22">
        <f t="shared" si="142"/>
        <v>0</v>
      </c>
      <c r="P944" s="20">
        <f t="shared" si="143"/>
        <v>0</v>
      </c>
      <c r="Q944" s="23">
        <f t="shared" si="145"/>
        <v>600</v>
      </c>
      <c r="R944" s="20">
        <f t="shared" si="147"/>
        <v>600</v>
      </c>
      <c r="S944" s="20">
        <f t="shared" si="147"/>
        <v>600</v>
      </c>
      <c r="T944" s="18">
        <f t="shared" si="144"/>
        <v>600</v>
      </c>
      <c r="U944" s="18"/>
      <c r="V944" s="25"/>
    </row>
    <row r="945" spans="1:22" ht="24" customHeight="1">
      <c r="A945" s="26"/>
      <c r="B945" s="15"/>
      <c r="C945" s="15"/>
      <c r="D945" s="16">
        <v>942</v>
      </c>
      <c r="E945" s="16" t="s">
        <v>968</v>
      </c>
      <c r="F945" s="16" t="s">
        <v>24</v>
      </c>
      <c r="G945" s="17">
        <v>1</v>
      </c>
      <c r="H945" s="18">
        <v>4</v>
      </c>
      <c r="I945" s="19"/>
      <c r="J945" s="19">
        <v>120</v>
      </c>
      <c r="K945" s="19"/>
      <c r="L945" s="19">
        <f t="shared" si="146"/>
        <v>4</v>
      </c>
      <c r="M945" s="21">
        <f t="shared" si="140"/>
        <v>4</v>
      </c>
      <c r="N945" s="22">
        <f t="shared" si="141"/>
        <v>4</v>
      </c>
      <c r="O945" s="22">
        <f t="shared" si="142"/>
        <v>0</v>
      </c>
      <c r="P945" s="20">
        <f t="shared" si="143"/>
        <v>0</v>
      </c>
      <c r="Q945" s="23">
        <f t="shared" si="145"/>
        <v>120</v>
      </c>
      <c r="R945" s="20">
        <f t="shared" si="147"/>
        <v>120</v>
      </c>
      <c r="S945" s="20">
        <f t="shared" si="147"/>
        <v>120</v>
      </c>
      <c r="T945" s="18">
        <f t="shared" si="144"/>
        <v>480</v>
      </c>
      <c r="U945" s="18"/>
      <c r="V945" s="25"/>
    </row>
    <row r="946" spans="1:22" ht="24" customHeight="1">
      <c r="A946" s="26"/>
      <c r="B946" s="15"/>
      <c r="C946" s="15"/>
      <c r="D946" s="16">
        <v>943</v>
      </c>
      <c r="E946" s="16" t="s">
        <v>969</v>
      </c>
      <c r="F946" s="16" t="s">
        <v>24</v>
      </c>
      <c r="G946" s="17">
        <v>1</v>
      </c>
      <c r="H946" s="18">
        <v>6</v>
      </c>
      <c r="I946" s="19"/>
      <c r="J946" s="19">
        <v>600</v>
      </c>
      <c r="K946" s="19"/>
      <c r="L946" s="19">
        <f t="shared" si="146"/>
        <v>6</v>
      </c>
      <c r="M946" s="21">
        <f t="shared" si="140"/>
        <v>6</v>
      </c>
      <c r="N946" s="22">
        <f t="shared" si="141"/>
        <v>6</v>
      </c>
      <c r="O946" s="22">
        <f t="shared" si="142"/>
        <v>0</v>
      </c>
      <c r="P946" s="20">
        <f t="shared" si="143"/>
        <v>0</v>
      </c>
      <c r="Q946" s="23">
        <f t="shared" si="145"/>
        <v>600</v>
      </c>
      <c r="R946" s="20">
        <f t="shared" si="147"/>
        <v>600</v>
      </c>
      <c r="S946" s="20">
        <f t="shared" si="147"/>
        <v>600</v>
      </c>
      <c r="T946" s="18">
        <f t="shared" si="144"/>
        <v>3600</v>
      </c>
      <c r="U946" s="18"/>
      <c r="V946" s="25"/>
    </row>
    <row r="947" spans="1:22" ht="24" customHeight="1">
      <c r="A947" s="26"/>
      <c r="B947" s="15"/>
      <c r="C947" s="15"/>
      <c r="D947" s="16">
        <v>944</v>
      </c>
      <c r="E947" s="16" t="s">
        <v>970</v>
      </c>
      <c r="F947" s="16" t="s">
        <v>24</v>
      </c>
      <c r="G947" s="17">
        <v>1</v>
      </c>
      <c r="H947" s="18">
        <v>8</v>
      </c>
      <c r="I947" s="19"/>
      <c r="J947" s="19">
        <v>280</v>
      </c>
      <c r="K947" s="19"/>
      <c r="L947" s="19">
        <f t="shared" si="146"/>
        <v>8</v>
      </c>
      <c r="M947" s="21">
        <f t="shared" si="140"/>
        <v>8</v>
      </c>
      <c r="N947" s="22">
        <f t="shared" si="141"/>
        <v>8</v>
      </c>
      <c r="O947" s="22">
        <f t="shared" si="142"/>
        <v>0</v>
      </c>
      <c r="P947" s="20">
        <f t="shared" si="143"/>
        <v>0</v>
      </c>
      <c r="Q947" s="23">
        <f t="shared" si="145"/>
        <v>280</v>
      </c>
      <c r="R947" s="20">
        <f t="shared" si="147"/>
        <v>280</v>
      </c>
      <c r="S947" s="20">
        <f t="shared" si="147"/>
        <v>280</v>
      </c>
      <c r="T947" s="18">
        <f t="shared" si="144"/>
        <v>2240</v>
      </c>
      <c r="U947" s="18"/>
      <c r="V947" s="25"/>
    </row>
    <row r="948" spans="1:22" ht="24" customHeight="1">
      <c r="A948" s="26"/>
      <c r="B948" s="15"/>
      <c r="C948" s="15"/>
      <c r="D948" s="16">
        <v>945</v>
      </c>
      <c r="E948" s="16" t="s">
        <v>972</v>
      </c>
      <c r="F948" s="16" t="s">
        <v>24</v>
      </c>
      <c r="G948" s="17">
        <v>1</v>
      </c>
      <c r="H948" s="18">
        <v>2</v>
      </c>
      <c r="I948" s="19"/>
      <c r="J948" s="19">
        <v>1100</v>
      </c>
      <c r="K948" s="19"/>
      <c r="L948" s="19">
        <f t="shared" si="146"/>
        <v>2</v>
      </c>
      <c r="M948" s="21">
        <f t="shared" si="140"/>
        <v>2</v>
      </c>
      <c r="N948" s="22">
        <f t="shared" si="141"/>
        <v>2</v>
      </c>
      <c r="O948" s="22">
        <f t="shared" si="142"/>
        <v>0</v>
      </c>
      <c r="P948" s="20">
        <f t="shared" si="143"/>
        <v>0</v>
      </c>
      <c r="Q948" s="23">
        <f t="shared" si="145"/>
        <v>1100</v>
      </c>
      <c r="R948" s="20">
        <f t="shared" si="147"/>
        <v>1100</v>
      </c>
      <c r="S948" s="20">
        <f t="shared" si="147"/>
        <v>1100</v>
      </c>
      <c r="T948" s="18">
        <f t="shared" si="144"/>
        <v>2200</v>
      </c>
      <c r="U948" s="18"/>
      <c r="V948" s="25"/>
    </row>
    <row r="949" spans="1:22" ht="24" customHeight="1">
      <c r="A949" s="26"/>
      <c r="B949" s="15"/>
      <c r="C949" s="15"/>
      <c r="D949" s="16">
        <v>946</v>
      </c>
      <c r="E949" s="16" t="s">
        <v>971</v>
      </c>
      <c r="F949" s="16" t="s">
        <v>24</v>
      </c>
      <c r="G949" s="17">
        <v>1</v>
      </c>
      <c r="H949" s="18">
        <v>2</v>
      </c>
      <c r="I949" s="19"/>
      <c r="J949" s="19">
        <v>800</v>
      </c>
      <c r="K949" s="19"/>
      <c r="L949" s="19">
        <f t="shared" si="146"/>
        <v>2</v>
      </c>
      <c r="M949" s="21">
        <f t="shared" si="140"/>
        <v>2</v>
      </c>
      <c r="N949" s="22">
        <f t="shared" si="141"/>
        <v>2</v>
      </c>
      <c r="O949" s="22">
        <f t="shared" si="142"/>
        <v>0</v>
      </c>
      <c r="P949" s="20">
        <f t="shared" si="143"/>
        <v>0</v>
      </c>
      <c r="Q949" s="23">
        <f t="shared" si="145"/>
        <v>800</v>
      </c>
      <c r="R949" s="20">
        <f t="shared" si="147"/>
        <v>800</v>
      </c>
      <c r="S949" s="20">
        <f t="shared" si="147"/>
        <v>800</v>
      </c>
      <c r="T949" s="18">
        <f t="shared" si="144"/>
        <v>1600</v>
      </c>
      <c r="U949" s="18"/>
      <c r="V949" s="25"/>
    </row>
    <row r="950" spans="1:22" ht="24" customHeight="1">
      <c r="A950" s="26"/>
      <c r="B950" s="15"/>
      <c r="C950" s="15"/>
      <c r="D950" s="16">
        <v>947</v>
      </c>
      <c r="E950" s="16" t="s">
        <v>973</v>
      </c>
      <c r="F950" s="16" t="s">
        <v>24</v>
      </c>
      <c r="G950" s="17">
        <v>24</v>
      </c>
      <c r="H950" s="18">
        <v>3</v>
      </c>
      <c r="I950" s="19"/>
      <c r="J950" s="19">
        <v>300</v>
      </c>
      <c r="K950" s="19"/>
      <c r="L950" s="19">
        <f t="shared" si="146"/>
        <v>3</v>
      </c>
      <c r="M950" s="21">
        <f t="shared" si="140"/>
        <v>0.125</v>
      </c>
      <c r="N950" s="22">
        <f t="shared" si="141"/>
        <v>3</v>
      </c>
      <c r="O950" s="22">
        <f t="shared" si="142"/>
        <v>0</v>
      </c>
      <c r="P950" s="20">
        <f t="shared" si="143"/>
        <v>0</v>
      </c>
      <c r="Q950" s="23">
        <f t="shared" si="145"/>
        <v>7200</v>
      </c>
      <c r="R950" s="20">
        <f t="shared" si="147"/>
        <v>300</v>
      </c>
      <c r="S950" s="20">
        <f t="shared" si="147"/>
        <v>7200</v>
      </c>
      <c r="T950" s="18">
        <f t="shared" si="144"/>
        <v>900</v>
      </c>
      <c r="U950" s="18"/>
      <c r="V950" s="25"/>
    </row>
    <row r="951" spans="1:22" ht="24" customHeight="1">
      <c r="A951" s="26"/>
      <c r="B951" s="15"/>
      <c r="C951" s="15"/>
      <c r="D951" s="16">
        <v>948</v>
      </c>
      <c r="E951" s="16" t="s">
        <v>974</v>
      </c>
      <c r="F951" s="16" t="s">
        <v>24</v>
      </c>
      <c r="G951" s="17">
        <v>42</v>
      </c>
      <c r="H951" s="18">
        <v>2</v>
      </c>
      <c r="I951" s="19"/>
      <c r="J951" s="19">
        <v>900</v>
      </c>
      <c r="K951" s="19"/>
      <c r="L951" s="19">
        <f t="shared" si="146"/>
        <v>2</v>
      </c>
      <c r="M951" s="21">
        <f t="shared" si="140"/>
        <v>4.7619047619047616E-2</v>
      </c>
      <c r="N951" s="22">
        <f t="shared" si="141"/>
        <v>2</v>
      </c>
      <c r="O951" s="22">
        <f t="shared" si="142"/>
        <v>0</v>
      </c>
      <c r="P951" s="20">
        <f t="shared" si="143"/>
        <v>0</v>
      </c>
      <c r="Q951" s="23">
        <f t="shared" si="145"/>
        <v>37800</v>
      </c>
      <c r="R951" s="20">
        <f t="shared" si="147"/>
        <v>900</v>
      </c>
      <c r="S951" s="20">
        <f t="shared" si="147"/>
        <v>37800</v>
      </c>
      <c r="T951" s="18">
        <f t="shared" si="144"/>
        <v>1800</v>
      </c>
      <c r="U951" s="18"/>
      <c r="V951" s="25"/>
    </row>
    <row r="952" spans="1:22" ht="24" customHeight="1">
      <c r="A952" s="26"/>
      <c r="B952" s="15"/>
      <c r="C952" s="15"/>
      <c r="D952" s="16">
        <v>949</v>
      </c>
      <c r="E952" s="16" t="s">
        <v>975</v>
      </c>
      <c r="F952" s="16" t="s">
        <v>24</v>
      </c>
      <c r="G952" s="17">
        <v>1</v>
      </c>
      <c r="H952" s="18">
        <v>9</v>
      </c>
      <c r="I952" s="19"/>
      <c r="J952" s="19">
        <v>200</v>
      </c>
      <c r="K952" s="19"/>
      <c r="L952" s="19">
        <f t="shared" si="146"/>
        <v>9</v>
      </c>
      <c r="M952" s="21">
        <f t="shared" si="140"/>
        <v>9</v>
      </c>
      <c r="N952" s="22">
        <f t="shared" si="141"/>
        <v>9</v>
      </c>
      <c r="O952" s="22">
        <f t="shared" si="142"/>
        <v>0</v>
      </c>
      <c r="P952" s="20">
        <f t="shared" si="143"/>
        <v>0</v>
      </c>
      <c r="Q952" s="23">
        <f t="shared" si="145"/>
        <v>200</v>
      </c>
      <c r="R952" s="20">
        <f t="shared" si="147"/>
        <v>200</v>
      </c>
      <c r="S952" s="20">
        <f t="shared" si="147"/>
        <v>200</v>
      </c>
      <c r="T952" s="18">
        <f t="shared" si="144"/>
        <v>1800</v>
      </c>
      <c r="U952" s="18"/>
      <c r="V952" s="25"/>
    </row>
    <row r="953" spans="1:22" ht="24" customHeight="1">
      <c r="A953" s="26"/>
      <c r="B953" s="15"/>
      <c r="C953" s="15"/>
      <c r="D953" s="16">
        <v>950</v>
      </c>
      <c r="E953" s="16" t="s">
        <v>976</v>
      </c>
      <c r="F953" s="16" t="s">
        <v>24</v>
      </c>
      <c r="G953" s="17">
        <v>1</v>
      </c>
      <c r="H953" s="18">
        <v>2</v>
      </c>
      <c r="I953" s="19"/>
      <c r="J953" s="19">
        <v>1300</v>
      </c>
      <c r="K953" s="19"/>
      <c r="L953" s="19">
        <f t="shared" si="146"/>
        <v>2</v>
      </c>
      <c r="M953" s="21">
        <f t="shared" si="140"/>
        <v>2</v>
      </c>
      <c r="N953" s="22">
        <f t="shared" si="141"/>
        <v>2</v>
      </c>
      <c r="O953" s="22">
        <f t="shared" si="142"/>
        <v>0</v>
      </c>
      <c r="P953" s="20">
        <f t="shared" si="143"/>
        <v>0</v>
      </c>
      <c r="Q953" s="23">
        <f t="shared" si="145"/>
        <v>1300</v>
      </c>
      <c r="R953" s="20">
        <f t="shared" si="147"/>
        <v>1300</v>
      </c>
      <c r="S953" s="20">
        <f t="shared" si="147"/>
        <v>1300</v>
      </c>
      <c r="T953" s="18">
        <f t="shared" si="144"/>
        <v>2600</v>
      </c>
      <c r="U953" s="18"/>
      <c r="V953" s="25"/>
    </row>
    <row r="954" spans="1:22" ht="24" customHeight="1">
      <c r="A954" s="26"/>
      <c r="B954" s="15"/>
      <c r="C954" s="15"/>
      <c r="D954" s="16">
        <v>951</v>
      </c>
      <c r="E954" s="16" t="s">
        <v>977</v>
      </c>
      <c r="F954" s="16" t="s">
        <v>24</v>
      </c>
      <c r="G954" s="17">
        <v>1</v>
      </c>
      <c r="H954" s="18">
        <v>4</v>
      </c>
      <c r="I954" s="19"/>
      <c r="J954" s="19">
        <v>750</v>
      </c>
      <c r="K954" s="19"/>
      <c r="L954" s="19">
        <f t="shared" si="146"/>
        <v>4</v>
      </c>
      <c r="M954" s="21">
        <f t="shared" si="140"/>
        <v>4</v>
      </c>
      <c r="N954" s="22">
        <f t="shared" si="141"/>
        <v>4</v>
      </c>
      <c r="O954" s="22">
        <f t="shared" si="142"/>
        <v>0</v>
      </c>
      <c r="P954" s="20">
        <f t="shared" si="143"/>
        <v>0</v>
      </c>
      <c r="Q954" s="23">
        <f t="shared" si="145"/>
        <v>750</v>
      </c>
      <c r="R954" s="20">
        <f t="shared" si="147"/>
        <v>750</v>
      </c>
      <c r="S954" s="20">
        <f t="shared" si="147"/>
        <v>750</v>
      </c>
      <c r="T954" s="18">
        <f t="shared" si="144"/>
        <v>3000</v>
      </c>
      <c r="U954" s="18"/>
      <c r="V954" s="25"/>
    </row>
    <row r="955" spans="1:22" ht="24" customHeight="1">
      <c r="A955" s="26"/>
      <c r="B955" s="15"/>
      <c r="C955" s="15"/>
      <c r="D955" s="16">
        <v>952</v>
      </c>
      <c r="E955" s="16" t="s">
        <v>978</v>
      </c>
      <c r="F955" s="16" t="s">
        <v>24</v>
      </c>
      <c r="G955" s="17">
        <v>1</v>
      </c>
      <c r="H955" s="18">
        <v>1</v>
      </c>
      <c r="I955" s="19"/>
      <c r="J955" s="19">
        <v>950</v>
      </c>
      <c r="K955" s="19"/>
      <c r="L955" s="19">
        <f t="shared" si="146"/>
        <v>1</v>
      </c>
      <c r="M955" s="21">
        <f t="shared" si="140"/>
        <v>1</v>
      </c>
      <c r="N955" s="22">
        <f t="shared" si="141"/>
        <v>1</v>
      </c>
      <c r="O955" s="22">
        <f t="shared" si="142"/>
        <v>0</v>
      </c>
      <c r="P955" s="20">
        <f t="shared" si="143"/>
        <v>0</v>
      </c>
      <c r="Q955" s="23">
        <f t="shared" si="145"/>
        <v>950</v>
      </c>
      <c r="R955" s="20">
        <f t="shared" si="147"/>
        <v>950</v>
      </c>
      <c r="S955" s="20">
        <f t="shared" si="147"/>
        <v>950</v>
      </c>
      <c r="T955" s="18">
        <f t="shared" si="144"/>
        <v>950</v>
      </c>
      <c r="U955" s="18"/>
      <c r="V955" s="25"/>
    </row>
    <row r="956" spans="1:22" ht="24" customHeight="1">
      <c r="A956" s="26"/>
      <c r="B956" s="15"/>
      <c r="C956" s="15"/>
      <c r="D956" s="16">
        <v>953</v>
      </c>
      <c r="E956" s="16" t="s">
        <v>979</v>
      </c>
      <c r="F956" s="16" t="s">
        <v>24</v>
      </c>
      <c r="G956" s="17">
        <v>1</v>
      </c>
      <c r="H956" s="18">
        <v>2</v>
      </c>
      <c r="I956" s="19"/>
      <c r="J956" s="19">
        <v>280</v>
      </c>
      <c r="K956" s="19"/>
      <c r="L956" s="19">
        <f t="shared" si="146"/>
        <v>2</v>
      </c>
      <c r="M956" s="21">
        <f t="shared" si="140"/>
        <v>2</v>
      </c>
      <c r="N956" s="22">
        <f t="shared" si="141"/>
        <v>2</v>
      </c>
      <c r="O956" s="22">
        <f t="shared" si="142"/>
        <v>0</v>
      </c>
      <c r="P956" s="20">
        <f t="shared" si="143"/>
        <v>0</v>
      </c>
      <c r="Q956" s="23">
        <f t="shared" si="145"/>
        <v>280</v>
      </c>
      <c r="R956" s="20">
        <f t="shared" si="147"/>
        <v>280</v>
      </c>
      <c r="S956" s="20">
        <f t="shared" si="147"/>
        <v>280</v>
      </c>
      <c r="T956" s="18">
        <f t="shared" si="144"/>
        <v>560</v>
      </c>
      <c r="U956" s="18"/>
      <c r="V956" s="25"/>
    </row>
    <row r="957" spans="1:22" ht="24" customHeight="1">
      <c r="A957" s="26"/>
      <c r="B957" s="15"/>
      <c r="C957" s="15"/>
      <c r="D957" s="16">
        <v>954</v>
      </c>
      <c r="E957" s="16" t="s">
        <v>980</v>
      </c>
      <c r="F957" s="16" t="s">
        <v>24</v>
      </c>
      <c r="G957" s="17">
        <v>1</v>
      </c>
      <c r="H957" s="18">
        <v>1</v>
      </c>
      <c r="I957" s="19"/>
      <c r="J957" s="19">
        <v>1400</v>
      </c>
      <c r="K957" s="19"/>
      <c r="L957" s="19">
        <f t="shared" si="146"/>
        <v>1</v>
      </c>
      <c r="M957" s="21">
        <f t="shared" si="140"/>
        <v>1</v>
      </c>
      <c r="N957" s="22">
        <f t="shared" si="141"/>
        <v>1</v>
      </c>
      <c r="O957" s="22">
        <f t="shared" si="142"/>
        <v>0</v>
      </c>
      <c r="P957" s="20">
        <f t="shared" si="143"/>
        <v>0</v>
      </c>
      <c r="Q957" s="23">
        <f t="shared" si="145"/>
        <v>1400</v>
      </c>
      <c r="R957" s="20">
        <f t="shared" si="147"/>
        <v>1400</v>
      </c>
      <c r="S957" s="20">
        <f t="shared" si="147"/>
        <v>1400</v>
      </c>
      <c r="T957" s="18">
        <f t="shared" si="144"/>
        <v>1400</v>
      </c>
      <c r="U957" s="18"/>
      <c r="V957" s="25"/>
    </row>
    <row r="958" spans="1:22" ht="24" customHeight="1">
      <c r="A958" s="26"/>
      <c r="B958" s="15"/>
      <c r="C958" s="15"/>
      <c r="D958" s="16">
        <v>955</v>
      </c>
      <c r="E958" s="16" t="s">
        <v>981</v>
      </c>
      <c r="F958" s="16" t="s">
        <v>24</v>
      </c>
      <c r="G958" s="17">
        <v>1</v>
      </c>
      <c r="H958" s="18">
        <v>1</v>
      </c>
      <c r="I958" s="19"/>
      <c r="J958" s="19">
        <v>900</v>
      </c>
      <c r="K958" s="19"/>
      <c r="L958" s="19">
        <f t="shared" si="146"/>
        <v>1</v>
      </c>
      <c r="M958" s="21">
        <f t="shared" si="140"/>
        <v>1</v>
      </c>
      <c r="N958" s="22">
        <f t="shared" si="141"/>
        <v>1</v>
      </c>
      <c r="O958" s="22">
        <f t="shared" si="142"/>
        <v>0</v>
      </c>
      <c r="P958" s="20">
        <f t="shared" si="143"/>
        <v>0</v>
      </c>
      <c r="Q958" s="23">
        <f t="shared" si="145"/>
        <v>900</v>
      </c>
      <c r="R958" s="20">
        <f t="shared" si="147"/>
        <v>900</v>
      </c>
      <c r="S958" s="20">
        <f t="shared" si="147"/>
        <v>900</v>
      </c>
      <c r="T958" s="18">
        <f t="shared" si="144"/>
        <v>900</v>
      </c>
      <c r="U958" s="18"/>
      <c r="V958" s="25"/>
    </row>
    <row r="959" spans="1:22" ht="24" customHeight="1">
      <c r="A959" s="26"/>
      <c r="B959" s="15"/>
      <c r="C959" s="15"/>
      <c r="D959" s="16">
        <v>956</v>
      </c>
      <c r="E959" s="16" t="s">
        <v>982</v>
      </c>
      <c r="F959" s="16" t="s">
        <v>24</v>
      </c>
      <c r="G959" s="17">
        <v>1</v>
      </c>
      <c r="H959" s="18">
        <v>58</v>
      </c>
      <c r="I959" s="19"/>
      <c r="J959" s="19">
        <v>150</v>
      </c>
      <c r="K959" s="19"/>
      <c r="L959" s="19">
        <f t="shared" si="146"/>
        <v>58</v>
      </c>
      <c r="M959" s="21">
        <f t="shared" si="140"/>
        <v>58</v>
      </c>
      <c r="N959" s="22">
        <f t="shared" si="141"/>
        <v>58</v>
      </c>
      <c r="O959" s="22">
        <f t="shared" si="142"/>
        <v>0</v>
      </c>
      <c r="P959" s="20">
        <f t="shared" si="143"/>
        <v>0</v>
      </c>
      <c r="Q959" s="23">
        <f t="shared" si="145"/>
        <v>150</v>
      </c>
      <c r="R959" s="20">
        <f t="shared" si="147"/>
        <v>150</v>
      </c>
      <c r="S959" s="20">
        <f t="shared" si="147"/>
        <v>150</v>
      </c>
      <c r="T959" s="18">
        <f t="shared" si="144"/>
        <v>8700</v>
      </c>
      <c r="U959" s="18"/>
      <c r="V959" s="25"/>
    </row>
    <row r="960" spans="1:22" ht="24" customHeight="1">
      <c r="A960" s="26"/>
      <c r="B960" s="15"/>
      <c r="C960" s="15"/>
      <c r="D960" s="16">
        <v>957</v>
      </c>
      <c r="E960" s="16" t="s">
        <v>983</v>
      </c>
      <c r="F960" s="16" t="s">
        <v>24</v>
      </c>
      <c r="G960" s="17">
        <v>1</v>
      </c>
      <c r="H960" s="18">
        <v>2</v>
      </c>
      <c r="I960" s="19"/>
      <c r="J960" s="19">
        <v>520</v>
      </c>
      <c r="K960" s="19"/>
      <c r="L960" s="19">
        <f t="shared" si="146"/>
        <v>2</v>
      </c>
      <c r="M960" s="21">
        <f t="shared" si="140"/>
        <v>2</v>
      </c>
      <c r="N960" s="22">
        <f t="shared" si="141"/>
        <v>2</v>
      </c>
      <c r="O960" s="22">
        <f t="shared" si="142"/>
        <v>0</v>
      </c>
      <c r="P960" s="20">
        <f t="shared" si="143"/>
        <v>0</v>
      </c>
      <c r="Q960" s="23">
        <f t="shared" si="145"/>
        <v>520</v>
      </c>
      <c r="R960" s="20">
        <f t="shared" si="147"/>
        <v>520</v>
      </c>
      <c r="S960" s="20">
        <f t="shared" si="147"/>
        <v>520</v>
      </c>
      <c r="T960" s="18">
        <f t="shared" si="144"/>
        <v>1040</v>
      </c>
      <c r="U960" s="18"/>
      <c r="V960" s="25"/>
    </row>
    <row r="961" spans="1:22" ht="24" customHeight="1">
      <c r="A961" s="26"/>
      <c r="B961" s="15"/>
      <c r="C961" s="15"/>
      <c r="D961" s="16">
        <v>958</v>
      </c>
      <c r="E961" s="16" t="s">
        <v>984</v>
      </c>
      <c r="F961" s="16" t="s">
        <v>24</v>
      </c>
      <c r="G961" s="17">
        <v>1</v>
      </c>
      <c r="H961" s="18">
        <v>3</v>
      </c>
      <c r="I961" s="19"/>
      <c r="J961" s="19">
        <v>1650</v>
      </c>
      <c r="K961" s="19"/>
      <c r="L961" s="19">
        <f t="shared" si="146"/>
        <v>3</v>
      </c>
      <c r="M961" s="21">
        <f t="shared" si="140"/>
        <v>3</v>
      </c>
      <c r="N961" s="22">
        <f t="shared" si="141"/>
        <v>3</v>
      </c>
      <c r="O961" s="22">
        <f t="shared" si="142"/>
        <v>0</v>
      </c>
      <c r="P961" s="20">
        <f t="shared" si="143"/>
        <v>0</v>
      </c>
      <c r="Q961" s="23">
        <f t="shared" si="145"/>
        <v>1650</v>
      </c>
      <c r="R961" s="20">
        <f t="shared" si="147"/>
        <v>1650</v>
      </c>
      <c r="S961" s="20">
        <f t="shared" si="147"/>
        <v>1650</v>
      </c>
      <c r="T961" s="18">
        <f t="shared" si="144"/>
        <v>4950</v>
      </c>
      <c r="U961" s="18"/>
      <c r="V961" s="25"/>
    </row>
    <row r="962" spans="1:22" ht="24" customHeight="1">
      <c r="A962" s="26"/>
      <c r="B962" s="15"/>
      <c r="C962" s="15"/>
      <c r="D962" s="16">
        <v>959</v>
      </c>
      <c r="E962" s="16" t="s">
        <v>985</v>
      </c>
      <c r="F962" s="16" t="s">
        <v>24</v>
      </c>
      <c r="G962" s="17">
        <v>1</v>
      </c>
      <c r="H962" s="18">
        <v>3</v>
      </c>
      <c r="I962" s="19"/>
      <c r="J962" s="19">
        <v>1500</v>
      </c>
      <c r="K962" s="19"/>
      <c r="L962" s="19">
        <f t="shared" si="146"/>
        <v>3</v>
      </c>
      <c r="M962" s="21">
        <f t="shared" si="140"/>
        <v>3</v>
      </c>
      <c r="N962" s="22">
        <f t="shared" si="141"/>
        <v>3</v>
      </c>
      <c r="O962" s="22">
        <f t="shared" si="142"/>
        <v>0</v>
      </c>
      <c r="P962" s="20">
        <f t="shared" si="143"/>
        <v>0</v>
      </c>
      <c r="Q962" s="23">
        <f t="shared" si="145"/>
        <v>1500</v>
      </c>
      <c r="R962" s="20">
        <f t="shared" si="147"/>
        <v>1500</v>
      </c>
      <c r="S962" s="20">
        <f t="shared" si="147"/>
        <v>1500</v>
      </c>
      <c r="T962" s="18">
        <f t="shared" si="144"/>
        <v>4500</v>
      </c>
      <c r="U962" s="18"/>
      <c r="V962" s="25"/>
    </row>
    <row r="963" spans="1:22" ht="24" customHeight="1">
      <c r="A963" s="26"/>
      <c r="B963" s="15"/>
      <c r="C963" s="15"/>
      <c r="D963" s="16">
        <v>960</v>
      </c>
      <c r="E963" s="16" t="s">
        <v>986</v>
      </c>
      <c r="F963" s="16" t="s">
        <v>24</v>
      </c>
      <c r="G963" s="17">
        <v>1</v>
      </c>
      <c r="H963" s="18">
        <v>1</v>
      </c>
      <c r="I963" s="19"/>
      <c r="J963" s="19">
        <v>400</v>
      </c>
      <c r="K963" s="19"/>
      <c r="L963" s="19">
        <f t="shared" si="146"/>
        <v>1</v>
      </c>
      <c r="M963" s="21">
        <f t="shared" ref="M963:M1026" si="148">IFERROR(L963/G963,"")</f>
        <v>1</v>
      </c>
      <c r="N963" s="22">
        <f t="shared" ref="N963:N1026" si="149">IF(G963=1,L963,IF(G963&gt;1,IFERROR((M963-O963)*G963,""),""))</f>
        <v>1</v>
      </c>
      <c r="O963" s="22">
        <f t="shared" ref="O963:O1026" si="150">IFERROR(IF(G963=1,0,IF(G963&gt;1,ROUNDDOWN(M963,0))),"")</f>
        <v>0</v>
      </c>
      <c r="P963" s="20">
        <f t="shared" si="143"/>
        <v>0</v>
      </c>
      <c r="Q963" s="23">
        <f t="shared" si="145"/>
        <v>400</v>
      </c>
      <c r="R963" s="20">
        <f t="shared" si="147"/>
        <v>400</v>
      </c>
      <c r="S963" s="20">
        <f t="shared" si="147"/>
        <v>400</v>
      </c>
      <c r="T963" s="18">
        <f t="shared" si="144"/>
        <v>400</v>
      </c>
      <c r="U963" s="18"/>
      <c r="V963" s="25"/>
    </row>
    <row r="964" spans="1:22" ht="24" customHeight="1">
      <c r="A964" s="26"/>
      <c r="B964" s="15"/>
      <c r="C964" s="15"/>
      <c r="D964" s="16">
        <v>961</v>
      </c>
      <c r="E964" s="16" t="s">
        <v>987</v>
      </c>
      <c r="F964" s="16" t="s">
        <v>24</v>
      </c>
      <c r="G964" s="17">
        <v>1</v>
      </c>
      <c r="H964" s="18">
        <v>71</v>
      </c>
      <c r="I964" s="19"/>
      <c r="J964" s="19">
        <v>100</v>
      </c>
      <c r="K964" s="19"/>
      <c r="L964" s="19">
        <f t="shared" si="146"/>
        <v>71</v>
      </c>
      <c r="M964" s="21">
        <f t="shared" si="148"/>
        <v>71</v>
      </c>
      <c r="N964" s="22">
        <f t="shared" si="149"/>
        <v>71</v>
      </c>
      <c r="O964" s="22">
        <f t="shared" si="150"/>
        <v>0</v>
      </c>
      <c r="P964" s="20">
        <f t="shared" ref="P964:P1027" si="151">IFERROR(K964/G964,"")</f>
        <v>0</v>
      </c>
      <c r="Q964" s="23">
        <f t="shared" si="145"/>
        <v>100</v>
      </c>
      <c r="R964" s="20">
        <f t="shared" si="147"/>
        <v>100</v>
      </c>
      <c r="S964" s="20">
        <f t="shared" si="147"/>
        <v>100</v>
      </c>
      <c r="T964" s="18">
        <f t="shared" si="144"/>
        <v>7100</v>
      </c>
      <c r="U964" s="18"/>
      <c r="V964" s="25"/>
    </row>
    <row r="965" spans="1:22" ht="24" customHeight="1">
      <c r="A965" s="26"/>
      <c r="B965" s="15"/>
      <c r="C965" s="15"/>
      <c r="D965" s="16">
        <v>962</v>
      </c>
      <c r="E965" s="16" t="s">
        <v>988</v>
      </c>
      <c r="F965" s="16" t="s">
        <v>24</v>
      </c>
      <c r="G965" s="17">
        <v>1</v>
      </c>
      <c r="H965" s="18">
        <v>4</v>
      </c>
      <c r="I965" s="19"/>
      <c r="J965" s="19">
        <v>750</v>
      </c>
      <c r="K965" s="19"/>
      <c r="L965" s="19">
        <f t="shared" si="146"/>
        <v>4</v>
      </c>
      <c r="M965" s="21">
        <f t="shared" si="148"/>
        <v>4</v>
      </c>
      <c r="N965" s="22">
        <f t="shared" si="149"/>
        <v>4</v>
      </c>
      <c r="O965" s="22">
        <f t="shared" si="150"/>
        <v>0</v>
      </c>
      <c r="P965" s="20">
        <f t="shared" si="151"/>
        <v>0</v>
      </c>
      <c r="Q965" s="23">
        <f t="shared" si="145"/>
        <v>750</v>
      </c>
      <c r="R965" s="20">
        <f t="shared" si="147"/>
        <v>750</v>
      </c>
      <c r="S965" s="20">
        <f t="shared" si="147"/>
        <v>750</v>
      </c>
      <c r="T965" s="18">
        <f t="shared" ref="T965:T1028" si="152">IFERROR(S965*I965+R965*H965,"")</f>
        <v>3000</v>
      </c>
      <c r="U965" s="18"/>
      <c r="V965" s="25"/>
    </row>
    <row r="966" spans="1:22" ht="24" customHeight="1">
      <c r="A966" s="26"/>
      <c r="B966" s="15"/>
      <c r="C966" s="15"/>
      <c r="D966" s="16">
        <v>963</v>
      </c>
      <c r="E966" s="16" t="s">
        <v>989</v>
      </c>
      <c r="F966" s="16" t="s">
        <v>24</v>
      </c>
      <c r="G966" s="17">
        <v>1</v>
      </c>
      <c r="H966" s="18">
        <v>2</v>
      </c>
      <c r="I966" s="19"/>
      <c r="J966" s="19">
        <v>600</v>
      </c>
      <c r="K966" s="19"/>
      <c r="L966" s="19">
        <f t="shared" si="146"/>
        <v>2</v>
      </c>
      <c r="M966" s="21">
        <f t="shared" si="148"/>
        <v>2</v>
      </c>
      <c r="N966" s="22">
        <f t="shared" si="149"/>
        <v>2</v>
      </c>
      <c r="O966" s="22">
        <f t="shared" si="150"/>
        <v>0</v>
      </c>
      <c r="P966" s="20">
        <f t="shared" si="151"/>
        <v>0</v>
      </c>
      <c r="Q966" s="23">
        <f t="shared" si="145"/>
        <v>600</v>
      </c>
      <c r="R966" s="20">
        <f t="shared" si="147"/>
        <v>600</v>
      </c>
      <c r="S966" s="20">
        <f t="shared" si="147"/>
        <v>600</v>
      </c>
      <c r="T966" s="18">
        <f t="shared" si="152"/>
        <v>1200</v>
      </c>
      <c r="U966" s="18"/>
      <c r="V966" s="25"/>
    </row>
    <row r="967" spans="1:22" ht="24" customHeight="1">
      <c r="A967" s="26"/>
      <c r="B967" s="15"/>
      <c r="C967" s="15"/>
      <c r="D967" s="16">
        <v>964</v>
      </c>
      <c r="E967" s="16" t="s">
        <v>990</v>
      </c>
      <c r="F967" s="16" t="s">
        <v>24</v>
      </c>
      <c r="G967" s="17">
        <v>1</v>
      </c>
      <c r="H967" s="18">
        <v>6</v>
      </c>
      <c r="I967" s="19"/>
      <c r="J967" s="19">
        <v>650</v>
      </c>
      <c r="K967" s="19"/>
      <c r="L967" s="19">
        <f t="shared" si="146"/>
        <v>6</v>
      </c>
      <c r="M967" s="21">
        <f t="shared" si="148"/>
        <v>6</v>
      </c>
      <c r="N967" s="22">
        <f t="shared" si="149"/>
        <v>6</v>
      </c>
      <c r="O967" s="22">
        <f t="shared" si="150"/>
        <v>0</v>
      </c>
      <c r="P967" s="20">
        <f t="shared" si="151"/>
        <v>0</v>
      </c>
      <c r="Q967" s="23">
        <f t="shared" si="145"/>
        <v>650</v>
      </c>
      <c r="R967" s="20">
        <f t="shared" si="147"/>
        <v>650</v>
      </c>
      <c r="S967" s="20">
        <f t="shared" si="147"/>
        <v>650</v>
      </c>
      <c r="T967" s="18">
        <f t="shared" si="152"/>
        <v>3900</v>
      </c>
      <c r="U967" s="18"/>
      <c r="V967" s="25"/>
    </row>
    <row r="968" spans="1:22" ht="24" customHeight="1">
      <c r="A968" s="26"/>
      <c r="B968" s="15"/>
      <c r="C968" s="15"/>
      <c r="D968" s="16">
        <v>965</v>
      </c>
      <c r="E968" s="16" t="s">
        <v>991</v>
      </c>
      <c r="F968" s="16" t="s">
        <v>24</v>
      </c>
      <c r="G968" s="17">
        <v>1</v>
      </c>
      <c r="H968" s="18">
        <v>2</v>
      </c>
      <c r="I968" s="19"/>
      <c r="J968" s="19">
        <v>1200</v>
      </c>
      <c r="K968" s="19"/>
      <c r="L968" s="19">
        <f t="shared" si="146"/>
        <v>2</v>
      </c>
      <c r="M968" s="21">
        <f t="shared" si="148"/>
        <v>2</v>
      </c>
      <c r="N968" s="22">
        <f t="shared" si="149"/>
        <v>2</v>
      </c>
      <c r="O968" s="22">
        <f t="shared" si="150"/>
        <v>0</v>
      </c>
      <c r="P968" s="20">
        <f t="shared" si="151"/>
        <v>0</v>
      </c>
      <c r="Q968" s="23">
        <f t="shared" si="145"/>
        <v>1200</v>
      </c>
      <c r="R968" s="20">
        <f t="shared" si="147"/>
        <v>1200</v>
      </c>
      <c r="S968" s="20">
        <f t="shared" si="147"/>
        <v>1200</v>
      </c>
      <c r="T968" s="18">
        <f t="shared" si="152"/>
        <v>2400</v>
      </c>
      <c r="U968" s="18"/>
      <c r="V968" s="25"/>
    </row>
    <row r="969" spans="1:22" ht="24" customHeight="1">
      <c r="A969" s="26"/>
      <c r="B969" s="15"/>
      <c r="C969" s="15"/>
      <c r="D969" s="16">
        <v>966</v>
      </c>
      <c r="E969" s="16" t="s">
        <v>992</v>
      </c>
      <c r="F969" s="16" t="s">
        <v>24</v>
      </c>
      <c r="G969" s="17">
        <v>1</v>
      </c>
      <c r="H969" s="18">
        <v>2</v>
      </c>
      <c r="I969" s="19"/>
      <c r="J969" s="19">
        <v>600</v>
      </c>
      <c r="K969" s="19"/>
      <c r="L969" s="19">
        <f t="shared" si="146"/>
        <v>2</v>
      </c>
      <c r="M969" s="21">
        <f t="shared" si="148"/>
        <v>2</v>
      </c>
      <c r="N969" s="22">
        <f t="shared" si="149"/>
        <v>2</v>
      </c>
      <c r="O969" s="22">
        <f t="shared" si="150"/>
        <v>0</v>
      </c>
      <c r="P969" s="20">
        <f t="shared" si="151"/>
        <v>0</v>
      </c>
      <c r="Q969" s="23">
        <f t="shared" si="145"/>
        <v>600</v>
      </c>
      <c r="R969" s="20">
        <f t="shared" si="147"/>
        <v>600</v>
      </c>
      <c r="S969" s="20">
        <f t="shared" si="147"/>
        <v>600</v>
      </c>
      <c r="T969" s="18">
        <f t="shared" si="152"/>
        <v>1200</v>
      </c>
      <c r="U969" s="18"/>
      <c r="V969" s="25"/>
    </row>
    <row r="970" spans="1:22" ht="24" customHeight="1">
      <c r="A970" s="26"/>
      <c r="B970" s="15"/>
      <c r="C970" s="15"/>
      <c r="D970" s="16">
        <v>967</v>
      </c>
      <c r="E970" s="16" t="s">
        <v>993</v>
      </c>
      <c r="F970" s="16" t="s">
        <v>24</v>
      </c>
      <c r="G970" s="17">
        <v>1</v>
      </c>
      <c r="H970" s="18">
        <v>7</v>
      </c>
      <c r="I970" s="19"/>
      <c r="J970" s="19">
        <v>200</v>
      </c>
      <c r="K970" s="19"/>
      <c r="L970" s="19">
        <f t="shared" si="146"/>
        <v>7</v>
      </c>
      <c r="M970" s="21">
        <f t="shared" si="148"/>
        <v>7</v>
      </c>
      <c r="N970" s="22">
        <f t="shared" si="149"/>
        <v>7</v>
      </c>
      <c r="O970" s="22">
        <f t="shared" si="150"/>
        <v>0</v>
      </c>
      <c r="P970" s="20">
        <f t="shared" si="151"/>
        <v>0</v>
      </c>
      <c r="Q970" s="23">
        <f t="shared" si="145"/>
        <v>200</v>
      </c>
      <c r="R970" s="20">
        <f t="shared" si="147"/>
        <v>200</v>
      </c>
      <c r="S970" s="20">
        <f t="shared" si="147"/>
        <v>200</v>
      </c>
      <c r="T970" s="18">
        <f t="shared" si="152"/>
        <v>1400</v>
      </c>
      <c r="U970" s="18"/>
      <c r="V970" s="25"/>
    </row>
    <row r="971" spans="1:22" ht="24" customHeight="1">
      <c r="A971" s="26"/>
      <c r="B971" s="15"/>
      <c r="C971" s="15"/>
      <c r="D971" s="16">
        <v>968</v>
      </c>
      <c r="E971" s="16" t="s">
        <v>994</v>
      </c>
      <c r="F971" s="16" t="s">
        <v>24</v>
      </c>
      <c r="G971" s="17">
        <v>1</v>
      </c>
      <c r="H971" s="18">
        <v>3</v>
      </c>
      <c r="I971" s="19"/>
      <c r="J971" s="19">
        <v>1800</v>
      </c>
      <c r="K971" s="19"/>
      <c r="L971" s="19">
        <f t="shared" si="146"/>
        <v>3</v>
      </c>
      <c r="M971" s="21">
        <f t="shared" si="148"/>
        <v>3</v>
      </c>
      <c r="N971" s="22">
        <f t="shared" si="149"/>
        <v>3</v>
      </c>
      <c r="O971" s="22">
        <f t="shared" si="150"/>
        <v>0</v>
      </c>
      <c r="P971" s="20">
        <f t="shared" si="151"/>
        <v>0</v>
      </c>
      <c r="Q971" s="23">
        <f t="shared" si="145"/>
        <v>1800</v>
      </c>
      <c r="R971" s="20">
        <f t="shared" si="147"/>
        <v>1800</v>
      </c>
      <c r="S971" s="20">
        <f t="shared" si="147"/>
        <v>1800</v>
      </c>
      <c r="T971" s="18">
        <f t="shared" si="152"/>
        <v>5400</v>
      </c>
      <c r="U971" s="18"/>
      <c r="V971" s="25"/>
    </row>
    <row r="972" spans="1:22" ht="24" customHeight="1">
      <c r="A972" s="26"/>
      <c r="B972" s="15"/>
      <c r="C972" s="15"/>
      <c r="D972" s="16">
        <v>969</v>
      </c>
      <c r="E972" s="16" t="s">
        <v>995</v>
      </c>
      <c r="F972" s="16" t="s">
        <v>24</v>
      </c>
      <c r="G972" s="17">
        <v>1</v>
      </c>
      <c r="H972" s="18">
        <v>3</v>
      </c>
      <c r="I972" s="19"/>
      <c r="J972" s="19">
        <v>950</v>
      </c>
      <c r="K972" s="19"/>
      <c r="L972" s="19">
        <f t="shared" si="146"/>
        <v>3</v>
      </c>
      <c r="M972" s="21">
        <f t="shared" si="148"/>
        <v>3</v>
      </c>
      <c r="N972" s="22">
        <f t="shared" si="149"/>
        <v>3</v>
      </c>
      <c r="O972" s="22">
        <f t="shared" si="150"/>
        <v>0</v>
      </c>
      <c r="P972" s="20">
        <f t="shared" si="151"/>
        <v>0</v>
      </c>
      <c r="Q972" s="23">
        <f t="shared" si="145"/>
        <v>950</v>
      </c>
      <c r="R972" s="20">
        <f t="shared" si="147"/>
        <v>950</v>
      </c>
      <c r="S972" s="20">
        <f t="shared" si="147"/>
        <v>950</v>
      </c>
      <c r="T972" s="18">
        <f t="shared" si="152"/>
        <v>2850</v>
      </c>
      <c r="U972" s="18"/>
      <c r="V972" s="25"/>
    </row>
    <row r="973" spans="1:22" ht="24" customHeight="1">
      <c r="A973" s="26"/>
      <c r="B973" s="15"/>
      <c r="C973" s="15"/>
      <c r="D973" s="16">
        <v>970</v>
      </c>
      <c r="E973" s="16" t="s">
        <v>996</v>
      </c>
      <c r="F973" s="16" t="s">
        <v>24</v>
      </c>
      <c r="G973" s="17">
        <v>1</v>
      </c>
      <c r="H973" s="18">
        <v>36</v>
      </c>
      <c r="I973" s="19"/>
      <c r="J973" s="19">
        <v>250</v>
      </c>
      <c r="K973" s="19"/>
      <c r="L973" s="19">
        <f t="shared" si="146"/>
        <v>36</v>
      </c>
      <c r="M973" s="21">
        <f t="shared" si="148"/>
        <v>36</v>
      </c>
      <c r="N973" s="22">
        <f t="shared" si="149"/>
        <v>36</v>
      </c>
      <c r="O973" s="22">
        <f t="shared" si="150"/>
        <v>0</v>
      </c>
      <c r="P973" s="20">
        <f t="shared" si="151"/>
        <v>0</v>
      </c>
      <c r="Q973" s="23">
        <f t="shared" si="145"/>
        <v>250</v>
      </c>
      <c r="R973" s="20">
        <f t="shared" si="147"/>
        <v>250</v>
      </c>
      <c r="S973" s="20">
        <f t="shared" si="147"/>
        <v>250</v>
      </c>
      <c r="T973" s="18">
        <f t="shared" si="152"/>
        <v>9000</v>
      </c>
      <c r="U973" s="18"/>
      <c r="V973" s="25"/>
    </row>
    <row r="974" spans="1:22" ht="24" customHeight="1">
      <c r="A974" s="26"/>
      <c r="B974" s="15"/>
      <c r="C974" s="15"/>
      <c r="D974" s="16">
        <v>971</v>
      </c>
      <c r="E974" s="16" t="s">
        <v>997</v>
      </c>
      <c r="F974" s="16" t="s">
        <v>24</v>
      </c>
      <c r="G974" s="17">
        <v>50</v>
      </c>
      <c r="H974" s="18">
        <v>25</v>
      </c>
      <c r="I974" s="19">
        <v>1</v>
      </c>
      <c r="J974" s="19">
        <v>120</v>
      </c>
      <c r="K974" s="19"/>
      <c r="L974" s="19">
        <f t="shared" si="146"/>
        <v>75</v>
      </c>
      <c r="M974" s="21">
        <f t="shared" si="148"/>
        <v>1.5</v>
      </c>
      <c r="N974" s="22">
        <f t="shared" si="149"/>
        <v>25</v>
      </c>
      <c r="O974" s="22">
        <f t="shared" si="150"/>
        <v>1</v>
      </c>
      <c r="P974" s="20">
        <f t="shared" si="151"/>
        <v>0</v>
      </c>
      <c r="Q974" s="23">
        <f t="shared" si="145"/>
        <v>6000</v>
      </c>
      <c r="R974" s="20">
        <f t="shared" si="147"/>
        <v>120</v>
      </c>
      <c r="S974" s="20">
        <f t="shared" si="147"/>
        <v>6000</v>
      </c>
      <c r="T974" s="18">
        <f t="shared" si="152"/>
        <v>9000</v>
      </c>
      <c r="U974" s="18"/>
      <c r="V974" s="25"/>
    </row>
    <row r="975" spans="1:22" ht="24" customHeight="1">
      <c r="A975" s="26"/>
      <c r="B975" s="15"/>
      <c r="C975" s="15"/>
      <c r="D975" s="16">
        <v>972</v>
      </c>
      <c r="E975" s="16" t="s">
        <v>998</v>
      </c>
      <c r="F975" s="16" t="s">
        <v>24</v>
      </c>
      <c r="G975" s="17">
        <v>1</v>
      </c>
      <c r="H975" s="18">
        <v>21</v>
      </c>
      <c r="I975" s="19"/>
      <c r="J975" s="19">
        <v>150</v>
      </c>
      <c r="K975" s="19"/>
      <c r="L975" s="19">
        <f t="shared" si="146"/>
        <v>21</v>
      </c>
      <c r="M975" s="21">
        <f t="shared" si="148"/>
        <v>21</v>
      </c>
      <c r="N975" s="22">
        <f t="shared" si="149"/>
        <v>21</v>
      </c>
      <c r="O975" s="22">
        <f t="shared" si="150"/>
        <v>0</v>
      </c>
      <c r="P975" s="20">
        <f t="shared" si="151"/>
        <v>0</v>
      </c>
      <c r="Q975" s="23">
        <f t="shared" si="145"/>
        <v>150</v>
      </c>
      <c r="R975" s="20">
        <f t="shared" si="147"/>
        <v>150</v>
      </c>
      <c r="S975" s="20">
        <f t="shared" si="147"/>
        <v>150</v>
      </c>
      <c r="T975" s="18">
        <f t="shared" si="152"/>
        <v>3150</v>
      </c>
      <c r="U975" s="18"/>
      <c r="V975" s="25"/>
    </row>
    <row r="976" spans="1:22" ht="24" customHeight="1">
      <c r="A976" s="26"/>
      <c r="B976" s="15"/>
      <c r="C976" s="15"/>
      <c r="D976" s="16">
        <v>973</v>
      </c>
      <c r="E976" s="16" t="s">
        <v>999</v>
      </c>
      <c r="F976" s="16" t="s">
        <v>24</v>
      </c>
      <c r="G976" s="17">
        <v>1</v>
      </c>
      <c r="H976" s="18">
        <v>26</v>
      </c>
      <c r="I976" s="19"/>
      <c r="J976" s="19">
        <v>35</v>
      </c>
      <c r="K976" s="19"/>
      <c r="L976" s="19">
        <f t="shared" si="146"/>
        <v>26</v>
      </c>
      <c r="M976" s="21">
        <f t="shared" si="148"/>
        <v>26</v>
      </c>
      <c r="N976" s="22">
        <f t="shared" si="149"/>
        <v>26</v>
      </c>
      <c r="O976" s="22">
        <f t="shared" si="150"/>
        <v>0</v>
      </c>
      <c r="P976" s="20">
        <f t="shared" si="151"/>
        <v>0</v>
      </c>
      <c r="Q976" s="23">
        <f t="shared" si="145"/>
        <v>35</v>
      </c>
      <c r="R976" s="20">
        <f t="shared" si="147"/>
        <v>35</v>
      </c>
      <c r="S976" s="20">
        <f t="shared" si="147"/>
        <v>35</v>
      </c>
      <c r="T976" s="18">
        <f t="shared" si="152"/>
        <v>910</v>
      </c>
      <c r="U976" s="18"/>
      <c r="V976" s="25"/>
    </row>
    <row r="977" spans="1:22" ht="24" customHeight="1">
      <c r="A977" s="26"/>
      <c r="B977" s="15"/>
      <c r="C977" s="15"/>
      <c r="D977" s="16">
        <v>974</v>
      </c>
      <c r="E977" s="16" t="s">
        <v>1000</v>
      </c>
      <c r="F977" s="16" t="s">
        <v>24</v>
      </c>
      <c r="G977" s="17">
        <v>1</v>
      </c>
      <c r="H977" s="18">
        <v>8</v>
      </c>
      <c r="I977" s="19"/>
      <c r="J977" s="19">
        <v>100</v>
      </c>
      <c r="K977" s="19"/>
      <c r="L977" s="19">
        <f t="shared" si="146"/>
        <v>8</v>
      </c>
      <c r="M977" s="21">
        <f t="shared" si="148"/>
        <v>8</v>
      </c>
      <c r="N977" s="22">
        <f t="shared" si="149"/>
        <v>8</v>
      </c>
      <c r="O977" s="22">
        <f t="shared" si="150"/>
        <v>0</v>
      </c>
      <c r="P977" s="20">
        <f t="shared" si="151"/>
        <v>0</v>
      </c>
      <c r="Q977" s="23">
        <f t="shared" si="145"/>
        <v>100</v>
      </c>
      <c r="R977" s="20">
        <f t="shared" si="147"/>
        <v>100</v>
      </c>
      <c r="S977" s="20">
        <f t="shared" si="147"/>
        <v>100</v>
      </c>
      <c r="T977" s="18">
        <f t="shared" si="152"/>
        <v>800</v>
      </c>
      <c r="U977" s="18"/>
      <c r="V977" s="25"/>
    </row>
    <row r="978" spans="1:22" ht="24" customHeight="1">
      <c r="A978" s="26"/>
      <c r="B978" s="15"/>
      <c r="C978" s="15"/>
      <c r="D978" s="16">
        <v>975</v>
      </c>
      <c r="E978" s="16" t="s">
        <v>1001</v>
      </c>
      <c r="F978" s="16" t="s">
        <v>24</v>
      </c>
      <c r="G978" s="17">
        <v>1</v>
      </c>
      <c r="H978" s="18">
        <v>25</v>
      </c>
      <c r="I978" s="19"/>
      <c r="J978" s="19">
        <v>70</v>
      </c>
      <c r="K978" s="19"/>
      <c r="L978" s="19">
        <f t="shared" si="146"/>
        <v>25</v>
      </c>
      <c r="M978" s="21">
        <f t="shared" si="148"/>
        <v>25</v>
      </c>
      <c r="N978" s="22">
        <f t="shared" si="149"/>
        <v>25</v>
      </c>
      <c r="O978" s="22">
        <f t="shared" si="150"/>
        <v>0</v>
      </c>
      <c r="P978" s="20">
        <f t="shared" si="151"/>
        <v>0</v>
      </c>
      <c r="Q978" s="23">
        <f t="shared" si="145"/>
        <v>70</v>
      </c>
      <c r="R978" s="20">
        <f t="shared" si="147"/>
        <v>70</v>
      </c>
      <c r="S978" s="20">
        <f t="shared" si="147"/>
        <v>70</v>
      </c>
      <c r="T978" s="18">
        <f t="shared" si="152"/>
        <v>1750</v>
      </c>
      <c r="U978" s="18"/>
      <c r="V978" s="25"/>
    </row>
    <row r="979" spans="1:22" ht="24" customHeight="1">
      <c r="A979" s="26"/>
      <c r="B979" s="15"/>
      <c r="C979" s="15"/>
      <c r="D979" s="16">
        <v>976</v>
      </c>
      <c r="E979" s="16" t="s">
        <v>1002</v>
      </c>
      <c r="F979" s="16" t="s">
        <v>24</v>
      </c>
      <c r="G979" s="17">
        <v>1</v>
      </c>
      <c r="H979" s="18">
        <v>10</v>
      </c>
      <c r="I979" s="19"/>
      <c r="J979" s="19">
        <v>150</v>
      </c>
      <c r="K979" s="19"/>
      <c r="L979" s="19">
        <f t="shared" si="146"/>
        <v>10</v>
      </c>
      <c r="M979" s="21">
        <f t="shared" si="148"/>
        <v>10</v>
      </c>
      <c r="N979" s="22">
        <f t="shared" si="149"/>
        <v>10</v>
      </c>
      <c r="O979" s="22">
        <f t="shared" si="150"/>
        <v>0</v>
      </c>
      <c r="P979" s="20">
        <f t="shared" si="151"/>
        <v>0</v>
      </c>
      <c r="Q979" s="23">
        <f t="shared" si="145"/>
        <v>150</v>
      </c>
      <c r="R979" s="20">
        <f t="shared" si="147"/>
        <v>150</v>
      </c>
      <c r="S979" s="20">
        <f t="shared" si="147"/>
        <v>150</v>
      </c>
      <c r="T979" s="18">
        <f t="shared" si="152"/>
        <v>1500</v>
      </c>
      <c r="U979" s="18"/>
      <c r="V979" s="25"/>
    </row>
    <row r="980" spans="1:22" ht="24" customHeight="1">
      <c r="A980" s="26"/>
      <c r="B980" s="15"/>
      <c r="C980" s="15"/>
      <c r="D980" s="16">
        <v>977</v>
      </c>
      <c r="E980" s="16" t="s">
        <v>1003</v>
      </c>
      <c r="F980" s="16" t="s">
        <v>24</v>
      </c>
      <c r="G980" s="17">
        <v>1</v>
      </c>
      <c r="H980" s="18">
        <v>7</v>
      </c>
      <c r="I980" s="19"/>
      <c r="J980" s="19">
        <v>157</v>
      </c>
      <c r="K980" s="19"/>
      <c r="L980" s="19">
        <f t="shared" si="146"/>
        <v>7</v>
      </c>
      <c r="M980" s="21">
        <f t="shared" si="148"/>
        <v>7</v>
      </c>
      <c r="N980" s="22">
        <f t="shared" si="149"/>
        <v>7</v>
      </c>
      <c r="O980" s="22">
        <f t="shared" si="150"/>
        <v>0</v>
      </c>
      <c r="P980" s="20">
        <f t="shared" si="151"/>
        <v>0</v>
      </c>
      <c r="Q980" s="23">
        <f t="shared" si="145"/>
        <v>157</v>
      </c>
      <c r="R980" s="20">
        <f t="shared" si="147"/>
        <v>157</v>
      </c>
      <c r="S980" s="20">
        <f t="shared" si="147"/>
        <v>157</v>
      </c>
      <c r="T980" s="18">
        <f t="shared" si="152"/>
        <v>1099</v>
      </c>
      <c r="U980" s="18"/>
      <c r="V980" s="25"/>
    </row>
    <row r="981" spans="1:22" ht="24" customHeight="1">
      <c r="A981" s="26"/>
      <c r="B981" s="15"/>
      <c r="C981" s="15"/>
      <c r="D981" s="16">
        <v>978</v>
      </c>
      <c r="E981" s="16" t="s">
        <v>1004</v>
      </c>
      <c r="F981" s="16" t="s">
        <v>24</v>
      </c>
      <c r="G981" s="17">
        <v>1</v>
      </c>
      <c r="H981" s="18">
        <v>50</v>
      </c>
      <c r="I981" s="19"/>
      <c r="J981" s="19">
        <v>130</v>
      </c>
      <c r="K981" s="19"/>
      <c r="L981" s="19">
        <f t="shared" si="146"/>
        <v>50</v>
      </c>
      <c r="M981" s="21">
        <f t="shared" si="148"/>
        <v>50</v>
      </c>
      <c r="N981" s="22">
        <f t="shared" si="149"/>
        <v>50</v>
      </c>
      <c r="O981" s="22">
        <f t="shared" si="150"/>
        <v>0</v>
      </c>
      <c r="P981" s="20">
        <f t="shared" si="151"/>
        <v>0</v>
      </c>
      <c r="Q981" s="23">
        <f t="shared" si="145"/>
        <v>130</v>
      </c>
      <c r="R981" s="20">
        <f t="shared" si="147"/>
        <v>130</v>
      </c>
      <c r="S981" s="20">
        <f t="shared" si="147"/>
        <v>130</v>
      </c>
      <c r="T981" s="18">
        <f t="shared" si="152"/>
        <v>6500</v>
      </c>
      <c r="U981" s="18"/>
      <c r="V981" s="25"/>
    </row>
    <row r="982" spans="1:22" ht="24" customHeight="1">
      <c r="A982" s="26"/>
      <c r="B982" s="15"/>
      <c r="C982" s="15"/>
      <c r="D982" s="16">
        <v>979</v>
      </c>
      <c r="E982" s="16" t="s">
        <v>1005</v>
      </c>
      <c r="F982" s="16" t="s">
        <v>24</v>
      </c>
      <c r="G982" s="17">
        <v>1</v>
      </c>
      <c r="H982" s="18">
        <v>10</v>
      </c>
      <c r="I982" s="19"/>
      <c r="J982" s="19">
        <v>130</v>
      </c>
      <c r="K982" s="19"/>
      <c r="L982" s="19">
        <f t="shared" si="146"/>
        <v>10</v>
      </c>
      <c r="M982" s="21">
        <f t="shared" si="148"/>
        <v>10</v>
      </c>
      <c r="N982" s="22">
        <f t="shared" si="149"/>
        <v>10</v>
      </c>
      <c r="O982" s="22">
        <f t="shared" si="150"/>
        <v>0</v>
      </c>
      <c r="P982" s="20">
        <f t="shared" si="151"/>
        <v>0</v>
      </c>
      <c r="Q982" s="23">
        <f t="shared" si="145"/>
        <v>130</v>
      </c>
      <c r="R982" s="20">
        <f t="shared" si="147"/>
        <v>130</v>
      </c>
      <c r="S982" s="20">
        <f t="shared" si="147"/>
        <v>130</v>
      </c>
      <c r="T982" s="18">
        <f t="shared" si="152"/>
        <v>1300</v>
      </c>
      <c r="U982" s="18"/>
      <c r="V982" s="25"/>
    </row>
    <row r="983" spans="1:22" ht="24" customHeight="1">
      <c r="A983" s="26"/>
      <c r="B983" s="15"/>
      <c r="C983" s="15"/>
      <c r="D983" s="16">
        <v>980</v>
      </c>
      <c r="E983" s="16" t="s">
        <v>1016</v>
      </c>
      <c r="F983" s="16" t="s">
        <v>24</v>
      </c>
      <c r="G983" s="17">
        <v>1</v>
      </c>
      <c r="H983" s="18">
        <v>1</v>
      </c>
      <c r="I983" s="19"/>
      <c r="J983" s="19">
        <v>250</v>
      </c>
      <c r="K983" s="19"/>
      <c r="L983" s="19">
        <f t="shared" si="146"/>
        <v>1</v>
      </c>
      <c r="M983" s="21">
        <f t="shared" si="148"/>
        <v>1</v>
      </c>
      <c r="N983" s="22">
        <f t="shared" si="149"/>
        <v>1</v>
      </c>
      <c r="O983" s="22">
        <f t="shared" si="150"/>
        <v>0</v>
      </c>
      <c r="P983" s="20">
        <f t="shared" si="151"/>
        <v>0</v>
      </c>
      <c r="Q983" s="23">
        <f t="shared" si="145"/>
        <v>250</v>
      </c>
      <c r="R983" s="20">
        <f t="shared" si="147"/>
        <v>250</v>
      </c>
      <c r="S983" s="20">
        <f t="shared" si="147"/>
        <v>250</v>
      </c>
      <c r="T983" s="18">
        <f t="shared" si="152"/>
        <v>250</v>
      </c>
      <c r="U983" s="18"/>
      <c r="V983" s="25"/>
    </row>
    <row r="984" spans="1:22" ht="24" customHeight="1">
      <c r="A984" s="26"/>
      <c r="B984" s="15"/>
      <c r="C984" s="15"/>
      <c r="D984" s="16">
        <v>981</v>
      </c>
      <c r="E984" s="16" t="s">
        <v>1006</v>
      </c>
      <c r="F984" s="16" t="s">
        <v>24</v>
      </c>
      <c r="G984" s="17">
        <v>1</v>
      </c>
      <c r="H984" s="18">
        <v>12</v>
      </c>
      <c r="I984" s="19"/>
      <c r="J984" s="19">
        <v>230</v>
      </c>
      <c r="K984" s="19"/>
      <c r="L984" s="19">
        <f t="shared" si="146"/>
        <v>12</v>
      </c>
      <c r="M984" s="21">
        <f t="shared" si="148"/>
        <v>12</v>
      </c>
      <c r="N984" s="22">
        <f t="shared" si="149"/>
        <v>12</v>
      </c>
      <c r="O984" s="22">
        <f t="shared" si="150"/>
        <v>0</v>
      </c>
      <c r="P984" s="20">
        <f t="shared" si="151"/>
        <v>0</v>
      </c>
      <c r="Q984" s="23">
        <f t="shared" si="145"/>
        <v>230</v>
      </c>
      <c r="R984" s="20">
        <f t="shared" si="147"/>
        <v>230</v>
      </c>
      <c r="S984" s="20">
        <f t="shared" si="147"/>
        <v>230</v>
      </c>
      <c r="T984" s="18">
        <f t="shared" si="152"/>
        <v>2760</v>
      </c>
      <c r="U984" s="18"/>
      <c r="V984" s="25"/>
    </row>
    <row r="985" spans="1:22" ht="24" customHeight="1">
      <c r="A985" s="26"/>
      <c r="B985" s="15"/>
      <c r="C985" s="15"/>
      <c r="D985" s="16">
        <v>982</v>
      </c>
      <c r="E985" s="16" t="s">
        <v>66</v>
      </c>
      <c r="F985" s="16" t="s">
        <v>24</v>
      </c>
      <c r="G985" s="17">
        <v>1</v>
      </c>
      <c r="H985" s="18">
        <v>2</v>
      </c>
      <c r="I985" s="19"/>
      <c r="J985" s="19">
        <v>180</v>
      </c>
      <c r="K985" s="19"/>
      <c r="L985" s="19">
        <f t="shared" si="146"/>
        <v>2</v>
      </c>
      <c r="M985" s="21">
        <f t="shared" si="148"/>
        <v>2</v>
      </c>
      <c r="N985" s="22">
        <f t="shared" si="149"/>
        <v>2</v>
      </c>
      <c r="O985" s="22">
        <f t="shared" si="150"/>
        <v>0</v>
      </c>
      <c r="P985" s="20">
        <f t="shared" si="151"/>
        <v>0</v>
      </c>
      <c r="Q985" s="23">
        <f t="shared" si="145"/>
        <v>180</v>
      </c>
      <c r="R985" s="20">
        <f t="shared" si="147"/>
        <v>180</v>
      </c>
      <c r="S985" s="20">
        <f t="shared" si="147"/>
        <v>180</v>
      </c>
      <c r="T985" s="18">
        <f t="shared" si="152"/>
        <v>360</v>
      </c>
      <c r="U985" s="18"/>
      <c r="V985" s="25"/>
    </row>
    <row r="986" spans="1:22" ht="24" customHeight="1">
      <c r="A986" s="26"/>
      <c r="B986" s="15"/>
      <c r="C986" s="15"/>
      <c r="D986" s="16">
        <v>983</v>
      </c>
      <c r="E986" s="16" t="s">
        <v>1007</v>
      </c>
      <c r="F986" s="16" t="s">
        <v>24</v>
      </c>
      <c r="G986" s="17">
        <v>1</v>
      </c>
      <c r="H986" s="18">
        <v>2</v>
      </c>
      <c r="I986" s="19"/>
      <c r="J986" s="19">
        <v>390</v>
      </c>
      <c r="K986" s="19"/>
      <c r="L986" s="19">
        <f t="shared" si="146"/>
        <v>2</v>
      </c>
      <c r="M986" s="21">
        <f t="shared" si="148"/>
        <v>2</v>
      </c>
      <c r="N986" s="22">
        <f t="shared" si="149"/>
        <v>2</v>
      </c>
      <c r="O986" s="22">
        <f t="shared" si="150"/>
        <v>0</v>
      </c>
      <c r="P986" s="20">
        <f t="shared" si="151"/>
        <v>0</v>
      </c>
      <c r="Q986" s="23">
        <f t="shared" si="145"/>
        <v>390</v>
      </c>
      <c r="R986" s="20">
        <f t="shared" si="147"/>
        <v>390</v>
      </c>
      <c r="S986" s="20">
        <f t="shared" si="147"/>
        <v>390</v>
      </c>
      <c r="T986" s="18">
        <f t="shared" si="152"/>
        <v>780</v>
      </c>
      <c r="U986" s="18"/>
      <c r="V986" s="25"/>
    </row>
    <row r="987" spans="1:22" ht="24" customHeight="1">
      <c r="A987" s="26"/>
      <c r="B987" s="15"/>
      <c r="C987" s="15"/>
      <c r="D987" s="16">
        <v>984</v>
      </c>
      <c r="E987" s="16" t="s">
        <v>1008</v>
      </c>
      <c r="F987" s="16" t="s">
        <v>24</v>
      </c>
      <c r="G987" s="17">
        <v>1</v>
      </c>
      <c r="H987" s="18">
        <v>21</v>
      </c>
      <c r="I987" s="19"/>
      <c r="J987" s="19">
        <v>390</v>
      </c>
      <c r="K987" s="19"/>
      <c r="L987" s="19">
        <f t="shared" si="146"/>
        <v>21</v>
      </c>
      <c r="M987" s="21">
        <f t="shared" si="148"/>
        <v>21</v>
      </c>
      <c r="N987" s="22">
        <f t="shared" si="149"/>
        <v>21</v>
      </c>
      <c r="O987" s="22">
        <f t="shared" si="150"/>
        <v>0</v>
      </c>
      <c r="P987" s="20">
        <f t="shared" si="151"/>
        <v>0</v>
      </c>
      <c r="Q987" s="23">
        <f t="shared" si="145"/>
        <v>390</v>
      </c>
      <c r="R987" s="20">
        <f t="shared" si="147"/>
        <v>390</v>
      </c>
      <c r="S987" s="20">
        <f t="shared" si="147"/>
        <v>390</v>
      </c>
      <c r="T987" s="18">
        <f t="shared" si="152"/>
        <v>8190</v>
      </c>
      <c r="U987" s="18"/>
      <c r="V987" s="25"/>
    </row>
    <row r="988" spans="1:22" ht="24" customHeight="1">
      <c r="A988" s="26"/>
      <c r="B988" s="15"/>
      <c r="C988" s="15"/>
      <c r="D988" s="16">
        <v>985</v>
      </c>
      <c r="E988" s="16" t="s">
        <v>1009</v>
      </c>
      <c r="F988" s="16" t="s">
        <v>24</v>
      </c>
      <c r="G988" s="17">
        <v>1</v>
      </c>
      <c r="H988" s="18">
        <v>3</v>
      </c>
      <c r="I988" s="19"/>
      <c r="J988" s="19">
        <v>50</v>
      </c>
      <c r="K988" s="19"/>
      <c r="L988" s="19">
        <f t="shared" si="146"/>
        <v>3</v>
      </c>
      <c r="M988" s="21">
        <f t="shared" si="148"/>
        <v>3</v>
      </c>
      <c r="N988" s="22">
        <f t="shared" si="149"/>
        <v>3</v>
      </c>
      <c r="O988" s="22">
        <f t="shared" si="150"/>
        <v>0</v>
      </c>
      <c r="P988" s="20">
        <f t="shared" si="151"/>
        <v>0</v>
      </c>
      <c r="Q988" s="23">
        <f t="shared" si="145"/>
        <v>50</v>
      </c>
      <c r="R988" s="20">
        <f t="shared" si="147"/>
        <v>50</v>
      </c>
      <c r="S988" s="20">
        <f t="shared" si="147"/>
        <v>50</v>
      </c>
      <c r="T988" s="18">
        <f t="shared" si="152"/>
        <v>150</v>
      </c>
      <c r="U988" s="18"/>
      <c r="V988" s="25"/>
    </row>
    <row r="989" spans="1:22" ht="24" customHeight="1">
      <c r="A989" s="26"/>
      <c r="B989" s="15"/>
      <c r="C989" s="15"/>
      <c r="D989" s="16">
        <v>986</v>
      </c>
      <c r="E989" s="16" t="s">
        <v>1010</v>
      </c>
      <c r="F989" s="16" t="s">
        <v>24</v>
      </c>
      <c r="G989" s="17">
        <v>1</v>
      </c>
      <c r="H989" s="18">
        <v>3</v>
      </c>
      <c r="I989" s="19"/>
      <c r="J989" s="19">
        <v>400</v>
      </c>
      <c r="K989" s="19"/>
      <c r="L989" s="19">
        <f t="shared" si="146"/>
        <v>3</v>
      </c>
      <c r="M989" s="21">
        <f t="shared" si="148"/>
        <v>3</v>
      </c>
      <c r="N989" s="22">
        <f t="shared" si="149"/>
        <v>3</v>
      </c>
      <c r="O989" s="22">
        <f t="shared" si="150"/>
        <v>0</v>
      </c>
      <c r="P989" s="20">
        <f t="shared" si="151"/>
        <v>0</v>
      </c>
      <c r="Q989" s="23">
        <f t="shared" ref="Q989:Q1052" si="153">IFERROR(J989*G989,"")</f>
        <v>400</v>
      </c>
      <c r="R989" s="20">
        <f t="shared" si="147"/>
        <v>400</v>
      </c>
      <c r="S989" s="20">
        <f t="shared" si="147"/>
        <v>400</v>
      </c>
      <c r="T989" s="18">
        <f t="shared" si="152"/>
        <v>1200</v>
      </c>
      <c r="U989" s="18"/>
      <c r="V989" s="25"/>
    </row>
    <row r="990" spans="1:22" ht="24" customHeight="1">
      <c r="A990" s="26"/>
      <c r="B990" s="15"/>
      <c r="C990" s="15"/>
      <c r="D990" s="16">
        <v>987</v>
      </c>
      <c r="E990" s="16" t="s">
        <v>1011</v>
      </c>
      <c r="F990" s="16" t="s">
        <v>24</v>
      </c>
      <c r="G990" s="17">
        <v>1</v>
      </c>
      <c r="H990" s="18">
        <v>1</v>
      </c>
      <c r="I990" s="19"/>
      <c r="J990" s="19">
        <v>2000</v>
      </c>
      <c r="K990" s="19"/>
      <c r="L990" s="19">
        <f t="shared" si="146"/>
        <v>1</v>
      </c>
      <c r="M990" s="21">
        <f t="shared" si="148"/>
        <v>1</v>
      </c>
      <c r="N990" s="22">
        <f t="shared" si="149"/>
        <v>1</v>
      </c>
      <c r="O990" s="22">
        <f t="shared" si="150"/>
        <v>0</v>
      </c>
      <c r="P990" s="20">
        <f t="shared" si="151"/>
        <v>0</v>
      </c>
      <c r="Q990" s="23">
        <f t="shared" si="153"/>
        <v>2000</v>
      </c>
      <c r="R990" s="20">
        <f t="shared" si="147"/>
        <v>2000</v>
      </c>
      <c r="S990" s="20">
        <f t="shared" si="147"/>
        <v>2000</v>
      </c>
      <c r="T990" s="18">
        <f t="shared" si="152"/>
        <v>2000</v>
      </c>
      <c r="U990" s="18"/>
      <c r="V990" s="25"/>
    </row>
    <row r="991" spans="1:22" ht="24" customHeight="1">
      <c r="A991" s="26"/>
      <c r="B991" s="15"/>
      <c r="C991" s="15"/>
      <c r="D991" s="16">
        <v>988</v>
      </c>
      <c r="E991" s="16" t="s">
        <v>1012</v>
      </c>
      <c r="F991" s="16" t="s">
        <v>24</v>
      </c>
      <c r="G991" s="17">
        <v>1</v>
      </c>
      <c r="H991" s="18">
        <v>4</v>
      </c>
      <c r="I991" s="19"/>
      <c r="J991" s="19">
        <v>100</v>
      </c>
      <c r="K991" s="19"/>
      <c r="L991" s="19">
        <f t="shared" si="146"/>
        <v>4</v>
      </c>
      <c r="M991" s="21">
        <f t="shared" si="148"/>
        <v>4</v>
      </c>
      <c r="N991" s="22">
        <f t="shared" si="149"/>
        <v>4</v>
      </c>
      <c r="O991" s="22">
        <f t="shared" si="150"/>
        <v>0</v>
      </c>
      <c r="P991" s="20">
        <f t="shared" si="151"/>
        <v>0</v>
      </c>
      <c r="Q991" s="23">
        <f t="shared" si="153"/>
        <v>100</v>
      </c>
      <c r="R991" s="20">
        <f t="shared" si="147"/>
        <v>100</v>
      </c>
      <c r="S991" s="20">
        <f t="shared" si="147"/>
        <v>100</v>
      </c>
      <c r="T991" s="18">
        <f t="shared" si="152"/>
        <v>400</v>
      </c>
      <c r="U991" s="18"/>
      <c r="V991" s="25"/>
    </row>
    <row r="992" spans="1:22" ht="24" customHeight="1">
      <c r="A992" s="26"/>
      <c r="B992" s="15"/>
      <c r="C992" s="15"/>
      <c r="D992" s="16">
        <v>989</v>
      </c>
      <c r="E992" s="16" t="s">
        <v>1013</v>
      </c>
      <c r="F992" s="16" t="s">
        <v>24</v>
      </c>
      <c r="G992" s="17">
        <v>1</v>
      </c>
      <c r="H992" s="18">
        <v>2</v>
      </c>
      <c r="I992" s="19"/>
      <c r="J992" s="19">
        <v>560</v>
      </c>
      <c r="K992" s="19"/>
      <c r="L992" s="19">
        <f t="shared" si="146"/>
        <v>2</v>
      </c>
      <c r="M992" s="21">
        <f t="shared" si="148"/>
        <v>2</v>
      </c>
      <c r="N992" s="22">
        <f t="shared" si="149"/>
        <v>2</v>
      </c>
      <c r="O992" s="22">
        <f t="shared" si="150"/>
        <v>0</v>
      </c>
      <c r="P992" s="20">
        <f t="shared" si="151"/>
        <v>0</v>
      </c>
      <c r="Q992" s="23">
        <f t="shared" si="153"/>
        <v>560</v>
      </c>
      <c r="R992" s="20">
        <f t="shared" si="147"/>
        <v>560</v>
      </c>
      <c r="S992" s="20">
        <f t="shared" si="147"/>
        <v>560</v>
      </c>
      <c r="T992" s="18">
        <f t="shared" si="152"/>
        <v>1120</v>
      </c>
      <c r="U992" s="18"/>
      <c r="V992" s="25"/>
    </row>
    <row r="993" spans="1:22" ht="24" customHeight="1">
      <c r="A993" s="26"/>
      <c r="B993" s="15"/>
      <c r="C993" s="15"/>
      <c r="D993" s="16">
        <v>990</v>
      </c>
      <c r="E993" s="16" t="s">
        <v>1014</v>
      </c>
      <c r="F993" s="16" t="s">
        <v>24</v>
      </c>
      <c r="G993" s="17">
        <v>1</v>
      </c>
      <c r="H993" s="18">
        <v>1</v>
      </c>
      <c r="I993" s="19"/>
      <c r="J993" s="19">
        <v>750</v>
      </c>
      <c r="K993" s="19"/>
      <c r="L993" s="19">
        <f t="shared" si="146"/>
        <v>1</v>
      </c>
      <c r="M993" s="21">
        <f t="shared" si="148"/>
        <v>1</v>
      </c>
      <c r="N993" s="22">
        <f t="shared" si="149"/>
        <v>1</v>
      </c>
      <c r="O993" s="22">
        <f t="shared" si="150"/>
        <v>0</v>
      </c>
      <c r="P993" s="20">
        <f t="shared" si="151"/>
        <v>0</v>
      </c>
      <c r="Q993" s="23">
        <f t="shared" si="153"/>
        <v>750</v>
      </c>
      <c r="R993" s="20">
        <f t="shared" si="147"/>
        <v>750</v>
      </c>
      <c r="S993" s="20">
        <f t="shared" si="147"/>
        <v>750</v>
      </c>
      <c r="T993" s="18">
        <f t="shared" si="152"/>
        <v>750</v>
      </c>
      <c r="U993" s="18"/>
      <c r="V993" s="25"/>
    </row>
    <row r="994" spans="1:22" ht="24" customHeight="1">
      <c r="A994" s="26"/>
      <c r="B994" s="15"/>
      <c r="C994" s="15"/>
      <c r="D994" s="16">
        <v>991</v>
      </c>
      <c r="E994" s="16" t="s">
        <v>1015</v>
      </c>
      <c r="F994" s="16" t="s">
        <v>24</v>
      </c>
      <c r="G994" s="17">
        <v>1</v>
      </c>
      <c r="H994" s="18">
        <v>3</v>
      </c>
      <c r="I994" s="19"/>
      <c r="J994" s="19">
        <v>69.2</v>
      </c>
      <c r="K994" s="19"/>
      <c r="L994" s="19">
        <f t="shared" si="146"/>
        <v>3</v>
      </c>
      <c r="M994" s="21">
        <f t="shared" si="148"/>
        <v>3</v>
      </c>
      <c r="N994" s="22">
        <f t="shared" si="149"/>
        <v>3</v>
      </c>
      <c r="O994" s="22">
        <f t="shared" si="150"/>
        <v>0</v>
      </c>
      <c r="P994" s="20">
        <f t="shared" si="151"/>
        <v>0</v>
      </c>
      <c r="Q994" s="23">
        <f t="shared" si="153"/>
        <v>69.2</v>
      </c>
      <c r="R994" s="20">
        <f t="shared" si="147"/>
        <v>69.2</v>
      </c>
      <c r="S994" s="20">
        <f t="shared" si="147"/>
        <v>69.2</v>
      </c>
      <c r="T994" s="18">
        <f t="shared" si="152"/>
        <v>207.60000000000002</v>
      </c>
      <c r="U994" s="18"/>
      <c r="V994" s="25"/>
    </row>
    <row r="995" spans="1:22" ht="24" customHeight="1">
      <c r="A995" s="26"/>
      <c r="B995" s="15"/>
      <c r="C995" s="15"/>
      <c r="D995" s="16">
        <v>992</v>
      </c>
      <c r="E995" s="16" t="s">
        <v>1017</v>
      </c>
      <c r="F995" s="16" t="s">
        <v>24</v>
      </c>
      <c r="G995" s="17">
        <v>1</v>
      </c>
      <c r="H995" s="18">
        <v>8</v>
      </c>
      <c r="I995" s="19"/>
      <c r="J995" s="19">
        <v>150</v>
      </c>
      <c r="K995" s="19"/>
      <c r="L995" s="19">
        <f t="shared" si="146"/>
        <v>8</v>
      </c>
      <c r="M995" s="21">
        <f t="shared" si="148"/>
        <v>8</v>
      </c>
      <c r="N995" s="22">
        <f t="shared" si="149"/>
        <v>8</v>
      </c>
      <c r="O995" s="22">
        <f t="shared" si="150"/>
        <v>0</v>
      </c>
      <c r="P995" s="20">
        <f t="shared" si="151"/>
        <v>0</v>
      </c>
      <c r="Q995" s="23">
        <f t="shared" si="153"/>
        <v>150</v>
      </c>
      <c r="R995" s="20">
        <f t="shared" si="147"/>
        <v>150</v>
      </c>
      <c r="S995" s="20">
        <f t="shared" si="147"/>
        <v>150</v>
      </c>
      <c r="T995" s="18">
        <f t="shared" si="152"/>
        <v>1200</v>
      </c>
      <c r="U995" s="18"/>
      <c r="V995" s="25"/>
    </row>
    <row r="996" spans="1:22" ht="24" customHeight="1">
      <c r="A996" s="26"/>
      <c r="B996" s="15"/>
      <c r="C996" s="15"/>
      <c r="D996" s="16">
        <v>993</v>
      </c>
      <c r="E996" s="16" t="s">
        <v>1018</v>
      </c>
      <c r="F996" s="16" t="s">
        <v>24</v>
      </c>
      <c r="G996" s="17">
        <v>1</v>
      </c>
      <c r="H996" s="18">
        <v>1</v>
      </c>
      <c r="I996" s="19"/>
      <c r="J996" s="19">
        <v>900</v>
      </c>
      <c r="K996" s="19"/>
      <c r="L996" s="19">
        <f t="shared" si="146"/>
        <v>1</v>
      </c>
      <c r="M996" s="21">
        <f t="shared" si="148"/>
        <v>1</v>
      </c>
      <c r="N996" s="22">
        <f t="shared" si="149"/>
        <v>1</v>
      </c>
      <c r="O996" s="22">
        <f t="shared" si="150"/>
        <v>0</v>
      </c>
      <c r="P996" s="20">
        <f t="shared" si="151"/>
        <v>0</v>
      </c>
      <c r="Q996" s="23">
        <f t="shared" si="153"/>
        <v>900</v>
      </c>
      <c r="R996" s="20">
        <f t="shared" si="147"/>
        <v>900</v>
      </c>
      <c r="S996" s="20">
        <f t="shared" si="147"/>
        <v>900</v>
      </c>
      <c r="T996" s="18">
        <f t="shared" si="152"/>
        <v>900</v>
      </c>
      <c r="U996" s="18"/>
      <c r="V996" s="25"/>
    </row>
    <row r="997" spans="1:22" ht="24" customHeight="1">
      <c r="A997" s="26"/>
      <c r="B997" s="15"/>
      <c r="C997" s="15"/>
      <c r="D997" s="16">
        <v>994</v>
      </c>
      <c r="E997" s="16" t="s">
        <v>1019</v>
      </c>
      <c r="F997" s="16" t="s">
        <v>24</v>
      </c>
      <c r="G997" s="17">
        <v>1</v>
      </c>
      <c r="H997" s="18">
        <v>3</v>
      </c>
      <c r="I997" s="19"/>
      <c r="J997" s="19">
        <v>200</v>
      </c>
      <c r="K997" s="19"/>
      <c r="L997" s="19">
        <f t="shared" si="146"/>
        <v>3</v>
      </c>
      <c r="M997" s="21">
        <f t="shared" si="148"/>
        <v>3</v>
      </c>
      <c r="N997" s="22">
        <f t="shared" si="149"/>
        <v>3</v>
      </c>
      <c r="O997" s="22">
        <f t="shared" si="150"/>
        <v>0</v>
      </c>
      <c r="P997" s="20">
        <f t="shared" si="151"/>
        <v>0</v>
      </c>
      <c r="Q997" s="23">
        <f t="shared" si="153"/>
        <v>200</v>
      </c>
      <c r="R997" s="20">
        <f t="shared" si="147"/>
        <v>200</v>
      </c>
      <c r="S997" s="20">
        <f t="shared" si="147"/>
        <v>200</v>
      </c>
      <c r="T997" s="18">
        <f t="shared" si="152"/>
        <v>600</v>
      </c>
      <c r="U997" s="18"/>
      <c r="V997" s="25"/>
    </row>
    <row r="998" spans="1:22" ht="24" customHeight="1">
      <c r="A998" s="26"/>
      <c r="B998" s="15"/>
      <c r="C998" s="15"/>
      <c r="D998" s="16">
        <v>995</v>
      </c>
      <c r="E998" s="16" t="s">
        <v>1020</v>
      </c>
      <c r="F998" s="16" t="s">
        <v>24</v>
      </c>
      <c r="G998" s="17">
        <v>1</v>
      </c>
      <c r="H998" s="18">
        <v>2</v>
      </c>
      <c r="I998" s="19"/>
      <c r="J998" s="19">
        <v>450</v>
      </c>
      <c r="K998" s="19"/>
      <c r="L998" s="19">
        <f t="shared" ref="L998:L1061" si="154">I998*G998+H998</f>
        <v>2</v>
      </c>
      <c r="M998" s="21">
        <f t="shared" si="148"/>
        <v>2</v>
      </c>
      <c r="N998" s="22">
        <f t="shared" si="149"/>
        <v>2</v>
      </c>
      <c r="O998" s="22">
        <f t="shared" si="150"/>
        <v>0</v>
      </c>
      <c r="P998" s="20">
        <f t="shared" si="151"/>
        <v>0</v>
      </c>
      <c r="Q998" s="23">
        <f t="shared" si="153"/>
        <v>450</v>
      </c>
      <c r="R998" s="20">
        <f t="shared" si="147"/>
        <v>450</v>
      </c>
      <c r="S998" s="20">
        <f t="shared" si="147"/>
        <v>450</v>
      </c>
      <c r="T998" s="18">
        <f t="shared" si="152"/>
        <v>900</v>
      </c>
      <c r="U998" s="18"/>
      <c r="V998" s="25"/>
    </row>
    <row r="999" spans="1:22" ht="24" customHeight="1">
      <c r="A999" s="26"/>
      <c r="B999" s="15"/>
      <c r="C999" s="15"/>
      <c r="D999" s="16">
        <v>996</v>
      </c>
      <c r="E999" s="16" t="s">
        <v>1021</v>
      </c>
      <c r="F999" s="16" t="s">
        <v>24</v>
      </c>
      <c r="G999" s="17">
        <v>50</v>
      </c>
      <c r="H999" s="18">
        <v>50</v>
      </c>
      <c r="I999" s="19">
        <v>1</v>
      </c>
      <c r="J999" s="19">
        <v>50</v>
      </c>
      <c r="K999" s="19"/>
      <c r="L999" s="19">
        <f t="shared" si="154"/>
        <v>100</v>
      </c>
      <c r="M999" s="21">
        <f t="shared" si="148"/>
        <v>2</v>
      </c>
      <c r="N999" s="22">
        <f t="shared" si="149"/>
        <v>0</v>
      </c>
      <c r="O999" s="22">
        <f t="shared" si="150"/>
        <v>2</v>
      </c>
      <c r="P999" s="20">
        <f t="shared" si="151"/>
        <v>0</v>
      </c>
      <c r="Q999" s="23">
        <f t="shared" si="153"/>
        <v>2500</v>
      </c>
      <c r="R999" s="20">
        <f t="shared" si="147"/>
        <v>50</v>
      </c>
      <c r="S999" s="20">
        <f t="shared" si="147"/>
        <v>2500</v>
      </c>
      <c r="T999" s="18">
        <f t="shared" si="152"/>
        <v>5000</v>
      </c>
      <c r="U999" s="18"/>
      <c r="V999" s="25"/>
    </row>
    <row r="1000" spans="1:22" ht="24" customHeight="1">
      <c r="A1000" s="26"/>
      <c r="B1000" s="15"/>
      <c r="C1000" s="15"/>
      <c r="D1000" s="16">
        <v>997</v>
      </c>
      <c r="E1000" s="16" t="s">
        <v>1022</v>
      </c>
      <c r="F1000" s="16" t="s">
        <v>24</v>
      </c>
      <c r="G1000" s="17">
        <v>1</v>
      </c>
      <c r="H1000" s="18">
        <v>1</v>
      </c>
      <c r="I1000" s="19"/>
      <c r="J1000" s="19">
        <v>150</v>
      </c>
      <c r="K1000" s="19"/>
      <c r="L1000" s="19">
        <f t="shared" si="154"/>
        <v>1</v>
      </c>
      <c r="M1000" s="21">
        <f t="shared" si="148"/>
        <v>1</v>
      </c>
      <c r="N1000" s="22">
        <f t="shared" si="149"/>
        <v>1</v>
      </c>
      <c r="O1000" s="22">
        <f t="shared" si="150"/>
        <v>0</v>
      </c>
      <c r="P1000" s="20">
        <f t="shared" si="151"/>
        <v>0</v>
      </c>
      <c r="Q1000" s="23">
        <f t="shared" si="153"/>
        <v>150</v>
      </c>
      <c r="R1000" s="20">
        <f t="shared" si="147"/>
        <v>150</v>
      </c>
      <c r="S1000" s="20">
        <f t="shared" si="147"/>
        <v>150</v>
      </c>
      <c r="T1000" s="18">
        <f t="shared" si="152"/>
        <v>150</v>
      </c>
      <c r="U1000" s="18"/>
      <c r="V1000" s="25"/>
    </row>
    <row r="1001" spans="1:22" ht="24" customHeight="1">
      <c r="A1001" s="26"/>
      <c r="B1001" s="15"/>
      <c r="C1001" s="15"/>
      <c r="D1001" s="16">
        <v>998</v>
      </c>
      <c r="E1001" s="16" t="s">
        <v>1023</v>
      </c>
      <c r="F1001" s="16" t="s">
        <v>24</v>
      </c>
      <c r="G1001" s="17">
        <v>12</v>
      </c>
      <c r="H1001" s="18">
        <f>36+24</f>
        <v>60</v>
      </c>
      <c r="I1001" s="19">
        <v>3</v>
      </c>
      <c r="J1001" s="19">
        <v>200</v>
      </c>
      <c r="K1001" s="19"/>
      <c r="L1001" s="19">
        <f t="shared" si="154"/>
        <v>96</v>
      </c>
      <c r="M1001" s="21">
        <f t="shared" si="148"/>
        <v>8</v>
      </c>
      <c r="N1001" s="22">
        <f t="shared" si="149"/>
        <v>0</v>
      </c>
      <c r="O1001" s="22">
        <f t="shared" si="150"/>
        <v>8</v>
      </c>
      <c r="P1001" s="20">
        <f t="shared" si="151"/>
        <v>0</v>
      </c>
      <c r="Q1001" s="23">
        <f t="shared" si="153"/>
        <v>2400</v>
      </c>
      <c r="R1001" s="20">
        <f t="shared" si="147"/>
        <v>200</v>
      </c>
      <c r="S1001" s="20">
        <f t="shared" si="147"/>
        <v>2400</v>
      </c>
      <c r="T1001" s="18">
        <f t="shared" si="152"/>
        <v>19200</v>
      </c>
      <c r="U1001" s="18"/>
      <c r="V1001" s="25"/>
    </row>
    <row r="1002" spans="1:22" ht="24" customHeight="1">
      <c r="A1002" s="26"/>
      <c r="B1002" s="15"/>
      <c r="C1002" s="15"/>
      <c r="D1002" s="16">
        <v>999</v>
      </c>
      <c r="E1002" s="16" t="s">
        <v>1024</v>
      </c>
      <c r="F1002" s="16" t="s">
        <v>24</v>
      </c>
      <c r="G1002" s="17">
        <v>12</v>
      </c>
      <c r="H1002" s="18"/>
      <c r="I1002" s="19">
        <v>9</v>
      </c>
      <c r="J1002" s="19">
        <v>120</v>
      </c>
      <c r="K1002" s="19"/>
      <c r="L1002" s="19">
        <f t="shared" si="154"/>
        <v>108</v>
      </c>
      <c r="M1002" s="21">
        <f t="shared" si="148"/>
        <v>9</v>
      </c>
      <c r="N1002" s="22">
        <f t="shared" si="149"/>
        <v>0</v>
      </c>
      <c r="O1002" s="22">
        <f t="shared" si="150"/>
        <v>9</v>
      </c>
      <c r="P1002" s="20">
        <f t="shared" si="151"/>
        <v>0</v>
      </c>
      <c r="Q1002" s="23">
        <f t="shared" si="153"/>
        <v>1440</v>
      </c>
      <c r="R1002" s="20">
        <f t="shared" si="147"/>
        <v>120</v>
      </c>
      <c r="S1002" s="20">
        <f t="shared" si="147"/>
        <v>1440</v>
      </c>
      <c r="T1002" s="18">
        <f t="shared" si="152"/>
        <v>12960</v>
      </c>
      <c r="U1002" s="18"/>
      <c r="V1002" s="25"/>
    </row>
    <row r="1003" spans="1:22" ht="24" customHeight="1">
      <c r="A1003" s="26"/>
      <c r="B1003" s="15"/>
      <c r="C1003" s="15"/>
      <c r="D1003" s="16">
        <v>1000</v>
      </c>
      <c r="E1003" s="16" t="s">
        <v>1025</v>
      </c>
      <c r="F1003" s="16" t="s">
        <v>24</v>
      </c>
      <c r="G1003" s="17">
        <v>1</v>
      </c>
      <c r="H1003" s="18">
        <v>2</v>
      </c>
      <c r="I1003" s="19"/>
      <c r="J1003" s="19">
        <v>200</v>
      </c>
      <c r="K1003" s="19"/>
      <c r="L1003" s="19">
        <f t="shared" si="154"/>
        <v>2</v>
      </c>
      <c r="M1003" s="21">
        <f t="shared" si="148"/>
        <v>2</v>
      </c>
      <c r="N1003" s="22">
        <f t="shared" si="149"/>
        <v>2</v>
      </c>
      <c r="O1003" s="22">
        <f t="shared" si="150"/>
        <v>0</v>
      </c>
      <c r="P1003" s="20">
        <f t="shared" si="151"/>
        <v>0</v>
      </c>
      <c r="Q1003" s="23">
        <f t="shared" si="153"/>
        <v>200</v>
      </c>
      <c r="R1003" s="20">
        <f t="shared" si="147"/>
        <v>200</v>
      </c>
      <c r="S1003" s="20">
        <f t="shared" si="147"/>
        <v>200</v>
      </c>
      <c r="T1003" s="18">
        <f t="shared" si="152"/>
        <v>400</v>
      </c>
      <c r="U1003" s="18"/>
      <c r="V1003" s="25"/>
    </row>
    <row r="1004" spans="1:22" ht="24" customHeight="1">
      <c r="A1004" s="26"/>
      <c r="B1004" s="15"/>
      <c r="C1004" s="15"/>
      <c r="D1004" s="16">
        <v>1001</v>
      </c>
      <c r="E1004" s="16" t="s">
        <v>1026</v>
      </c>
      <c r="F1004" s="16" t="s">
        <v>24</v>
      </c>
      <c r="G1004" s="17">
        <v>1</v>
      </c>
      <c r="H1004" s="18">
        <v>15</v>
      </c>
      <c r="I1004" s="19"/>
      <c r="J1004" s="19">
        <v>150</v>
      </c>
      <c r="K1004" s="19"/>
      <c r="L1004" s="19">
        <f t="shared" si="154"/>
        <v>15</v>
      </c>
      <c r="M1004" s="21">
        <f t="shared" si="148"/>
        <v>15</v>
      </c>
      <c r="N1004" s="22">
        <f t="shared" si="149"/>
        <v>15</v>
      </c>
      <c r="O1004" s="22">
        <f t="shared" si="150"/>
        <v>0</v>
      </c>
      <c r="P1004" s="20">
        <f t="shared" si="151"/>
        <v>0</v>
      </c>
      <c r="Q1004" s="23">
        <f t="shared" si="153"/>
        <v>150</v>
      </c>
      <c r="R1004" s="20">
        <f t="shared" si="147"/>
        <v>150</v>
      </c>
      <c r="S1004" s="20">
        <f t="shared" si="147"/>
        <v>150</v>
      </c>
      <c r="T1004" s="18">
        <f t="shared" si="152"/>
        <v>2250</v>
      </c>
      <c r="U1004" s="18"/>
      <c r="V1004" s="25"/>
    </row>
    <row r="1005" spans="1:22" ht="24" customHeight="1">
      <c r="A1005" s="26"/>
      <c r="B1005" s="15"/>
      <c r="C1005" s="15"/>
      <c r="D1005" s="16">
        <v>1002</v>
      </c>
      <c r="E1005" s="16" t="s">
        <v>1027</v>
      </c>
      <c r="F1005" s="16" t="s">
        <v>24</v>
      </c>
      <c r="G1005" s="17">
        <v>12</v>
      </c>
      <c r="H1005" s="18">
        <v>10</v>
      </c>
      <c r="I1005" s="19">
        <v>2</v>
      </c>
      <c r="J1005" s="19">
        <v>85</v>
      </c>
      <c r="K1005" s="19">
        <v>850</v>
      </c>
      <c r="L1005" s="19">
        <f t="shared" si="154"/>
        <v>34</v>
      </c>
      <c r="M1005" s="21">
        <f t="shared" si="148"/>
        <v>2.8333333333333335</v>
      </c>
      <c r="N1005" s="22">
        <f t="shared" si="149"/>
        <v>10.000000000000002</v>
      </c>
      <c r="O1005" s="22">
        <f t="shared" si="150"/>
        <v>2</v>
      </c>
      <c r="P1005" s="20">
        <f t="shared" si="151"/>
        <v>70.833333333333329</v>
      </c>
      <c r="Q1005" s="23">
        <f t="shared" si="153"/>
        <v>1020</v>
      </c>
      <c r="R1005" s="20">
        <f t="shared" si="147"/>
        <v>85</v>
      </c>
      <c r="S1005" s="20">
        <f t="shared" si="147"/>
        <v>850</v>
      </c>
      <c r="T1005" s="18">
        <f>K1005*I1005+J1005</f>
        <v>1785</v>
      </c>
      <c r="U1005" s="18"/>
      <c r="V1005" s="25"/>
    </row>
    <row r="1006" spans="1:22" ht="24" customHeight="1">
      <c r="A1006" s="26"/>
      <c r="B1006" s="15"/>
      <c r="C1006" s="15"/>
      <c r="D1006" s="16">
        <v>1003</v>
      </c>
      <c r="E1006" s="16" t="s">
        <v>1028</v>
      </c>
      <c r="F1006" s="16" t="s">
        <v>24</v>
      </c>
      <c r="G1006" s="17">
        <v>1</v>
      </c>
      <c r="H1006" s="18">
        <v>10</v>
      </c>
      <c r="I1006" s="19"/>
      <c r="J1006" s="19">
        <v>80</v>
      </c>
      <c r="K1006" s="19"/>
      <c r="L1006" s="19">
        <f t="shared" si="154"/>
        <v>10</v>
      </c>
      <c r="M1006" s="21">
        <f t="shared" si="148"/>
        <v>10</v>
      </c>
      <c r="N1006" s="22">
        <f t="shared" si="149"/>
        <v>10</v>
      </c>
      <c r="O1006" s="22">
        <f t="shared" si="150"/>
        <v>0</v>
      </c>
      <c r="P1006" s="20">
        <f t="shared" si="151"/>
        <v>0</v>
      </c>
      <c r="Q1006" s="23">
        <f t="shared" si="153"/>
        <v>80</v>
      </c>
      <c r="R1006" s="20">
        <f t="shared" si="147"/>
        <v>80</v>
      </c>
      <c r="S1006" s="20">
        <f t="shared" si="147"/>
        <v>80</v>
      </c>
      <c r="T1006" s="18">
        <f t="shared" si="152"/>
        <v>800</v>
      </c>
      <c r="U1006" s="18"/>
      <c r="V1006" s="25"/>
    </row>
    <row r="1007" spans="1:22" ht="24" customHeight="1">
      <c r="A1007" s="26"/>
      <c r="B1007" s="15"/>
      <c r="C1007" s="15"/>
      <c r="D1007" s="16">
        <v>1004</v>
      </c>
      <c r="E1007" s="16" t="s">
        <v>1029</v>
      </c>
      <c r="F1007" s="16" t="s">
        <v>24</v>
      </c>
      <c r="G1007" s="17">
        <v>1</v>
      </c>
      <c r="H1007" s="18">
        <v>2</v>
      </c>
      <c r="I1007" s="19"/>
      <c r="J1007" s="19">
        <v>90</v>
      </c>
      <c r="K1007" s="19"/>
      <c r="L1007" s="19">
        <f t="shared" si="154"/>
        <v>2</v>
      </c>
      <c r="M1007" s="21">
        <f t="shared" si="148"/>
        <v>2</v>
      </c>
      <c r="N1007" s="22">
        <f t="shared" si="149"/>
        <v>2</v>
      </c>
      <c r="O1007" s="22">
        <f t="shared" si="150"/>
        <v>0</v>
      </c>
      <c r="P1007" s="20">
        <f t="shared" si="151"/>
        <v>0</v>
      </c>
      <c r="Q1007" s="23">
        <f t="shared" si="153"/>
        <v>90</v>
      </c>
      <c r="R1007" s="20">
        <f t="shared" ref="R1007:S1070" si="155">IFERROR(IF(J1007&gt;0,J1007,IF(J1007&lt;0,P1007,IF(J1007=0,P1007))),"")</f>
        <v>90</v>
      </c>
      <c r="S1007" s="20">
        <f t="shared" si="155"/>
        <v>90</v>
      </c>
      <c r="T1007" s="18">
        <f t="shared" si="152"/>
        <v>180</v>
      </c>
      <c r="U1007" s="18"/>
      <c r="V1007" s="25"/>
    </row>
    <row r="1008" spans="1:22" ht="24" customHeight="1">
      <c r="A1008" s="26"/>
      <c r="B1008" s="15"/>
      <c r="C1008" s="15"/>
      <c r="D1008" s="16">
        <v>1005</v>
      </c>
      <c r="E1008" s="16" t="s">
        <v>1030</v>
      </c>
      <c r="F1008" s="16" t="s">
        <v>24</v>
      </c>
      <c r="G1008" s="17">
        <v>1</v>
      </c>
      <c r="H1008" s="18">
        <v>11</v>
      </c>
      <c r="I1008" s="19"/>
      <c r="J1008" s="19">
        <v>150</v>
      </c>
      <c r="K1008" s="19"/>
      <c r="L1008" s="19">
        <f t="shared" si="154"/>
        <v>11</v>
      </c>
      <c r="M1008" s="21">
        <f t="shared" si="148"/>
        <v>11</v>
      </c>
      <c r="N1008" s="22">
        <f t="shared" si="149"/>
        <v>11</v>
      </c>
      <c r="O1008" s="22">
        <f t="shared" si="150"/>
        <v>0</v>
      </c>
      <c r="P1008" s="20">
        <f t="shared" si="151"/>
        <v>0</v>
      </c>
      <c r="Q1008" s="23">
        <f t="shared" si="153"/>
        <v>150</v>
      </c>
      <c r="R1008" s="20">
        <f t="shared" si="155"/>
        <v>150</v>
      </c>
      <c r="S1008" s="20">
        <f t="shared" si="155"/>
        <v>150</v>
      </c>
      <c r="T1008" s="18">
        <f t="shared" si="152"/>
        <v>1650</v>
      </c>
      <c r="U1008" s="18"/>
      <c r="V1008" s="25"/>
    </row>
    <row r="1009" spans="1:22" ht="24" customHeight="1">
      <c r="A1009" s="26"/>
      <c r="B1009" s="15"/>
      <c r="C1009" s="15"/>
      <c r="D1009" s="16">
        <v>1006</v>
      </c>
      <c r="E1009" s="16" t="s">
        <v>1031</v>
      </c>
      <c r="F1009" s="16" t="s">
        <v>24</v>
      </c>
      <c r="G1009" s="17">
        <v>1</v>
      </c>
      <c r="H1009" s="18">
        <v>15</v>
      </c>
      <c r="I1009" s="19"/>
      <c r="J1009" s="19">
        <v>70</v>
      </c>
      <c r="K1009" s="19"/>
      <c r="L1009" s="19">
        <f t="shared" si="154"/>
        <v>15</v>
      </c>
      <c r="M1009" s="21">
        <f t="shared" si="148"/>
        <v>15</v>
      </c>
      <c r="N1009" s="22">
        <f t="shared" si="149"/>
        <v>15</v>
      </c>
      <c r="O1009" s="22">
        <f t="shared" si="150"/>
        <v>0</v>
      </c>
      <c r="P1009" s="20">
        <f t="shared" si="151"/>
        <v>0</v>
      </c>
      <c r="Q1009" s="23">
        <f t="shared" si="153"/>
        <v>70</v>
      </c>
      <c r="R1009" s="20">
        <f t="shared" si="155"/>
        <v>70</v>
      </c>
      <c r="S1009" s="20">
        <f t="shared" si="155"/>
        <v>70</v>
      </c>
      <c r="T1009" s="18">
        <f t="shared" si="152"/>
        <v>1050</v>
      </c>
      <c r="U1009" s="18"/>
      <c r="V1009" s="25"/>
    </row>
    <row r="1010" spans="1:22" ht="24" customHeight="1">
      <c r="A1010" s="26"/>
      <c r="B1010" s="15"/>
      <c r="C1010" s="15"/>
      <c r="D1010" s="16">
        <v>1007</v>
      </c>
      <c r="E1010" s="16" t="s">
        <v>1032</v>
      </c>
      <c r="F1010" s="16" t="s">
        <v>24</v>
      </c>
      <c r="G1010" s="17">
        <v>1</v>
      </c>
      <c r="H1010" s="18">
        <v>3</v>
      </c>
      <c r="I1010" s="19"/>
      <c r="J1010" s="19">
        <v>160</v>
      </c>
      <c r="K1010" s="19"/>
      <c r="L1010" s="19">
        <f t="shared" si="154"/>
        <v>3</v>
      </c>
      <c r="M1010" s="21">
        <f t="shared" si="148"/>
        <v>3</v>
      </c>
      <c r="N1010" s="22">
        <f t="shared" si="149"/>
        <v>3</v>
      </c>
      <c r="O1010" s="22">
        <f t="shared" si="150"/>
        <v>0</v>
      </c>
      <c r="P1010" s="20">
        <f t="shared" si="151"/>
        <v>0</v>
      </c>
      <c r="Q1010" s="23">
        <f t="shared" si="153"/>
        <v>160</v>
      </c>
      <c r="R1010" s="20">
        <f t="shared" si="155"/>
        <v>160</v>
      </c>
      <c r="S1010" s="20">
        <f t="shared" si="155"/>
        <v>160</v>
      </c>
      <c r="T1010" s="18">
        <f t="shared" si="152"/>
        <v>480</v>
      </c>
      <c r="U1010" s="18"/>
      <c r="V1010" s="25"/>
    </row>
    <row r="1011" spans="1:22" ht="24" customHeight="1">
      <c r="A1011" s="26"/>
      <c r="B1011" s="15"/>
      <c r="C1011" s="15"/>
      <c r="D1011" s="16">
        <v>1008</v>
      </c>
      <c r="E1011" s="16" t="s">
        <v>1033</v>
      </c>
      <c r="F1011" s="16" t="s">
        <v>24</v>
      </c>
      <c r="G1011" s="17">
        <v>8</v>
      </c>
      <c r="H1011" s="18">
        <v>6</v>
      </c>
      <c r="I1011" s="19">
        <v>1</v>
      </c>
      <c r="J1011" s="19">
        <v>1200</v>
      </c>
      <c r="K1011" s="19">
        <v>9600</v>
      </c>
      <c r="L1011" s="19">
        <f t="shared" si="154"/>
        <v>14</v>
      </c>
      <c r="M1011" s="21">
        <f t="shared" si="148"/>
        <v>1.75</v>
      </c>
      <c r="N1011" s="22">
        <f t="shared" si="149"/>
        <v>6</v>
      </c>
      <c r="O1011" s="22">
        <f t="shared" si="150"/>
        <v>1</v>
      </c>
      <c r="P1011" s="20">
        <f t="shared" si="151"/>
        <v>1200</v>
      </c>
      <c r="Q1011" s="23">
        <f t="shared" si="153"/>
        <v>9600</v>
      </c>
      <c r="R1011" s="20">
        <f t="shared" si="155"/>
        <v>1200</v>
      </c>
      <c r="S1011" s="20">
        <f t="shared" si="155"/>
        <v>9600</v>
      </c>
      <c r="T1011" s="18">
        <f t="shared" si="152"/>
        <v>16800</v>
      </c>
      <c r="U1011" s="18"/>
      <c r="V1011" s="25"/>
    </row>
    <row r="1012" spans="1:22" ht="24" customHeight="1">
      <c r="A1012" s="26"/>
      <c r="B1012" s="15"/>
      <c r="C1012" s="15"/>
      <c r="D1012" s="16">
        <v>1009</v>
      </c>
      <c r="E1012" s="16" t="s">
        <v>1034</v>
      </c>
      <c r="F1012" s="16" t="s">
        <v>24</v>
      </c>
      <c r="G1012" s="17">
        <v>3</v>
      </c>
      <c r="H1012" s="18">
        <v>3</v>
      </c>
      <c r="I1012" s="19">
        <v>1</v>
      </c>
      <c r="J1012" s="19">
        <v>1500</v>
      </c>
      <c r="K1012" s="19">
        <v>4500</v>
      </c>
      <c r="L1012" s="19">
        <f t="shared" si="154"/>
        <v>6</v>
      </c>
      <c r="M1012" s="21">
        <f t="shared" si="148"/>
        <v>2</v>
      </c>
      <c r="N1012" s="22">
        <f t="shared" si="149"/>
        <v>0</v>
      </c>
      <c r="O1012" s="22">
        <f t="shared" si="150"/>
        <v>2</v>
      </c>
      <c r="P1012" s="20">
        <f t="shared" si="151"/>
        <v>1500</v>
      </c>
      <c r="Q1012" s="23">
        <f t="shared" si="153"/>
        <v>4500</v>
      </c>
      <c r="R1012" s="20">
        <f t="shared" si="155"/>
        <v>1500</v>
      </c>
      <c r="S1012" s="20">
        <f t="shared" si="155"/>
        <v>4500</v>
      </c>
      <c r="T1012" s="18">
        <f t="shared" si="152"/>
        <v>9000</v>
      </c>
      <c r="U1012" s="18"/>
      <c r="V1012" s="25"/>
    </row>
    <row r="1013" spans="1:22" ht="24" customHeight="1">
      <c r="A1013" s="26"/>
      <c r="B1013" s="15"/>
      <c r="C1013" s="15"/>
      <c r="D1013" s="16">
        <v>1010</v>
      </c>
      <c r="E1013" s="16" t="s">
        <v>1157</v>
      </c>
      <c r="F1013" s="16" t="s">
        <v>24</v>
      </c>
      <c r="G1013" s="17">
        <v>1</v>
      </c>
      <c r="H1013" s="18">
        <v>1</v>
      </c>
      <c r="I1013" s="19"/>
      <c r="J1013" s="19">
        <v>750</v>
      </c>
      <c r="K1013" s="19"/>
      <c r="L1013" s="19">
        <f t="shared" si="154"/>
        <v>1</v>
      </c>
      <c r="M1013" s="21">
        <f t="shared" si="148"/>
        <v>1</v>
      </c>
      <c r="N1013" s="22">
        <f t="shared" si="149"/>
        <v>1</v>
      </c>
      <c r="O1013" s="22">
        <f t="shared" si="150"/>
        <v>0</v>
      </c>
      <c r="P1013" s="20">
        <f t="shared" si="151"/>
        <v>0</v>
      </c>
      <c r="Q1013" s="23">
        <f t="shared" si="153"/>
        <v>750</v>
      </c>
      <c r="R1013" s="20">
        <f t="shared" si="155"/>
        <v>750</v>
      </c>
      <c r="S1013" s="20">
        <f t="shared" si="155"/>
        <v>750</v>
      </c>
      <c r="T1013" s="18">
        <f t="shared" si="152"/>
        <v>750</v>
      </c>
      <c r="U1013" s="18"/>
      <c r="V1013" s="25"/>
    </row>
    <row r="1014" spans="1:22" ht="24" customHeight="1">
      <c r="A1014" s="26"/>
      <c r="B1014" s="15"/>
      <c r="C1014" s="15"/>
      <c r="D1014" s="16">
        <v>1011</v>
      </c>
      <c r="E1014" s="16" t="s">
        <v>1035</v>
      </c>
      <c r="F1014" s="16" t="s">
        <v>24</v>
      </c>
      <c r="G1014" s="17">
        <v>1</v>
      </c>
      <c r="H1014" s="18">
        <v>2</v>
      </c>
      <c r="I1014" s="19"/>
      <c r="J1014" s="19">
        <v>1500</v>
      </c>
      <c r="K1014" s="19"/>
      <c r="L1014" s="19">
        <f t="shared" si="154"/>
        <v>2</v>
      </c>
      <c r="M1014" s="21">
        <f t="shared" si="148"/>
        <v>2</v>
      </c>
      <c r="N1014" s="22">
        <f t="shared" si="149"/>
        <v>2</v>
      </c>
      <c r="O1014" s="22">
        <f t="shared" si="150"/>
        <v>0</v>
      </c>
      <c r="P1014" s="20">
        <f t="shared" si="151"/>
        <v>0</v>
      </c>
      <c r="Q1014" s="23">
        <f t="shared" si="153"/>
        <v>1500</v>
      </c>
      <c r="R1014" s="20">
        <f t="shared" si="155"/>
        <v>1500</v>
      </c>
      <c r="S1014" s="20">
        <f t="shared" si="155"/>
        <v>1500</v>
      </c>
      <c r="T1014" s="18">
        <f t="shared" si="152"/>
        <v>3000</v>
      </c>
      <c r="U1014" s="18"/>
      <c r="V1014" s="25"/>
    </row>
    <row r="1015" spans="1:22" ht="24" customHeight="1">
      <c r="A1015" s="26"/>
      <c r="B1015" s="15"/>
      <c r="C1015" s="15"/>
      <c r="D1015" s="16">
        <v>1012</v>
      </c>
      <c r="E1015" s="16" t="s">
        <v>1036</v>
      </c>
      <c r="F1015" s="16" t="s">
        <v>24</v>
      </c>
      <c r="G1015" s="17">
        <v>1</v>
      </c>
      <c r="H1015" s="18">
        <v>7</v>
      </c>
      <c r="I1015" s="19"/>
      <c r="J1015" s="19">
        <v>180</v>
      </c>
      <c r="K1015" s="19"/>
      <c r="L1015" s="19">
        <f t="shared" si="154"/>
        <v>7</v>
      </c>
      <c r="M1015" s="21">
        <f t="shared" si="148"/>
        <v>7</v>
      </c>
      <c r="N1015" s="22">
        <f t="shared" si="149"/>
        <v>7</v>
      </c>
      <c r="O1015" s="22">
        <f t="shared" si="150"/>
        <v>0</v>
      </c>
      <c r="P1015" s="20">
        <f t="shared" si="151"/>
        <v>0</v>
      </c>
      <c r="Q1015" s="23">
        <f t="shared" si="153"/>
        <v>180</v>
      </c>
      <c r="R1015" s="20">
        <f t="shared" si="155"/>
        <v>180</v>
      </c>
      <c r="S1015" s="20">
        <f t="shared" si="155"/>
        <v>180</v>
      </c>
      <c r="T1015" s="18">
        <f t="shared" si="152"/>
        <v>1260</v>
      </c>
      <c r="U1015" s="18"/>
      <c r="V1015" s="25"/>
    </row>
    <row r="1016" spans="1:22" ht="24" customHeight="1">
      <c r="A1016" s="26"/>
      <c r="B1016" s="15"/>
      <c r="C1016" s="15"/>
      <c r="D1016" s="16">
        <v>1013</v>
      </c>
      <c r="E1016" s="16" t="s">
        <v>1037</v>
      </c>
      <c r="F1016" s="16" t="s">
        <v>24</v>
      </c>
      <c r="G1016" s="17">
        <v>1</v>
      </c>
      <c r="H1016" s="18">
        <v>1</v>
      </c>
      <c r="I1016" s="19"/>
      <c r="J1016" s="19">
        <v>1200</v>
      </c>
      <c r="K1016" s="19"/>
      <c r="L1016" s="19">
        <f t="shared" si="154"/>
        <v>1</v>
      </c>
      <c r="M1016" s="21">
        <f t="shared" si="148"/>
        <v>1</v>
      </c>
      <c r="N1016" s="22">
        <f t="shared" si="149"/>
        <v>1</v>
      </c>
      <c r="O1016" s="22">
        <f t="shared" si="150"/>
        <v>0</v>
      </c>
      <c r="P1016" s="20">
        <f t="shared" si="151"/>
        <v>0</v>
      </c>
      <c r="Q1016" s="23">
        <f t="shared" si="153"/>
        <v>1200</v>
      </c>
      <c r="R1016" s="20">
        <f t="shared" si="155"/>
        <v>1200</v>
      </c>
      <c r="S1016" s="20">
        <f t="shared" si="155"/>
        <v>1200</v>
      </c>
      <c r="T1016" s="18">
        <f t="shared" si="152"/>
        <v>1200</v>
      </c>
      <c r="U1016" s="18"/>
      <c r="V1016" s="25"/>
    </row>
    <row r="1017" spans="1:22" ht="24" customHeight="1">
      <c r="A1017" s="26"/>
      <c r="B1017" s="15"/>
      <c r="C1017" s="15"/>
      <c r="D1017" s="16">
        <v>1014</v>
      </c>
      <c r="E1017" s="16" t="s">
        <v>1038</v>
      </c>
      <c r="F1017" s="16" t="s">
        <v>24</v>
      </c>
      <c r="G1017" s="17">
        <v>1</v>
      </c>
      <c r="H1017" s="18">
        <v>1</v>
      </c>
      <c r="I1017" s="19"/>
      <c r="J1017" s="19">
        <v>1200</v>
      </c>
      <c r="K1017" s="19"/>
      <c r="L1017" s="19">
        <f t="shared" si="154"/>
        <v>1</v>
      </c>
      <c r="M1017" s="21">
        <f t="shared" si="148"/>
        <v>1</v>
      </c>
      <c r="N1017" s="22">
        <f t="shared" si="149"/>
        <v>1</v>
      </c>
      <c r="O1017" s="22">
        <f t="shared" si="150"/>
        <v>0</v>
      </c>
      <c r="P1017" s="20">
        <f t="shared" si="151"/>
        <v>0</v>
      </c>
      <c r="Q1017" s="23">
        <f t="shared" si="153"/>
        <v>1200</v>
      </c>
      <c r="R1017" s="20">
        <f t="shared" si="155"/>
        <v>1200</v>
      </c>
      <c r="S1017" s="20">
        <f t="shared" si="155"/>
        <v>1200</v>
      </c>
      <c r="T1017" s="18">
        <f t="shared" si="152"/>
        <v>1200</v>
      </c>
      <c r="U1017" s="18"/>
      <c r="V1017" s="25"/>
    </row>
    <row r="1018" spans="1:22" ht="24" customHeight="1">
      <c r="A1018" s="26"/>
      <c r="B1018" s="15"/>
      <c r="C1018" s="15"/>
      <c r="D1018" s="16">
        <v>1015</v>
      </c>
      <c r="E1018" s="16" t="s">
        <v>1039</v>
      </c>
      <c r="F1018" s="16" t="s">
        <v>24</v>
      </c>
      <c r="G1018" s="17">
        <v>1</v>
      </c>
      <c r="H1018" s="18">
        <v>3</v>
      </c>
      <c r="I1018" s="19"/>
      <c r="J1018" s="19">
        <v>120</v>
      </c>
      <c r="K1018" s="19"/>
      <c r="L1018" s="19">
        <f t="shared" si="154"/>
        <v>3</v>
      </c>
      <c r="M1018" s="21">
        <f t="shared" si="148"/>
        <v>3</v>
      </c>
      <c r="N1018" s="22">
        <f t="shared" si="149"/>
        <v>3</v>
      </c>
      <c r="O1018" s="22">
        <f t="shared" si="150"/>
        <v>0</v>
      </c>
      <c r="P1018" s="20">
        <f t="shared" si="151"/>
        <v>0</v>
      </c>
      <c r="Q1018" s="23">
        <f t="shared" si="153"/>
        <v>120</v>
      </c>
      <c r="R1018" s="20">
        <f t="shared" si="155"/>
        <v>120</v>
      </c>
      <c r="S1018" s="20">
        <f t="shared" si="155"/>
        <v>120</v>
      </c>
      <c r="T1018" s="18">
        <f t="shared" si="152"/>
        <v>360</v>
      </c>
      <c r="U1018" s="18"/>
      <c r="V1018" s="25"/>
    </row>
    <row r="1019" spans="1:22" ht="24" customHeight="1">
      <c r="A1019" s="26"/>
      <c r="B1019" s="15"/>
      <c r="C1019" s="15"/>
      <c r="D1019" s="16">
        <v>1016</v>
      </c>
      <c r="E1019" s="16" t="s">
        <v>1040</v>
      </c>
      <c r="F1019" s="16" t="s">
        <v>24</v>
      </c>
      <c r="G1019" s="17">
        <v>1</v>
      </c>
      <c r="H1019" s="18">
        <v>6</v>
      </c>
      <c r="I1019" s="19"/>
      <c r="J1019" s="19">
        <v>230</v>
      </c>
      <c r="K1019" s="19"/>
      <c r="L1019" s="19">
        <f t="shared" si="154"/>
        <v>6</v>
      </c>
      <c r="M1019" s="21">
        <f t="shared" si="148"/>
        <v>6</v>
      </c>
      <c r="N1019" s="22">
        <f t="shared" si="149"/>
        <v>6</v>
      </c>
      <c r="O1019" s="22">
        <f t="shared" si="150"/>
        <v>0</v>
      </c>
      <c r="P1019" s="20">
        <f t="shared" si="151"/>
        <v>0</v>
      </c>
      <c r="Q1019" s="23">
        <f t="shared" si="153"/>
        <v>230</v>
      </c>
      <c r="R1019" s="20">
        <f t="shared" si="155"/>
        <v>230</v>
      </c>
      <c r="S1019" s="20">
        <f t="shared" si="155"/>
        <v>230</v>
      </c>
      <c r="T1019" s="18">
        <f t="shared" si="152"/>
        <v>1380</v>
      </c>
      <c r="U1019" s="18"/>
      <c r="V1019" s="25"/>
    </row>
    <row r="1020" spans="1:22" ht="24" customHeight="1">
      <c r="A1020" s="26"/>
      <c r="B1020" s="15"/>
      <c r="C1020" s="15"/>
      <c r="D1020" s="16">
        <v>1017</v>
      </c>
      <c r="E1020" s="16" t="s">
        <v>1041</v>
      </c>
      <c r="F1020" s="16" t="s">
        <v>24</v>
      </c>
      <c r="G1020" s="17">
        <v>1</v>
      </c>
      <c r="H1020" s="18">
        <v>1</v>
      </c>
      <c r="I1020" s="19"/>
      <c r="J1020" s="19">
        <v>150</v>
      </c>
      <c r="K1020" s="19"/>
      <c r="L1020" s="19">
        <f t="shared" si="154"/>
        <v>1</v>
      </c>
      <c r="M1020" s="21">
        <f t="shared" si="148"/>
        <v>1</v>
      </c>
      <c r="N1020" s="22">
        <f t="shared" si="149"/>
        <v>1</v>
      </c>
      <c r="O1020" s="22">
        <f t="shared" si="150"/>
        <v>0</v>
      </c>
      <c r="P1020" s="20">
        <f t="shared" si="151"/>
        <v>0</v>
      </c>
      <c r="Q1020" s="23">
        <f t="shared" si="153"/>
        <v>150</v>
      </c>
      <c r="R1020" s="20">
        <f t="shared" si="155"/>
        <v>150</v>
      </c>
      <c r="S1020" s="20">
        <f t="shared" si="155"/>
        <v>150</v>
      </c>
      <c r="T1020" s="18">
        <f t="shared" si="152"/>
        <v>150</v>
      </c>
      <c r="U1020" s="18"/>
      <c r="V1020" s="25"/>
    </row>
    <row r="1021" spans="1:22" ht="24" customHeight="1">
      <c r="A1021" s="26"/>
      <c r="B1021" s="15"/>
      <c r="C1021" s="15"/>
      <c r="D1021" s="16">
        <v>1018</v>
      </c>
      <c r="E1021" s="16" t="s">
        <v>1042</v>
      </c>
      <c r="F1021" s="16" t="s">
        <v>24</v>
      </c>
      <c r="G1021" s="17">
        <v>1</v>
      </c>
      <c r="H1021" s="18">
        <v>5</v>
      </c>
      <c r="I1021" s="19"/>
      <c r="J1021" s="19">
        <v>300</v>
      </c>
      <c r="K1021" s="19"/>
      <c r="L1021" s="19">
        <f t="shared" si="154"/>
        <v>5</v>
      </c>
      <c r="M1021" s="21">
        <f t="shared" si="148"/>
        <v>5</v>
      </c>
      <c r="N1021" s="22">
        <f t="shared" si="149"/>
        <v>5</v>
      </c>
      <c r="O1021" s="22">
        <f t="shared" si="150"/>
        <v>0</v>
      </c>
      <c r="P1021" s="20">
        <f t="shared" si="151"/>
        <v>0</v>
      </c>
      <c r="Q1021" s="23">
        <f t="shared" si="153"/>
        <v>300</v>
      </c>
      <c r="R1021" s="20">
        <f t="shared" si="155"/>
        <v>300</v>
      </c>
      <c r="S1021" s="20">
        <f t="shared" si="155"/>
        <v>300</v>
      </c>
      <c r="T1021" s="18">
        <f t="shared" si="152"/>
        <v>1500</v>
      </c>
      <c r="U1021" s="18"/>
      <c r="V1021" s="25"/>
    </row>
    <row r="1022" spans="1:22" ht="24" customHeight="1">
      <c r="A1022" s="26"/>
      <c r="B1022" s="15"/>
      <c r="C1022" s="15"/>
      <c r="D1022" s="16">
        <v>1019</v>
      </c>
      <c r="E1022" s="16" t="s">
        <v>1043</v>
      </c>
      <c r="F1022" s="16" t="s">
        <v>24</v>
      </c>
      <c r="G1022" s="17">
        <v>1</v>
      </c>
      <c r="H1022" s="18">
        <v>2</v>
      </c>
      <c r="I1022" s="19"/>
      <c r="J1022" s="19">
        <v>550</v>
      </c>
      <c r="K1022" s="19"/>
      <c r="L1022" s="19">
        <f t="shared" si="154"/>
        <v>2</v>
      </c>
      <c r="M1022" s="21">
        <f t="shared" si="148"/>
        <v>2</v>
      </c>
      <c r="N1022" s="22">
        <f t="shared" si="149"/>
        <v>2</v>
      </c>
      <c r="O1022" s="22">
        <f t="shared" si="150"/>
        <v>0</v>
      </c>
      <c r="P1022" s="20">
        <f t="shared" si="151"/>
        <v>0</v>
      </c>
      <c r="Q1022" s="23">
        <f t="shared" si="153"/>
        <v>550</v>
      </c>
      <c r="R1022" s="20">
        <f t="shared" si="155"/>
        <v>550</v>
      </c>
      <c r="S1022" s="20">
        <f t="shared" si="155"/>
        <v>550</v>
      </c>
      <c r="T1022" s="18">
        <f t="shared" si="152"/>
        <v>1100</v>
      </c>
      <c r="U1022" s="18"/>
      <c r="V1022" s="25"/>
    </row>
    <row r="1023" spans="1:22" ht="24" customHeight="1">
      <c r="A1023" s="26"/>
      <c r="B1023" s="15"/>
      <c r="C1023" s="15"/>
      <c r="D1023" s="16">
        <v>1020</v>
      </c>
      <c r="E1023" s="16" t="s">
        <v>1044</v>
      </c>
      <c r="F1023" s="16" t="s">
        <v>24</v>
      </c>
      <c r="G1023" s="17">
        <v>1</v>
      </c>
      <c r="H1023" s="18">
        <v>1</v>
      </c>
      <c r="I1023" s="19"/>
      <c r="J1023" s="19">
        <v>150</v>
      </c>
      <c r="K1023" s="19"/>
      <c r="L1023" s="19">
        <f t="shared" si="154"/>
        <v>1</v>
      </c>
      <c r="M1023" s="21">
        <f t="shared" si="148"/>
        <v>1</v>
      </c>
      <c r="N1023" s="22">
        <f t="shared" si="149"/>
        <v>1</v>
      </c>
      <c r="O1023" s="22">
        <f t="shared" si="150"/>
        <v>0</v>
      </c>
      <c r="P1023" s="20">
        <f t="shared" si="151"/>
        <v>0</v>
      </c>
      <c r="Q1023" s="23">
        <f t="shared" si="153"/>
        <v>150</v>
      </c>
      <c r="R1023" s="20">
        <f t="shared" si="155"/>
        <v>150</v>
      </c>
      <c r="S1023" s="20">
        <f t="shared" si="155"/>
        <v>150</v>
      </c>
      <c r="T1023" s="18">
        <f t="shared" si="152"/>
        <v>150</v>
      </c>
      <c r="U1023" s="18"/>
      <c r="V1023" s="25"/>
    </row>
    <row r="1024" spans="1:22" ht="24" customHeight="1">
      <c r="A1024" s="26"/>
      <c r="B1024" s="15"/>
      <c r="C1024" s="15"/>
      <c r="D1024" s="16">
        <v>1021</v>
      </c>
      <c r="E1024" s="16" t="s">
        <v>1045</v>
      </c>
      <c r="F1024" s="16" t="s">
        <v>24</v>
      </c>
      <c r="G1024" s="17">
        <v>1</v>
      </c>
      <c r="H1024" s="18">
        <v>1</v>
      </c>
      <c r="I1024" s="19"/>
      <c r="J1024" s="19">
        <v>1000</v>
      </c>
      <c r="K1024" s="19"/>
      <c r="L1024" s="19">
        <f t="shared" si="154"/>
        <v>1</v>
      </c>
      <c r="M1024" s="21">
        <f t="shared" si="148"/>
        <v>1</v>
      </c>
      <c r="N1024" s="22">
        <f t="shared" si="149"/>
        <v>1</v>
      </c>
      <c r="O1024" s="22">
        <f t="shared" si="150"/>
        <v>0</v>
      </c>
      <c r="P1024" s="20">
        <f t="shared" si="151"/>
        <v>0</v>
      </c>
      <c r="Q1024" s="23">
        <f t="shared" si="153"/>
        <v>1000</v>
      </c>
      <c r="R1024" s="20">
        <f t="shared" si="155"/>
        <v>1000</v>
      </c>
      <c r="S1024" s="20">
        <f t="shared" si="155"/>
        <v>1000</v>
      </c>
      <c r="T1024" s="18">
        <f t="shared" si="152"/>
        <v>1000</v>
      </c>
      <c r="U1024" s="18"/>
      <c r="V1024" s="25"/>
    </row>
    <row r="1025" spans="1:22" ht="24" customHeight="1">
      <c r="A1025" s="26"/>
      <c r="B1025" s="15"/>
      <c r="C1025" s="15"/>
      <c r="D1025" s="16">
        <v>1022</v>
      </c>
      <c r="E1025" s="16" t="s">
        <v>1046</v>
      </c>
      <c r="F1025" s="16" t="s">
        <v>24</v>
      </c>
      <c r="G1025" s="17">
        <v>6</v>
      </c>
      <c r="H1025" s="18">
        <v>12</v>
      </c>
      <c r="I1025" s="19">
        <v>2</v>
      </c>
      <c r="J1025" s="19">
        <v>150</v>
      </c>
      <c r="K1025" s="19"/>
      <c r="L1025" s="19">
        <f t="shared" si="154"/>
        <v>24</v>
      </c>
      <c r="M1025" s="21">
        <f t="shared" si="148"/>
        <v>4</v>
      </c>
      <c r="N1025" s="22">
        <f t="shared" si="149"/>
        <v>0</v>
      </c>
      <c r="O1025" s="22">
        <f t="shared" si="150"/>
        <v>4</v>
      </c>
      <c r="P1025" s="20">
        <f t="shared" si="151"/>
        <v>0</v>
      </c>
      <c r="Q1025" s="23">
        <f t="shared" si="153"/>
        <v>900</v>
      </c>
      <c r="R1025" s="20">
        <f t="shared" si="155"/>
        <v>150</v>
      </c>
      <c r="S1025" s="20">
        <f t="shared" si="155"/>
        <v>900</v>
      </c>
      <c r="T1025" s="18">
        <f t="shared" si="152"/>
        <v>3600</v>
      </c>
      <c r="U1025" s="18"/>
      <c r="V1025" s="25"/>
    </row>
    <row r="1026" spans="1:22" ht="24" customHeight="1">
      <c r="A1026" s="26"/>
      <c r="B1026" s="15"/>
      <c r="C1026" s="15"/>
      <c r="D1026" s="16">
        <v>1023</v>
      </c>
      <c r="E1026" s="16" t="s">
        <v>146</v>
      </c>
      <c r="F1026" s="16" t="s">
        <v>24</v>
      </c>
      <c r="G1026" s="17">
        <v>1</v>
      </c>
      <c r="H1026" s="18">
        <v>1</v>
      </c>
      <c r="I1026" s="19"/>
      <c r="J1026" s="19">
        <v>800</v>
      </c>
      <c r="K1026" s="19"/>
      <c r="L1026" s="19">
        <f t="shared" si="154"/>
        <v>1</v>
      </c>
      <c r="M1026" s="21">
        <f t="shared" si="148"/>
        <v>1</v>
      </c>
      <c r="N1026" s="22">
        <f t="shared" si="149"/>
        <v>1</v>
      </c>
      <c r="O1026" s="22">
        <f t="shared" si="150"/>
        <v>0</v>
      </c>
      <c r="P1026" s="20">
        <f t="shared" si="151"/>
        <v>0</v>
      </c>
      <c r="Q1026" s="23">
        <f t="shared" si="153"/>
        <v>800</v>
      </c>
      <c r="R1026" s="20">
        <f t="shared" si="155"/>
        <v>800</v>
      </c>
      <c r="S1026" s="20">
        <f t="shared" si="155"/>
        <v>800</v>
      </c>
      <c r="T1026" s="18">
        <f t="shared" si="152"/>
        <v>800</v>
      </c>
      <c r="U1026" s="18"/>
      <c r="V1026" s="25"/>
    </row>
    <row r="1027" spans="1:22" ht="24" customHeight="1">
      <c r="A1027" s="26"/>
      <c r="B1027" s="15"/>
      <c r="C1027" s="15"/>
      <c r="D1027" s="16">
        <v>1024</v>
      </c>
      <c r="E1027" s="16" t="s">
        <v>1047</v>
      </c>
      <c r="F1027" s="16" t="s">
        <v>24</v>
      </c>
      <c r="G1027" s="17">
        <v>1</v>
      </c>
      <c r="H1027" s="18">
        <v>1</v>
      </c>
      <c r="I1027" s="19"/>
      <c r="J1027" s="19">
        <v>2500</v>
      </c>
      <c r="K1027" s="19"/>
      <c r="L1027" s="19">
        <f t="shared" si="154"/>
        <v>1</v>
      </c>
      <c r="M1027" s="21">
        <f t="shared" ref="M1027:M1090" si="156">IFERROR(L1027/G1027,"")</f>
        <v>1</v>
      </c>
      <c r="N1027" s="22">
        <f t="shared" ref="N1027:N1090" si="157">IF(G1027=1,L1027,IF(G1027&gt;1,IFERROR((M1027-O1027)*G1027,""),""))</f>
        <v>1</v>
      </c>
      <c r="O1027" s="22">
        <f t="shared" ref="O1027:O1090" si="158">IFERROR(IF(G1027=1,0,IF(G1027&gt;1,ROUNDDOWN(M1027,0))),"")</f>
        <v>0</v>
      </c>
      <c r="P1027" s="20">
        <f t="shared" si="151"/>
        <v>0</v>
      </c>
      <c r="Q1027" s="23">
        <f t="shared" si="153"/>
        <v>2500</v>
      </c>
      <c r="R1027" s="20">
        <f t="shared" si="155"/>
        <v>2500</v>
      </c>
      <c r="S1027" s="20">
        <f t="shared" si="155"/>
        <v>2500</v>
      </c>
      <c r="T1027" s="18">
        <f t="shared" si="152"/>
        <v>2500</v>
      </c>
      <c r="U1027" s="18"/>
      <c r="V1027" s="25"/>
    </row>
    <row r="1028" spans="1:22" ht="24" customHeight="1">
      <c r="A1028" s="26"/>
      <c r="B1028" s="15"/>
      <c r="C1028" s="15"/>
      <c r="D1028" s="16">
        <v>1025</v>
      </c>
      <c r="E1028" s="16" t="s">
        <v>1048</v>
      </c>
      <c r="F1028" s="16" t="s">
        <v>24</v>
      </c>
      <c r="G1028" s="17">
        <v>1</v>
      </c>
      <c r="H1028" s="18">
        <v>1</v>
      </c>
      <c r="I1028" s="19"/>
      <c r="J1028" s="19">
        <v>700</v>
      </c>
      <c r="K1028" s="19"/>
      <c r="L1028" s="19">
        <f t="shared" si="154"/>
        <v>1</v>
      </c>
      <c r="M1028" s="21">
        <f t="shared" si="156"/>
        <v>1</v>
      </c>
      <c r="N1028" s="22">
        <f t="shared" si="157"/>
        <v>1</v>
      </c>
      <c r="O1028" s="22">
        <f t="shared" si="158"/>
        <v>0</v>
      </c>
      <c r="P1028" s="20">
        <f t="shared" ref="P1028:P1091" si="159">IFERROR(K1028/G1028,"")</f>
        <v>0</v>
      </c>
      <c r="Q1028" s="23">
        <f t="shared" si="153"/>
        <v>700</v>
      </c>
      <c r="R1028" s="20">
        <f t="shared" si="155"/>
        <v>700</v>
      </c>
      <c r="S1028" s="20">
        <f t="shared" si="155"/>
        <v>700</v>
      </c>
      <c r="T1028" s="18">
        <f t="shared" si="152"/>
        <v>700</v>
      </c>
      <c r="U1028" s="18"/>
      <c r="V1028" s="25"/>
    </row>
    <row r="1029" spans="1:22" ht="24" customHeight="1">
      <c r="A1029" s="26"/>
      <c r="B1029" s="15"/>
      <c r="C1029" s="15"/>
      <c r="D1029" s="16">
        <v>1026</v>
      </c>
      <c r="E1029" s="16" t="s">
        <v>1049</v>
      </c>
      <c r="F1029" s="16" t="s">
        <v>24</v>
      </c>
      <c r="G1029" s="17">
        <v>1</v>
      </c>
      <c r="H1029" s="18">
        <v>1</v>
      </c>
      <c r="I1029" s="19"/>
      <c r="J1029" s="19">
        <v>550</v>
      </c>
      <c r="K1029" s="19"/>
      <c r="L1029" s="19">
        <f t="shared" si="154"/>
        <v>1</v>
      </c>
      <c r="M1029" s="21">
        <f t="shared" si="156"/>
        <v>1</v>
      </c>
      <c r="N1029" s="22">
        <f t="shared" si="157"/>
        <v>1</v>
      </c>
      <c r="O1029" s="22">
        <f t="shared" si="158"/>
        <v>0</v>
      </c>
      <c r="P1029" s="20">
        <f t="shared" si="159"/>
        <v>0</v>
      </c>
      <c r="Q1029" s="23">
        <f t="shared" si="153"/>
        <v>550</v>
      </c>
      <c r="R1029" s="20">
        <f t="shared" si="155"/>
        <v>550</v>
      </c>
      <c r="S1029" s="20">
        <f t="shared" si="155"/>
        <v>550</v>
      </c>
      <c r="T1029" s="18">
        <f t="shared" ref="T1029:T1092" si="160">IFERROR(S1029*I1029+R1029*H1029,"")</f>
        <v>550</v>
      </c>
      <c r="U1029" s="18"/>
      <c r="V1029" s="25"/>
    </row>
    <row r="1030" spans="1:22" ht="24" customHeight="1">
      <c r="A1030" s="26"/>
      <c r="B1030" s="15"/>
      <c r="C1030" s="15"/>
      <c r="D1030" s="16">
        <v>1027</v>
      </c>
      <c r="E1030" s="16" t="s">
        <v>1050</v>
      </c>
      <c r="F1030" s="16" t="s">
        <v>24</v>
      </c>
      <c r="G1030" s="17">
        <v>1</v>
      </c>
      <c r="H1030" s="18">
        <v>2</v>
      </c>
      <c r="I1030" s="19"/>
      <c r="J1030" s="19">
        <v>280</v>
      </c>
      <c r="K1030" s="19"/>
      <c r="L1030" s="19">
        <f t="shared" si="154"/>
        <v>2</v>
      </c>
      <c r="M1030" s="21">
        <f t="shared" si="156"/>
        <v>2</v>
      </c>
      <c r="N1030" s="22">
        <f t="shared" si="157"/>
        <v>2</v>
      </c>
      <c r="O1030" s="22">
        <f t="shared" si="158"/>
        <v>0</v>
      </c>
      <c r="P1030" s="20">
        <f t="shared" si="159"/>
        <v>0</v>
      </c>
      <c r="Q1030" s="23">
        <f t="shared" si="153"/>
        <v>280</v>
      </c>
      <c r="R1030" s="20">
        <f t="shared" si="155"/>
        <v>280</v>
      </c>
      <c r="S1030" s="20">
        <f t="shared" si="155"/>
        <v>280</v>
      </c>
      <c r="T1030" s="18">
        <f t="shared" si="160"/>
        <v>560</v>
      </c>
      <c r="U1030" s="18"/>
      <c r="V1030" s="25"/>
    </row>
    <row r="1031" spans="1:22" ht="24" customHeight="1">
      <c r="A1031" s="26"/>
      <c r="B1031" s="15"/>
      <c r="C1031" s="15"/>
      <c r="D1031" s="16">
        <v>1028</v>
      </c>
      <c r="E1031" s="16" t="s">
        <v>1051</v>
      </c>
      <c r="F1031" s="16" t="s">
        <v>24</v>
      </c>
      <c r="G1031" s="17">
        <v>1</v>
      </c>
      <c r="H1031" s="18">
        <v>1</v>
      </c>
      <c r="I1031" s="19"/>
      <c r="J1031" s="19">
        <v>700</v>
      </c>
      <c r="K1031" s="19"/>
      <c r="L1031" s="19">
        <f t="shared" si="154"/>
        <v>1</v>
      </c>
      <c r="M1031" s="21">
        <f t="shared" si="156"/>
        <v>1</v>
      </c>
      <c r="N1031" s="22">
        <f t="shared" si="157"/>
        <v>1</v>
      </c>
      <c r="O1031" s="22">
        <f t="shared" si="158"/>
        <v>0</v>
      </c>
      <c r="P1031" s="20">
        <f t="shared" si="159"/>
        <v>0</v>
      </c>
      <c r="Q1031" s="23">
        <f t="shared" si="153"/>
        <v>700</v>
      </c>
      <c r="R1031" s="20">
        <f t="shared" si="155"/>
        <v>700</v>
      </c>
      <c r="S1031" s="20">
        <f t="shared" si="155"/>
        <v>700</v>
      </c>
      <c r="T1031" s="18">
        <f t="shared" si="160"/>
        <v>700</v>
      </c>
      <c r="U1031" s="18"/>
      <c r="V1031" s="25"/>
    </row>
    <row r="1032" spans="1:22" ht="24" customHeight="1">
      <c r="A1032" s="26"/>
      <c r="B1032" s="15"/>
      <c r="C1032" s="15"/>
      <c r="D1032" s="16">
        <v>1029</v>
      </c>
      <c r="E1032" s="16" t="s">
        <v>1052</v>
      </c>
      <c r="F1032" s="16" t="s">
        <v>24</v>
      </c>
      <c r="G1032" s="17">
        <v>1</v>
      </c>
      <c r="H1032" s="18">
        <v>5</v>
      </c>
      <c r="I1032" s="19"/>
      <c r="J1032" s="19">
        <v>550</v>
      </c>
      <c r="K1032" s="19"/>
      <c r="L1032" s="19">
        <f t="shared" si="154"/>
        <v>5</v>
      </c>
      <c r="M1032" s="21">
        <f t="shared" si="156"/>
        <v>5</v>
      </c>
      <c r="N1032" s="22">
        <f t="shared" si="157"/>
        <v>5</v>
      </c>
      <c r="O1032" s="22">
        <f t="shared" si="158"/>
        <v>0</v>
      </c>
      <c r="P1032" s="20">
        <f t="shared" si="159"/>
        <v>0</v>
      </c>
      <c r="Q1032" s="23">
        <f t="shared" si="153"/>
        <v>550</v>
      </c>
      <c r="R1032" s="20">
        <f t="shared" si="155"/>
        <v>550</v>
      </c>
      <c r="S1032" s="20">
        <f t="shared" si="155"/>
        <v>550</v>
      </c>
      <c r="T1032" s="18">
        <f t="shared" si="160"/>
        <v>2750</v>
      </c>
      <c r="U1032" s="18"/>
      <c r="V1032" s="25"/>
    </row>
    <row r="1033" spans="1:22" ht="24" customHeight="1">
      <c r="A1033" s="26"/>
      <c r="B1033" s="15"/>
      <c r="C1033" s="15"/>
      <c r="D1033" s="16">
        <v>1030</v>
      </c>
      <c r="E1033" s="16" t="s">
        <v>1053</v>
      </c>
      <c r="F1033" s="16" t="s">
        <v>24</v>
      </c>
      <c r="G1033" s="17">
        <v>1</v>
      </c>
      <c r="H1033" s="18">
        <v>5</v>
      </c>
      <c r="I1033" s="19"/>
      <c r="J1033" s="19">
        <v>2400</v>
      </c>
      <c r="K1033" s="19"/>
      <c r="L1033" s="19">
        <f t="shared" si="154"/>
        <v>5</v>
      </c>
      <c r="M1033" s="21">
        <f t="shared" si="156"/>
        <v>5</v>
      </c>
      <c r="N1033" s="22">
        <f t="shared" si="157"/>
        <v>5</v>
      </c>
      <c r="O1033" s="22">
        <f t="shared" si="158"/>
        <v>0</v>
      </c>
      <c r="P1033" s="20">
        <f t="shared" si="159"/>
        <v>0</v>
      </c>
      <c r="Q1033" s="23">
        <f t="shared" si="153"/>
        <v>2400</v>
      </c>
      <c r="R1033" s="20">
        <f t="shared" si="155"/>
        <v>2400</v>
      </c>
      <c r="S1033" s="20">
        <f t="shared" si="155"/>
        <v>2400</v>
      </c>
      <c r="T1033" s="18">
        <f t="shared" si="160"/>
        <v>12000</v>
      </c>
      <c r="U1033" s="18"/>
      <c r="V1033" s="25"/>
    </row>
    <row r="1034" spans="1:22" ht="24" customHeight="1">
      <c r="A1034" s="26"/>
      <c r="B1034" s="15"/>
      <c r="C1034" s="15"/>
      <c r="D1034" s="16">
        <v>1031</v>
      </c>
      <c r="E1034" s="16" t="s">
        <v>1054</v>
      </c>
      <c r="F1034" s="16" t="s">
        <v>24</v>
      </c>
      <c r="G1034" s="17">
        <v>1</v>
      </c>
      <c r="H1034" s="18">
        <v>1</v>
      </c>
      <c r="I1034" s="19"/>
      <c r="J1034" s="19">
        <v>300</v>
      </c>
      <c r="K1034" s="19"/>
      <c r="L1034" s="19">
        <f t="shared" si="154"/>
        <v>1</v>
      </c>
      <c r="M1034" s="21">
        <f t="shared" si="156"/>
        <v>1</v>
      </c>
      <c r="N1034" s="22">
        <f t="shared" si="157"/>
        <v>1</v>
      </c>
      <c r="O1034" s="22">
        <f t="shared" si="158"/>
        <v>0</v>
      </c>
      <c r="P1034" s="20">
        <f t="shared" si="159"/>
        <v>0</v>
      </c>
      <c r="Q1034" s="23">
        <f t="shared" si="153"/>
        <v>300</v>
      </c>
      <c r="R1034" s="20">
        <f t="shared" si="155"/>
        <v>300</v>
      </c>
      <c r="S1034" s="20">
        <f t="shared" si="155"/>
        <v>300</v>
      </c>
      <c r="T1034" s="18">
        <f t="shared" si="160"/>
        <v>300</v>
      </c>
      <c r="U1034" s="18"/>
      <c r="V1034" s="25"/>
    </row>
    <row r="1035" spans="1:22" ht="24" customHeight="1">
      <c r="A1035" s="26"/>
      <c r="B1035" s="15"/>
      <c r="C1035" s="15"/>
      <c r="D1035" s="16">
        <v>1032</v>
      </c>
      <c r="E1035" s="16" t="s">
        <v>1055</v>
      </c>
      <c r="F1035" s="16" t="s">
        <v>24</v>
      </c>
      <c r="G1035" s="17">
        <v>1</v>
      </c>
      <c r="H1035" s="18">
        <v>1</v>
      </c>
      <c r="I1035" s="19"/>
      <c r="J1035" s="19">
        <v>250</v>
      </c>
      <c r="K1035" s="19"/>
      <c r="L1035" s="19">
        <f t="shared" si="154"/>
        <v>1</v>
      </c>
      <c r="M1035" s="21">
        <f t="shared" si="156"/>
        <v>1</v>
      </c>
      <c r="N1035" s="22">
        <f t="shared" si="157"/>
        <v>1</v>
      </c>
      <c r="O1035" s="22">
        <f t="shared" si="158"/>
        <v>0</v>
      </c>
      <c r="P1035" s="20">
        <f t="shared" si="159"/>
        <v>0</v>
      </c>
      <c r="Q1035" s="23">
        <f t="shared" si="153"/>
        <v>250</v>
      </c>
      <c r="R1035" s="20">
        <f t="shared" si="155"/>
        <v>250</v>
      </c>
      <c r="S1035" s="20">
        <f t="shared" si="155"/>
        <v>250</v>
      </c>
      <c r="T1035" s="18">
        <f t="shared" si="160"/>
        <v>250</v>
      </c>
      <c r="U1035" s="18"/>
      <c r="V1035" s="25"/>
    </row>
    <row r="1036" spans="1:22" ht="24" customHeight="1">
      <c r="A1036" s="26"/>
      <c r="B1036" s="15"/>
      <c r="C1036" s="15"/>
      <c r="D1036" s="16">
        <v>1033</v>
      </c>
      <c r="E1036" s="16" t="s">
        <v>1056</v>
      </c>
      <c r="F1036" s="16" t="s">
        <v>24</v>
      </c>
      <c r="G1036" s="17">
        <v>1</v>
      </c>
      <c r="H1036" s="18">
        <v>2</v>
      </c>
      <c r="I1036" s="19"/>
      <c r="J1036" s="19">
        <v>500</v>
      </c>
      <c r="K1036" s="19"/>
      <c r="L1036" s="19">
        <f t="shared" si="154"/>
        <v>2</v>
      </c>
      <c r="M1036" s="21">
        <f t="shared" si="156"/>
        <v>2</v>
      </c>
      <c r="N1036" s="22">
        <f t="shared" si="157"/>
        <v>2</v>
      </c>
      <c r="O1036" s="22">
        <f t="shared" si="158"/>
        <v>0</v>
      </c>
      <c r="P1036" s="20">
        <f t="shared" si="159"/>
        <v>0</v>
      </c>
      <c r="Q1036" s="23">
        <f t="shared" si="153"/>
        <v>500</v>
      </c>
      <c r="R1036" s="20">
        <f t="shared" si="155"/>
        <v>500</v>
      </c>
      <c r="S1036" s="20">
        <f t="shared" si="155"/>
        <v>500</v>
      </c>
      <c r="T1036" s="18">
        <f t="shared" si="160"/>
        <v>1000</v>
      </c>
      <c r="U1036" s="18"/>
      <c r="V1036" s="25"/>
    </row>
    <row r="1037" spans="1:22" ht="24" customHeight="1">
      <c r="A1037" s="26"/>
      <c r="B1037" s="15"/>
      <c r="C1037" s="15"/>
      <c r="D1037" s="16">
        <v>1034</v>
      </c>
      <c r="E1037" s="16" t="s">
        <v>1057</v>
      </c>
      <c r="F1037" s="16" t="s">
        <v>24</v>
      </c>
      <c r="G1037" s="17">
        <v>1</v>
      </c>
      <c r="H1037" s="18">
        <v>3</v>
      </c>
      <c r="I1037" s="19"/>
      <c r="J1037" s="19">
        <v>400</v>
      </c>
      <c r="K1037" s="19"/>
      <c r="L1037" s="19">
        <f t="shared" si="154"/>
        <v>3</v>
      </c>
      <c r="M1037" s="21">
        <f t="shared" si="156"/>
        <v>3</v>
      </c>
      <c r="N1037" s="22">
        <f t="shared" si="157"/>
        <v>3</v>
      </c>
      <c r="O1037" s="22">
        <f t="shared" si="158"/>
        <v>0</v>
      </c>
      <c r="P1037" s="20">
        <f t="shared" si="159"/>
        <v>0</v>
      </c>
      <c r="Q1037" s="23">
        <f t="shared" si="153"/>
        <v>400</v>
      </c>
      <c r="R1037" s="20">
        <f t="shared" si="155"/>
        <v>400</v>
      </c>
      <c r="S1037" s="20">
        <f t="shared" si="155"/>
        <v>400</v>
      </c>
      <c r="T1037" s="18">
        <f t="shared" si="160"/>
        <v>1200</v>
      </c>
      <c r="U1037" s="18"/>
      <c r="V1037" s="25"/>
    </row>
    <row r="1038" spans="1:22" ht="24" customHeight="1">
      <c r="A1038" s="26"/>
      <c r="B1038" s="15"/>
      <c r="C1038" s="15"/>
      <c r="D1038" s="16">
        <v>1035</v>
      </c>
      <c r="E1038" s="16" t="s">
        <v>1058</v>
      </c>
      <c r="F1038" s="16" t="s">
        <v>24</v>
      </c>
      <c r="G1038" s="17">
        <v>1</v>
      </c>
      <c r="H1038" s="18">
        <v>1</v>
      </c>
      <c r="I1038" s="19"/>
      <c r="J1038" s="19">
        <v>150</v>
      </c>
      <c r="K1038" s="19"/>
      <c r="L1038" s="19">
        <f t="shared" si="154"/>
        <v>1</v>
      </c>
      <c r="M1038" s="21">
        <f t="shared" si="156"/>
        <v>1</v>
      </c>
      <c r="N1038" s="22">
        <f t="shared" si="157"/>
        <v>1</v>
      </c>
      <c r="O1038" s="22">
        <f t="shared" si="158"/>
        <v>0</v>
      </c>
      <c r="P1038" s="20">
        <f t="shared" si="159"/>
        <v>0</v>
      </c>
      <c r="Q1038" s="23">
        <f t="shared" si="153"/>
        <v>150</v>
      </c>
      <c r="R1038" s="20">
        <f t="shared" si="155"/>
        <v>150</v>
      </c>
      <c r="S1038" s="20">
        <f t="shared" si="155"/>
        <v>150</v>
      </c>
      <c r="T1038" s="18">
        <f t="shared" si="160"/>
        <v>150</v>
      </c>
      <c r="U1038" s="18"/>
      <c r="V1038" s="25"/>
    </row>
    <row r="1039" spans="1:22" ht="24" customHeight="1">
      <c r="A1039" s="26"/>
      <c r="B1039" s="15"/>
      <c r="C1039" s="15"/>
      <c r="D1039" s="16">
        <v>1036</v>
      </c>
      <c r="E1039" s="16" t="s">
        <v>1059</v>
      </c>
      <c r="F1039" s="16" t="s">
        <v>24</v>
      </c>
      <c r="G1039" s="17">
        <v>1</v>
      </c>
      <c r="H1039" s="18">
        <v>3</v>
      </c>
      <c r="I1039" s="19"/>
      <c r="J1039" s="19">
        <v>780</v>
      </c>
      <c r="K1039" s="19"/>
      <c r="L1039" s="19">
        <f t="shared" si="154"/>
        <v>3</v>
      </c>
      <c r="M1039" s="21">
        <f t="shared" si="156"/>
        <v>3</v>
      </c>
      <c r="N1039" s="22">
        <f t="shared" si="157"/>
        <v>3</v>
      </c>
      <c r="O1039" s="22">
        <f t="shared" si="158"/>
        <v>0</v>
      </c>
      <c r="P1039" s="20">
        <f t="shared" si="159"/>
        <v>0</v>
      </c>
      <c r="Q1039" s="23">
        <f t="shared" si="153"/>
        <v>780</v>
      </c>
      <c r="R1039" s="20">
        <f t="shared" si="155"/>
        <v>780</v>
      </c>
      <c r="S1039" s="20">
        <f t="shared" si="155"/>
        <v>780</v>
      </c>
      <c r="T1039" s="18">
        <f t="shared" si="160"/>
        <v>2340</v>
      </c>
      <c r="U1039" s="18"/>
      <c r="V1039" s="25"/>
    </row>
    <row r="1040" spans="1:22" ht="24" customHeight="1">
      <c r="A1040" s="26"/>
      <c r="B1040" s="15"/>
      <c r="C1040" s="15"/>
      <c r="D1040" s="16">
        <v>1037</v>
      </c>
      <c r="E1040" s="16" t="s">
        <v>1060</v>
      </c>
      <c r="F1040" s="16" t="s">
        <v>24</v>
      </c>
      <c r="G1040" s="17">
        <v>1</v>
      </c>
      <c r="H1040" s="18">
        <v>1</v>
      </c>
      <c r="I1040" s="19"/>
      <c r="J1040" s="19">
        <v>150</v>
      </c>
      <c r="K1040" s="19"/>
      <c r="L1040" s="19">
        <f t="shared" si="154"/>
        <v>1</v>
      </c>
      <c r="M1040" s="21">
        <f t="shared" si="156"/>
        <v>1</v>
      </c>
      <c r="N1040" s="22">
        <f t="shared" si="157"/>
        <v>1</v>
      </c>
      <c r="O1040" s="22">
        <f t="shared" si="158"/>
        <v>0</v>
      </c>
      <c r="P1040" s="20">
        <f t="shared" si="159"/>
        <v>0</v>
      </c>
      <c r="Q1040" s="23">
        <f t="shared" si="153"/>
        <v>150</v>
      </c>
      <c r="R1040" s="20">
        <f t="shared" si="155"/>
        <v>150</v>
      </c>
      <c r="S1040" s="20">
        <f t="shared" si="155"/>
        <v>150</v>
      </c>
      <c r="T1040" s="18">
        <f t="shared" si="160"/>
        <v>150</v>
      </c>
      <c r="U1040" s="18"/>
      <c r="V1040" s="25"/>
    </row>
    <row r="1041" spans="1:22" ht="24" customHeight="1">
      <c r="A1041" s="26"/>
      <c r="B1041" s="15"/>
      <c r="C1041" s="15"/>
      <c r="D1041" s="16">
        <v>1038</v>
      </c>
      <c r="E1041" s="16" t="s">
        <v>1061</v>
      </c>
      <c r="F1041" s="16" t="s">
        <v>24</v>
      </c>
      <c r="G1041" s="17">
        <v>1</v>
      </c>
      <c r="H1041" s="18">
        <v>1</v>
      </c>
      <c r="I1041" s="19"/>
      <c r="J1041" s="19">
        <v>250</v>
      </c>
      <c r="K1041" s="19"/>
      <c r="L1041" s="19">
        <f t="shared" si="154"/>
        <v>1</v>
      </c>
      <c r="M1041" s="21">
        <f t="shared" si="156"/>
        <v>1</v>
      </c>
      <c r="N1041" s="22">
        <f t="shared" si="157"/>
        <v>1</v>
      </c>
      <c r="O1041" s="22">
        <f t="shared" si="158"/>
        <v>0</v>
      </c>
      <c r="P1041" s="20">
        <f t="shared" si="159"/>
        <v>0</v>
      </c>
      <c r="Q1041" s="23">
        <f t="shared" si="153"/>
        <v>250</v>
      </c>
      <c r="R1041" s="20">
        <f t="shared" si="155"/>
        <v>250</v>
      </c>
      <c r="S1041" s="20">
        <f t="shared" si="155"/>
        <v>250</v>
      </c>
      <c r="T1041" s="18">
        <f t="shared" si="160"/>
        <v>250</v>
      </c>
      <c r="U1041" s="18"/>
      <c r="V1041" s="25"/>
    </row>
    <row r="1042" spans="1:22" ht="24" customHeight="1">
      <c r="A1042" s="26"/>
      <c r="B1042" s="15"/>
      <c r="C1042" s="15"/>
      <c r="D1042" s="16">
        <v>1039</v>
      </c>
      <c r="E1042" s="16" t="s">
        <v>1062</v>
      </c>
      <c r="F1042" s="16" t="s">
        <v>24</v>
      </c>
      <c r="G1042" s="17">
        <v>1</v>
      </c>
      <c r="H1042" s="18">
        <v>2</v>
      </c>
      <c r="I1042" s="19"/>
      <c r="J1042" s="19">
        <v>300</v>
      </c>
      <c r="K1042" s="19"/>
      <c r="L1042" s="19">
        <f t="shared" si="154"/>
        <v>2</v>
      </c>
      <c r="M1042" s="21">
        <f t="shared" si="156"/>
        <v>2</v>
      </c>
      <c r="N1042" s="22">
        <f t="shared" si="157"/>
        <v>2</v>
      </c>
      <c r="O1042" s="22">
        <f t="shared" si="158"/>
        <v>0</v>
      </c>
      <c r="P1042" s="20">
        <f t="shared" si="159"/>
        <v>0</v>
      </c>
      <c r="Q1042" s="23">
        <f t="shared" si="153"/>
        <v>300</v>
      </c>
      <c r="R1042" s="20">
        <f t="shared" si="155"/>
        <v>300</v>
      </c>
      <c r="S1042" s="20">
        <f t="shared" si="155"/>
        <v>300</v>
      </c>
      <c r="T1042" s="18">
        <f t="shared" si="160"/>
        <v>600</v>
      </c>
      <c r="U1042" s="18"/>
      <c r="V1042" s="25"/>
    </row>
    <row r="1043" spans="1:22" ht="24" customHeight="1">
      <c r="A1043" s="26"/>
      <c r="B1043" s="15"/>
      <c r="C1043" s="15"/>
      <c r="D1043" s="16">
        <v>1040</v>
      </c>
      <c r="E1043" s="16" t="s">
        <v>1063</v>
      </c>
      <c r="F1043" s="16" t="s">
        <v>24</v>
      </c>
      <c r="G1043" s="17">
        <v>1</v>
      </c>
      <c r="H1043" s="18">
        <v>3</v>
      </c>
      <c r="I1043" s="19"/>
      <c r="J1043" s="19">
        <v>450</v>
      </c>
      <c r="K1043" s="19"/>
      <c r="L1043" s="19">
        <f t="shared" si="154"/>
        <v>3</v>
      </c>
      <c r="M1043" s="21">
        <f t="shared" si="156"/>
        <v>3</v>
      </c>
      <c r="N1043" s="22">
        <f t="shared" si="157"/>
        <v>3</v>
      </c>
      <c r="O1043" s="22">
        <f t="shared" si="158"/>
        <v>0</v>
      </c>
      <c r="P1043" s="20">
        <f t="shared" si="159"/>
        <v>0</v>
      </c>
      <c r="Q1043" s="23">
        <f t="shared" si="153"/>
        <v>450</v>
      </c>
      <c r="R1043" s="20">
        <f t="shared" si="155"/>
        <v>450</v>
      </c>
      <c r="S1043" s="20">
        <f t="shared" si="155"/>
        <v>450</v>
      </c>
      <c r="T1043" s="18">
        <f t="shared" si="160"/>
        <v>1350</v>
      </c>
      <c r="U1043" s="18"/>
      <c r="V1043" s="25"/>
    </row>
    <row r="1044" spans="1:22" ht="24" customHeight="1">
      <c r="A1044" s="26"/>
      <c r="B1044" s="15"/>
      <c r="C1044" s="15"/>
      <c r="D1044" s="16">
        <v>1041</v>
      </c>
      <c r="E1044" s="16" t="s">
        <v>1064</v>
      </c>
      <c r="F1044" s="16" t="s">
        <v>24</v>
      </c>
      <c r="G1044" s="17">
        <v>1</v>
      </c>
      <c r="H1044" s="18">
        <v>1</v>
      </c>
      <c r="I1044" s="19"/>
      <c r="J1044" s="19">
        <v>500</v>
      </c>
      <c r="K1044" s="19"/>
      <c r="L1044" s="19">
        <f t="shared" si="154"/>
        <v>1</v>
      </c>
      <c r="M1044" s="21">
        <f t="shared" si="156"/>
        <v>1</v>
      </c>
      <c r="N1044" s="22">
        <f t="shared" si="157"/>
        <v>1</v>
      </c>
      <c r="O1044" s="22">
        <f t="shared" si="158"/>
        <v>0</v>
      </c>
      <c r="P1044" s="20">
        <f t="shared" si="159"/>
        <v>0</v>
      </c>
      <c r="Q1044" s="23">
        <f t="shared" si="153"/>
        <v>500</v>
      </c>
      <c r="R1044" s="20">
        <f t="shared" si="155"/>
        <v>500</v>
      </c>
      <c r="S1044" s="20">
        <f t="shared" si="155"/>
        <v>500</v>
      </c>
      <c r="T1044" s="18">
        <f t="shared" si="160"/>
        <v>500</v>
      </c>
      <c r="U1044" s="18"/>
      <c r="V1044" s="25"/>
    </row>
    <row r="1045" spans="1:22" ht="24" customHeight="1">
      <c r="A1045" s="26"/>
      <c r="B1045" s="15"/>
      <c r="C1045" s="15"/>
      <c r="D1045" s="16">
        <v>1042</v>
      </c>
      <c r="E1045" s="16" t="s">
        <v>1065</v>
      </c>
      <c r="F1045" s="16" t="s">
        <v>24</v>
      </c>
      <c r="G1045" s="17">
        <v>1</v>
      </c>
      <c r="H1045" s="18">
        <v>11</v>
      </c>
      <c r="I1045" s="19"/>
      <c r="J1045" s="19">
        <v>150</v>
      </c>
      <c r="K1045" s="19"/>
      <c r="L1045" s="19">
        <f t="shared" si="154"/>
        <v>11</v>
      </c>
      <c r="M1045" s="21">
        <f t="shared" si="156"/>
        <v>11</v>
      </c>
      <c r="N1045" s="22">
        <f t="shared" si="157"/>
        <v>11</v>
      </c>
      <c r="O1045" s="22">
        <f t="shared" si="158"/>
        <v>0</v>
      </c>
      <c r="P1045" s="20">
        <f t="shared" si="159"/>
        <v>0</v>
      </c>
      <c r="Q1045" s="23">
        <f t="shared" si="153"/>
        <v>150</v>
      </c>
      <c r="R1045" s="20">
        <f t="shared" si="155"/>
        <v>150</v>
      </c>
      <c r="S1045" s="20">
        <f t="shared" si="155"/>
        <v>150</v>
      </c>
      <c r="T1045" s="18">
        <f t="shared" si="160"/>
        <v>1650</v>
      </c>
      <c r="U1045" s="18"/>
      <c r="V1045" s="25"/>
    </row>
    <row r="1046" spans="1:22" ht="24" customHeight="1">
      <c r="A1046" s="26"/>
      <c r="B1046" s="15"/>
      <c r="C1046" s="15"/>
      <c r="D1046" s="16">
        <v>1043</v>
      </c>
      <c r="E1046" s="16" t="s">
        <v>1066</v>
      </c>
      <c r="F1046" s="16" t="s">
        <v>24</v>
      </c>
      <c r="G1046" s="17">
        <v>1</v>
      </c>
      <c r="H1046" s="18">
        <v>10</v>
      </c>
      <c r="I1046" s="19"/>
      <c r="J1046" s="19">
        <v>450</v>
      </c>
      <c r="K1046" s="19"/>
      <c r="L1046" s="19">
        <f t="shared" si="154"/>
        <v>10</v>
      </c>
      <c r="M1046" s="21">
        <f t="shared" si="156"/>
        <v>10</v>
      </c>
      <c r="N1046" s="22">
        <f t="shared" si="157"/>
        <v>10</v>
      </c>
      <c r="O1046" s="22">
        <f t="shared" si="158"/>
        <v>0</v>
      </c>
      <c r="P1046" s="20">
        <f t="shared" si="159"/>
        <v>0</v>
      </c>
      <c r="Q1046" s="23">
        <f t="shared" si="153"/>
        <v>450</v>
      </c>
      <c r="R1046" s="20">
        <f t="shared" si="155"/>
        <v>450</v>
      </c>
      <c r="S1046" s="20">
        <f t="shared" si="155"/>
        <v>450</v>
      </c>
      <c r="T1046" s="18">
        <f t="shared" si="160"/>
        <v>4500</v>
      </c>
      <c r="U1046" s="18"/>
      <c r="V1046" s="25"/>
    </row>
    <row r="1047" spans="1:22" ht="24" customHeight="1">
      <c r="A1047" s="26"/>
      <c r="B1047" s="15"/>
      <c r="C1047" s="15"/>
      <c r="D1047" s="16">
        <v>1044</v>
      </c>
      <c r="E1047" s="16" t="s">
        <v>1067</v>
      </c>
      <c r="F1047" s="16" t="s">
        <v>24</v>
      </c>
      <c r="G1047" s="17">
        <v>1</v>
      </c>
      <c r="H1047" s="18">
        <v>1</v>
      </c>
      <c r="I1047" s="19"/>
      <c r="J1047" s="19">
        <v>250</v>
      </c>
      <c r="K1047" s="19"/>
      <c r="L1047" s="19">
        <f t="shared" si="154"/>
        <v>1</v>
      </c>
      <c r="M1047" s="21">
        <f t="shared" si="156"/>
        <v>1</v>
      </c>
      <c r="N1047" s="22">
        <f t="shared" si="157"/>
        <v>1</v>
      </c>
      <c r="O1047" s="22">
        <f t="shared" si="158"/>
        <v>0</v>
      </c>
      <c r="P1047" s="20">
        <f t="shared" si="159"/>
        <v>0</v>
      </c>
      <c r="Q1047" s="23">
        <f t="shared" si="153"/>
        <v>250</v>
      </c>
      <c r="R1047" s="20">
        <f t="shared" si="155"/>
        <v>250</v>
      </c>
      <c r="S1047" s="20">
        <f t="shared" si="155"/>
        <v>250</v>
      </c>
      <c r="T1047" s="18">
        <f t="shared" si="160"/>
        <v>250</v>
      </c>
      <c r="U1047" s="18"/>
      <c r="V1047" s="25"/>
    </row>
    <row r="1048" spans="1:22" ht="24" customHeight="1">
      <c r="A1048" s="26"/>
      <c r="B1048" s="15"/>
      <c r="C1048" s="15"/>
      <c r="D1048" s="16">
        <v>1045</v>
      </c>
      <c r="E1048" s="16" t="s">
        <v>1068</v>
      </c>
      <c r="F1048" s="16" t="s">
        <v>24</v>
      </c>
      <c r="G1048" s="17">
        <v>1</v>
      </c>
      <c r="H1048" s="18">
        <v>10</v>
      </c>
      <c r="I1048" s="19"/>
      <c r="J1048" s="19">
        <v>400</v>
      </c>
      <c r="K1048" s="19"/>
      <c r="L1048" s="19">
        <f t="shared" si="154"/>
        <v>10</v>
      </c>
      <c r="M1048" s="21">
        <f t="shared" si="156"/>
        <v>10</v>
      </c>
      <c r="N1048" s="22">
        <f t="shared" si="157"/>
        <v>10</v>
      </c>
      <c r="O1048" s="22">
        <f t="shared" si="158"/>
        <v>0</v>
      </c>
      <c r="P1048" s="20">
        <f t="shared" si="159"/>
        <v>0</v>
      </c>
      <c r="Q1048" s="23">
        <f t="shared" si="153"/>
        <v>400</v>
      </c>
      <c r="R1048" s="20">
        <f t="shared" si="155"/>
        <v>400</v>
      </c>
      <c r="S1048" s="20">
        <f t="shared" si="155"/>
        <v>400</v>
      </c>
      <c r="T1048" s="18">
        <f t="shared" si="160"/>
        <v>4000</v>
      </c>
      <c r="U1048" s="18"/>
      <c r="V1048" s="25"/>
    </row>
    <row r="1049" spans="1:22" ht="24" customHeight="1">
      <c r="A1049" s="26"/>
      <c r="B1049" s="15"/>
      <c r="C1049" s="15"/>
      <c r="D1049" s="16">
        <v>1046</v>
      </c>
      <c r="E1049" s="16" t="s">
        <v>1158</v>
      </c>
      <c r="F1049" s="16" t="s">
        <v>24</v>
      </c>
      <c r="G1049" s="17">
        <v>1</v>
      </c>
      <c r="H1049" s="18">
        <v>1</v>
      </c>
      <c r="I1049" s="19"/>
      <c r="J1049" s="19">
        <v>1800</v>
      </c>
      <c r="K1049" s="19"/>
      <c r="L1049" s="19">
        <f t="shared" si="154"/>
        <v>1</v>
      </c>
      <c r="M1049" s="21">
        <f t="shared" si="156"/>
        <v>1</v>
      </c>
      <c r="N1049" s="22">
        <f t="shared" si="157"/>
        <v>1</v>
      </c>
      <c r="O1049" s="22">
        <f t="shared" si="158"/>
        <v>0</v>
      </c>
      <c r="P1049" s="20">
        <f t="shared" si="159"/>
        <v>0</v>
      </c>
      <c r="Q1049" s="23">
        <f t="shared" si="153"/>
        <v>1800</v>
      </c>
      <c r="R1049" s="20">
        <f t="shared" si="155"/>
        <v>1800</v>
      </c>
      <c r="S1049" s="20">
        <f t="shared" si="155"/>
        <v>1800</v>
      </c>
      <c r="T1049" s="18">
        <f t="shared" si="160"/>
        <v>1800</v>
      </c>
      <c r="U1049" s="18"/>
      <c r="V1049" s="25"/>
    </row>
    <row r="1050" spans="1:22" ht="24" customHeight="1">
      <c r="A1050" s="26"/>
      <c r="B1050" s="15"/>
      <c r="C1050" s="15"/>
      <c r="D1050" s="16">
        <v>1047</v>
      </c>
      <c r="E1050" s="16" t="s">
        <v>1069</v>
      </c>
      <c r="F1050" s="16" t="s">
        <v>24</v>
      </c>
      <c r="G1050" s="17">
        <v>1</v>
      </c>
      <c r="H1050" s="18">
        <v>1</v>
      </c>
      <c r="I1050" s="19"/>
      <c r="J1050" s="19">
        <v>1280</v>
      </c>
      <c r="K1050" s="19"/>
      <c r="L1050" s="19">
        <f t="shared" si="154"/>
        <v>1</v>
      </c>
      <c r="M1050" s="21">
        <f t="shared" si="156"/>
        <v>1</v>
      </c>
      <c r="N1050" s="22">
        <f t="shared" si="157"/>
        <v>1</v>
      </c>
      <c r="O1050" s="22">
        <f t="shared" si="158"/>
        <v>0</v>
      </c>
      <c r="P1050" s="20">
        <f t="shared" si="159"/>
        <v>0</v>
      </c>
      <c r="Q1050" s="23">
        <f t="shared" si="153"/>
        <v>1280</v>
      </c>
      <c r="R1050" s="20">
        <f t="shared" si="155"/>
        <v>1280</v>
      </c>
      <c r="S1050" s="20">
        <f t="shared" si="155"/>
        <v>1280</v>
      </c>
      <c r="T1050" s="18">
        <f t="shared" si="160"/>
        <v>1280</v>
      </c>
      <c r="U1050" s="18"/>
      <c r="V1050" s="25"/>
    </row>
    <row r="1051" spans="1:22" ht="24" customHeight="1">
      <c r="A1051" s="26"/>
      <c r="B1051" s="15"/>
      <c r="C1051" s="15"/>
      <c r="D1051" s="16">
        <v>1048</v>
      </c>
      <c r="E1051" s="16" t="s">
        <v>1070</v>
      </c>
      <c r="F1051" s="16" t="s">
        <v>24</v>
      </c>
      <c r="G1051" s="17">
        <v>1</v>
      </c>
      <c r="H1051" s="18">
        <v>1</v>
      </c>
      <c r="I1051" s="19"/>
      <c r="J1051" s="19">
        <v>9000</v>
      </c>
      <c r="K1051" s="19"/>
      <c r="L1051" s="19">
        <f t="shared" si="154"/>
        <v>1</v>
      </c>
      <c r="M1051" s="21">
        <f t="shared" si="156"/>
        <v>1</v>
      </c>
      <c r="N1051" s="22">
        <f t="shared" si="157"/>
        <v>1</v>
      </c>
      <c r="O1051" s="22">
        <f t="shared" si="158"/>
        <v>0</v>
      </c>
      <c r="P1051" s="20">
        <f t="shared" si="159"/>
        <v>0</v>
      </c>
      <c r="Q1051" s="23">
        <f t="shared" si="153"/>
        <v>9000</v>
      </c>
      <c r="R1051" s="20">
        <f t="shared" si="155"/>
        <v>9000</v>
      </c>
      <c r="S1051" s="20">
        <f t="shared" si="155"/>
        <v>9000</v>
      </c>
      <c r="T1051" s="18">
        <f t="shared" si="160"/>
        <v>9000</v>
      </c>
      <c r="U1051" s="18"/>
      <c r="V1051" s="25"/>
    </row>
    <row r="1052" spans="1:22" ht="24" customHeight="1">
      <c r="A1052" s="26"/>
      <c r="B1052" s="15"/>
      <c r="C1052" s="15"/>
      <c r="D1052" s="16">
        <v>1049</v>
      </c>
      <c r="E1052" s="16" t="s">
        <v>1071</v>
      </c>
      <c r="F1052" s="16" t="s">
        <v>24</v>
      </c>
      <c r="G1052" s="17">
        <v>1</v>
      </c>
      <c r="H1052" s="18">
        <v>11</v>
      </c>
      <c r="I1052" s="19"/>
      <c r="J1052" s="19">
        <v>150</v>
      </c>
      <c r="K1052" s="19"/>
      <c r="L1052" s="19">
        <f t="shared" si="154"/>
        <v>11</v>
      </c>
      <c r="M1052" s="21">
        <f t="shared" si="156"/>
        <v>11</v>
      </c>
      <c r="N1052" s="22">
        <f t="shared" si="157"/>
        <v>11</v>
      </c>
      <c r="O1052" s="22">
        <f t="shared" si="158"/>
        <v>0</v>
      </c>
      <c r="P1052" s="20">
        <f t="shared" si="159"/>
        <v>0</v>
      </c>
      <c r="Q1052" s="23">
        <f t="shared" si="153"/>
        <v>150</v>
      </c>
      <c r="R1052" s="20">
        <f t="shared" si="155"/>
        <v>150</v>
      </c>
      <c r="S1052" s="20">
        <f t="shared" si="155"/>
        <v>150</v>
      </c>
      <c r="T1052" s="18">
        <f t="shared" si="160"/>
        <v>1650</v>
      </c>
      <c r="U1052" s="18"/>
      <c r="V1052" s="25"/>
    </row>
    <row r="1053" spans="1:22" ht="24" customHeight="1">
      <c r="A1053" s="26"/>
      <c r="B1053" s="15"/>
      <c r="C1053" s="15"/>
      <c r="D1053" s="16">
        <v>1050</v>
      </c>
      <c r="E1053" s="16" t="s">
        <v>1073</v>
      </c>
      <c r="F1053" s="16" t="s">
        <v>24</v>
      </c>
      <c r="G1053" s="17">
        <v>40</v>
      </c>
      <c r="H1053" s="18">
        <v>44</v>
      </c>
      <c r="I1053" s="19">
        <v>1</v>
      </c>
      <c r="J1053" s="19">
        <v>37.5</v>
      </c>
      <c r="K1053" s="19">
        <v>1500</v>
      </c>
      <c r="L1053" s="19">
        <f t="shared" si="154"/>
        <v>84</v>
      </c>
      <c r="M1053" s="21">
        <f t="shared" si="156"/>
        <v>2.1</v>
      </c>
      <c r="N1053" s="22">
        <f t="shared" si="157"/>
        <v>4.0000000000000036</v>
      </c>
      <c r="O1053" s="22">
        <f t="shared" si="158"/>
        <v>2</v>
      </c>
      <c r="P1053" s="20">
        <f t="shared" si="159"/>
        <v>37.5</v>
      </c>
      <c r="Q1053" s="23">
        <f t="shared" ref="Q1053:Q1116" si="161">IFERROR(J1053*G1053,"")</f>
        <v>1500</v>
      </c>
      <c r="R1053" s="20">
        <f t="shared" si="155"/>
        <v>37.5</v>
      </c>
      <c r="S1053" s="20">
        <f t="shared" si="155"/>
        <v>1500</v>
      </c>
      <c r="T1053" s="18">
        <f t="shared" si="160"/>
        <v>3150</v>
      </c>
      <c r="U1053" s="18"/>
      <c r="V1053" s="25"/>
    </row>
    <row r="1054" spans="1:22" ht="24" customHeight="1">
      <c r="A1054" s="26"/>
      <c r="B1054" s="15"/>
      <c r="C1054" s="15"/>
      <c r="D1054" s="16">
        <v>1051</v>
      </c>
      <c r="E1054" s="16" t="s">
        <v>1072</v>
      </c>
      <c r="F1054" s="16" t="s">
        <v>24</v>
      </c>
      <c r="G1054" s="17">
        <v>17</v>
      </c>
      <c r="H1054" s="18">
        <v>306</v>
      </c>
      <c r="I1054" s="19">
        <v>18</v>
      </c>
      <c r="J1054" s="19">
        <v>12</v>
      </c>
      <c r="K1054" s="19">
        <v>204</v>
      </c>
      <c r="L1054" s="19">
        <f t="shared" si="154"/>
        <v>612</v>
      </c>
      <c r="M1054" s="21">
        <f t="shared" si="156"/>
        <v>36</v>
      </c>
      <c r="N1054" s="22">
        <f t="shared" si="157"/>
        <v>0</v>
      </c>
      <c r="O1054" s="22">
        <f t="shared" si="158"/>
        <v>36</v>
      </c>
      <c r="P1054" s="20">
        <f t="shared" si="159"/>
        <v>12</v>
      </c>
      <c r="Q1054" s="23">
        <f t="shared" si="161"/>
        <v>204</v>
      </c>
      <c r="R1054" s="20">
        <f t="shared" si="155"/>
        <v>12</v>
      </c>
      <c r="S1054" s="20">
        <f t="shared" si="155"/>
        <v>204</v>
      </c>
      <c r="T1054" s="18">
        <f t="shared" si="160"/>
        <v>7344</v>
      </c>
      <c r="U1054" s="18"/>
      <c r="V1054" s="25"/>
    </row>
    <row r="1055" spans="1:22" ht="24" customHeight="1">
      <c r="A1055" s="26"/>
      <c r="B1055" s="15"/>
      <c r="C1055" s="15"/>
      <c r="D1055" s="16">
        <v>1052</v>
      </c>
      <c r="E1055" s="16" t="s">
        <v>1074</v>
      </c>
      <c r="F1055" s="16" t="s">
        <v>24</v>
      </c>
      <c r="G1055" s="17">
        <v>48</v>
      </c>
      <c r="H1055" s="18">
        <v>9</v>
      </c>
      <c r="I1055" s="19">
        <v>5</v>
      </c>
      <c r="J1055" s="19">
        <v>100</v>
      </c>
      <c r="K1055" s="19"/>
      <c r="L1055" s="19">
        <f t="shared" si="154"/>
        <v>249</v>
      </c>
      <c r="M1055" s="21">
        <f t="shared" si="156"/>
        <v>5.1875</v>
      </c>
      <c r="N1055" s="22">
        <f t="shared" si="157"/>
        <v>9</v>
      </c>
      <c r="O1055" s="22">
        <f t="shared" si="158"/>
        <v>5</v>
      </c>
      <c r="P1055" s="20">
        <f t="shared" si="159"/>
        <v>0</v>
      </c>
      <c r="Q1055" s="23">
        <f t="shared" si="161"/>
        <v>4800</v>
      </c>
      <c r="R1055" s="20">
        <f t="shared" si="155"/>
        <v>100</v>
      </c>
      <c r="S1055" s="20">
        <f t="shared" si="155"/>
        <v>4800</v>
      </c>
      <c r="T1055" s="18">
        <f t="shared" si="160"/>
        <v>24900</v>
      </c>
      <c r="U1055" s="18"/>
      <c r="V1055" s="25"/>
    </row>
    <row r="1056" spans="1:22" ht="24" customHeight="1">
      <c r="A1056" s="26"/>
      <c r="B1056" s="15"/>
      <c r="C1056" s="15"/>
      <c r="D1056" s="16">
        <v>1053</v>
      </c>
      <c r="E1056" s="16" t="s">
        <v>1075</v>
      </c>
      <c r="F1056" s="16" t="s">
        <v>24</v>
      </c>
      <c r="G1056" s="17">
        <v>12</v>
      </c>
      <c r="H1056" s="18">
        <v>7</v>
      </c>
      <c r="I1056" s="19">
        <v>5</v>
      </c>
      <c r="J1056" s="19">
        <v>41</v>
      </c>
      <c r="K1056" s="19">
        <v>492</v>
      </c>
      <c r="L1056" s="19">
        <f t="shared" si="154"/>
        <v>67</v>
      </c>
      <c r="M1056" s="21">
        <f t="shared" si="156"/>
        <v>5.583333333333333</v>
      </c>
      <c r="N1056" s="22">
        <f t="shared" si="157"/>
        <v>6.9999999999999964</v>
      </c>
      <c r="O1056" s="22">
        <f t="shared" si="158"/>
        <v>5</v>
      </c>
      <c r="P1056" s="20">
        <f t="shared" si="159"/>
        <v>41</v>
      </c>
      <c r="Q1056" s="23">
        <f t="shared" si="161"/>
        <v>492</v>
      </c>
      <c r="R1056" s="20">
        <f t="shared" si="155"/>
        <v>41</v>
      </c>
      <c r="S1056" s="20">
        <f t="shared" si="155"/>
        <v>492</v>
      </c>
      <c r="T1056" s="18">
        <f t="shared" si="160"/>
        <v>2747</v>
      </c>
      <c r="U1056" s="18"/>
      <c r="V1056" s="25"/>
    </row>
    <row r="1057" spans="1:22" ht="24" customHeight="1">
      <c r="A1057" s="26"/>
      <c r="B1057" s="15"/>
      <c r="C1057" s="15"/>
      <c r="D1057" s="16">
        <v>1054</v>
      </c>
      <c r="E1057" s="16" t="s">
        <v>1076</v>
      </c>
      <c r="F1057" s="16" t="s">
        <v>24</v>
      </c>
      <c r="G1057" s="17">
        <v>122</v>
      </c>
      <c r="H1057" s="18">
        <v>4</v>
      </c>
      <c r="I1057" s="19">
        <v>5</v>
      </c>
      <c r="J1057" s="19">
        <v>65</v>
      </c>
      <c r="K1057" s="19"/>
      <c r="L1057" s="19">
        <f t="shared" si="154"/>
        <v>614</v>
      </c>
      <c r="M1057" s="21">
        <f t="shared" si="156"/>
        <v>5.0327868852459012</v>
      </c>
      <c r="N1057" s="22">
        <f t="shared" si="157"/>
        <v>3.9999999999999503</v>
      </c>
      <c r="O1057" s="22">
        <f t="shared" si="158"/>
        <v>5</v>
      </c>
      <c r="P1057" s="20">
        <f t="shared" si="159"/>
        <v>0</v>
      </c>
      <c r="Q1057" s="23">
        <f t="shared" si="161"/>
        <v>7930</v>
      </c>
      <c r="R1057" s="20">
        <f t="shared" si="155"/>
        <v>65</v>
      </c>
      <c r="S1057" s="20">
        <f t="shared" si="155"/>
        <v>7930</v>
      </c>
      <c r="T1057" s="18">
        <f t="shared" si="160"/>
        <v>39910</v>
      </c>
      <c r="U1057" s="18"/>
      <c r="V1057" s="25"/>
    </row>
    <row r="1058" spans="1:22" ht="24" customHeight="1">
      <c r="A1058" s="26"/>
      <c r="B1058" s="15"/>
      <c r="C1058" s="15"/>
      <c r="D1058" s="16">
        <v>1055</v>
      </c>
      <c r="E1058" s="16" t="s">
        <v>1077</v>
      </c>
      <c r="F1058" s="16" t="s">
        <v>24</v>
      </c>
      <c r="G1058" s="17">
        <v>1</v>
      </c>
      <c r="H1058" s="18">
        <v>4</v>
      </c>
      <c r="I1058" s="19"/>
      <c r="J1058" s="19">
        <v>400</v>
      </c>
      <c r="K1058" s="19"/>
      <c r="L1058" s="19">
        <f t="shared" si="154"/>
        <v>4</v>
      </c>
      <c r="M1058" s="21">
        <f t="shared" si="156"/>
        <v>4</v>
      </c>
      <c r="N1058" s="22">
        <f t="shared" si="157"/>
        <v>4</v>
      </c>
      <c r="O1058" s="22">
        <f t="shared" si="158"/>
        <v>0</v>
      </c>
      <c r="P1058" s="20">
        <f t="shared" si="159"/>
        <v>0</v>
      </c>
      <c r="Q1058" s="23">
        <f t="shared" si="161"/>
        <v>400</v>
      </c>
      <c r="R1058" s="20">
        <f t="shared" si="155"/>
        <v>400</v>
      </c>
      <c r="S1058" s="20">
        <f t="shared" si="155"/>
        <v>400</v>
      </c>
      <c r="T1058" s="18">
        <f t="shared" si="160"/>
        <v>1600</v>
      </c>
      <c r="U1058" s="18"/>
      <c r="V1058" s="25"/>
    </row>
    <row r="1059" spans="1:22" ht="24" customHeight="1">
      <c r="A1059" s="26"/>
      <c r="B1059" s="15"/>
      <c r="C1059" s="15"/>
      <c r="D1059" s="16">
        <v>1056</v>
      </c>
      <c r="E1059" s="16" t="s">
        <v>1078</v>
      </c>
      <c r="F1059" s="16" t="s">
        <v>24</v>
      </c>
      <c r="G1059" s="17">
        <v>12</v>
      </c>
      <c r="H1059" s="18">
        <v>64</v>
      </c>
      <c r="I1059" s="19">
        <v>5</v>
      </c>
      <c r="J1059" s="19">
        <v>400</v>
      </c>
      <c r="K1059" s="19">
        <v>4800</v>
      </c>
      <c r="L1059" s="19">
        <f t="shared" si="154"/>
        <v>124</v>
      </c>
      <c r="M1059" s="21">
        <f t="shared" si="156"/>
        <v>10.333333333333334</v>
      </c>
      <c r="N1059" s="22">
        <f t="shared" si="157"/>
        <v>4.0000000000000071</v>
      </c>
      <c r="O1059" s="22">
        <f t="shared" si="158"/>
        <v>10</v>
      </c>
      <c r="P1059" s="20">
        <f t="shared" si="159"/>
        <v>400</v>
      </c>
      <c r="Q1059" s="23">
        <f t="shared" si="161"/>
        <v>4800</v>
      </c>
      <c r="R1059" s="20">
        <f t="shared" si="155"/>
        <v>400</v>
      </c>
      <c r="S1059" s="20">
        <f t="shared" si="155"/>
        <v>4800</v>
      </c>
      <c r="T1059" s="18">
        <f t="shared" si="160"/>
        <v>49600</v>
      </c>
      <c r="U1059" s="18"/>
      <c r="V1059" s="25"/>
    </row>
    <row r="1060" spans="1:22" ht="24" customHeight="1">
      <c r="A1060" s="26"/>
      <c r="B1060" s="15"/>
      <c r="C1060" s="15"/>
      <c r="D1060" s="16">
        <v>1057</v>
      </c>
      <c r="E1060" s="16" t="s">
        <v>1079</v>
      </c>
      <c r="F1060" s="16" t="s">
        <v>24</v>
      </c>
      <c r="G1060" s="17">
        <v>12</v>
      </c>
      <c r="H1060" s="18"/>
      <c r="I1060" s="19">
        <v>1</v>
      </c>
      <c r="J1060" s="19">
        <v>170</v>
      </c>
      <c r="K1060" s="19"/>
      <c r="L1060" s="19">
        <f t="shared" si="154"/>
        <v>12</v>
      </c>
      <c r="M1060" s="21">
        <f t="shared" si="156"/>
        <v>1</v>
      </c>
      <c r="N1060" s="22">
        <f t="shared" si="157"/>
        <v>0</v>
      </c>
      <c r="O1060" s="22">
        <f t="shared" si="158"/>
        <v>1</v>
      </c>
      <c r="P1060" s="20">
        <f t="shared" si="159"/>
        <v>0</v>
      </c>
      <c r="Q1060" s="23">
        <f t="shared" si="161"/>
        <v>2040</v>
      </c>
      <c r="R1060" s="20">
        <f t="shared" si="155"/>
        <v>170</v>
      </c>
      <c r="S1060" s="20">
        <f t="shared" si="155"/>
        <v>2040</v>
      </c>
      <c r="T1060" s="18">
        <f t="shared" si="160"/>
        <v>2040</v>
      </c>
      <c r="U1060" s="18"/>
      <c r="V1060" s="25"/>
    </row>
    <row r="1061" spans="1:22" ht="24" customHeight="1">
      <c r="A1061" s="26"/>
      <c r="B1061" s="15"/>
      <c r="C1061" s="15"/>
      <c r="D1061" s="16">
        <v>1058</v>
      </c>
      <c r="E1061" s="16" t="s">
        <v>1080</v>
      </c>
      <c r="F1061" s="16" t="s">
        <v>24</v>
      </c>
      <c r="G1061" s="17">
        <v>1</v>
      </c>
      <c r="H1061" s="18">
        <v>9</v>
      </c>
      <c r="I1061" s="19"/>
      <c r="J1061" s="19">
        <v>200</v>
      </c>
      <c r="K1061" s="19"/>
      <c r="L1061" s="19">
        <f t="shared" si="154"/>
        <v>9</v>
      </c>
      <c r="M1061" s="21">
        <f t="shared" si="156"/>
        <v>9</v>
      </c>
      <c r="N1061" s="22">
        <f t="shared" si="157"/>
        <v>9</v>
      </c>
      <c r="O1061" s="22">
        <f t="shared" si="158"/>
        <v>0</v>
      </c>
      <c r="P1061" s="20">
        <f t="shared" si="159"/>
        <v>0</v>
      </c>
      <c r="Q1061" s="23">
        <f t="shared" si="161"/>
        <v>200</v>
      </c>
      <c r="R1061" s="20">
        <f t="shared" si="155"/>
        <v>200</v>
      </c>
      <c r="S1061" s="20">
        <f t="shared" si="155"/>
        <v>200</v>
      </c>
      <c r="T1061" s="18">
        <f t="shared" si="160"/>
        <v>1800</v>
      </c>
      <c r="U1061" s="18"/>
      <c r="V1061" s="25"/>
    </row>
    <row r="1062" spans="1:22" ht="24" customHeight="1">
      <c r="A1062" s="26"/>
      <c r="B1062" s="15"/>
      <c r="C1062" s="15"/>
      <c r="D1062" s="16">
        <v>1059</v>
      </c>
      <c r="E1062" s="16" t="s">
        <v>1081</v>
      </c>
      <c r="F1062" s="16" t="s">
        <v>24</v>
      </c>
      <c r="G1062" s="17">
        <v>1</v>
      </c>
      <c r="H1062" s="18">
        <v>7</v>
      </c>
      <c r="I1062" s="19"/>
      <c r="J1062" s="19">
        <v>250</v>
      </c>
      <c r="K1062" s="19"/>
      <c r="L1062" s="19">
        <f t="shared" ref="L1062:L1125" si="162">I1062*G1062+H1062</f>
        <v>7</v>
      </c>
      <c r="M1062" s="21">
        <f t="shared" si="156"/>
        <v>7</v>
      </c>
      <c r="N1062" s="22">
        <f t="shared" si="157"/>
        <v>7</v>
      </c>
      <c r="O1062" s="22">
        <f t="shared" si="158"/>
        <v>0</v>
      </c>
      <c r="P1062" s="20">
        <f t="shared" si="159"/>
        <v>0</v>
      </c>
      <c r="Q1062" s="23">
        <f t="shared" si="161"/>
        <v>250</v>
      </c>
      <c r="R1062" s="20">
        <f t="shared" si="155"/>
        <v>250</v>
      </c>
      <c r="S1062" s="20">
        <f t="shared" si="155"/>
        <v>250</v>
      </c>
      <c r="T1062" s="18">
        <f t="shared" si="160"/>
        <v>1750</v>
      </c>
      <c r="U1062" s="18"/>
      <c r="V1062" s="25"/>
    </row>
    <row r="1063" spans="1:22" ht="24" customHeight="1">
      <c r="A1063" s="26"/>
      <c r="B1063" s="15"/>
      <c r="C1063" s="15"/>
      <c r="D1063" s="16">
        <v>1060</v>
      </c>
      <c r="E1063" s="43" t="s">
        <v>1082</v>
      </c>
      <c r="F1063" s="16" t="s">
        <v>24</v>
      </c>
      <c r="G1063" s="17">
        <v>1</v>
      </c>
      <c r="H1063" s="18">
        <v>1</v>
      </c>
      <c r="I1063" s="19"/>
      <c r="J1063" s="19">
        <v>250</v>
      </c>
      <c r="K1063" s="19"/>
      <c r="L1063" s="19">
        <f t="shared" si="162"/>
        <v>1</v>
      </c>
      <c r="M1063" s="21">
        <f t="shared" si="156"/>
        <v>1</v>
      </c>
      <c r="N1063" s="22">
        <f t="shared" si="157"/>
        <v>1</v>
      </c>
      <c r="O1063" s="22">
        <f t="shared" si="158"/>
        <v>0</v>
      </c>
      <c r="P1063" s="20">
        <f t="shared" si="159"/>
        <v>0</v>
      </c>
      <c r="Q1063" s="23">
        <f t="shared" si="161"/>
        <v>250</v>
      </c>
      <c r="R1063" s="20">
        <f t="shared" si="155"/>
        <v>250</v>
      </c>
      <c r="S1063" s="20">
        <f t="shared" si="155"/>
        <v>250</v>
      </c>
      <c r="T1063" s="18">
        <f t="shared" si="160"/>
        <v>250</v>
      </c>
      <c r="U1063" s="18"/>
      <c r="V1063" s="25"/>
    </row>
    <row r="1064" spans="1:22" ht="24" customHeight="1">
      <c r="A1064" s="26"/>
      <c r="B1064" s="15"/>
      <c r="C1064" s="15"/>
      <c r="D1064" s="16">
        <v>1061</v>
      </c>
      <c r="E1064" s="16" t="s">
        <v>1160</v>
      </c>
      <c r="F1064" s="16" t="s">
        <v>24</v>
      </c>
      <c r="G1064" s="17">
        <v>1</v>
      </c>
      <c r="H1064" s="18">
        <v>2</v>
      </c>
      <c r="I1064" s="19"/>
      <c r="J1064" s="19">
        <v>400</v>
      </c>
      <c r="K1064" s="19"/>
      <c r="L1064" s="19">
        <f t="shared" si="162"/>
        <v>2</v>
      </c>
      <c r="M1064" s="21">
        <f t="shared" si="156"/>
        <v>2</v>
      </c>
      <c r="N1064" s="22">
        <f t="shared" si="157"/>
        <v>2</v>
      </c>
      <c r="O1064" s="22">
        <f t="shared" si="158"/>
        <v>0</v>
      </c>
      <c r="P1064" s="20">
        <f t="shared" si="159"/>
        <v>0</v>
      </c>
      <c r="Q1064" s="23">
        <f t="shared" si="161"/>
        <v>400</v>
      </c>
      <c r="R1064" s="20">
        <f t="shared" si="155"/>
        <v>400</v>
      </c>
      <c r="S1064" s="20">
        <f t="shared" si="155"/>
        <v>400</v>
      </c>
      <c r="T1064" s="18">
        <f t="shared" si="160"/>
        <v>800</v>
      </c>
      <c r="U1064" s="18"/>
      <c r="V1064" s="25"/>
    </row>
    <row r="1065" spans="1:22" ht="24" customHeight="1">
      <c r="A1065" s="26"/>
      <c r="B1065" s="15"/>
      <c r="C1065" s="15"/>
      <c r="D1065" s="16">
        <v>1062</v>
      </c>
      <c r="E1065" s="16" t="s">
        <v>1083</v>
      </c>
      <c r="F1065" s="16" t="s">
        <v>24</v>
      </c>
      <c r="G1065" s="17">
        <v>4</v>
      </c>
      <c r="H1065" s="18"/>
      <c r="I1065" s="19">
        <v>2</v>
      </c>
      <c r="J1065" s="19">
        <v>250</v>
      </c>
      <c r="K1065" s="19"/>
      <c r="L1065" s="19">
        <f t="shared" si="162"/>
        <v>8</v>
      </c>
      <c r="M1065" s="21">
        <f t="shared" si="156"/>
        <v>2</v>
      </c>
      <c r="N1065" s="22">
        <f t="shared" si="157"/>
        <v>0</v>
      </c>
      <c r="O1065" s="22">
        <f t="shared" si="158"/>
        <v>2</v>
      </c>
      <c r="P1065" s="20">
        <f t="shared" si="159"/>
        <v>0</v>
      </c>
      <c r="Q1065" s="23">
        <f t="shared" si="161"/>
        <v>1000</v>
      </c>
      <c r="R1065" s="20">
        <f t="shared" si="155"/>
        <v>250</v>
      </c>
      <c r="S1065" s="20">
        <f t="shared" si="155"/>
        <v>1000</v>
      </c>
      <c r="T1065" s="18">
        <f t="shared" si="160"/>
        <v>2000</v>
      </c>
      <c r="U1065" s="18"/>
      <c r="V1065" s="25"/>
    </row>
    <row r="1066" spans="1:22" ht="24" customHeight="1">
      <c r="A1066" s="26"/>
      <c r="B1066" s="15"/>
      <c r="C1066" s="15"/>
      <c r="D1066" s="16">
        <v>1063</v>
      </c>
      <c r="E1066" s="16" t="s">
        <v>1159</v>
      </c>
      <c r="F1066" s="16" t="s">
        <v>24</v>
      </c>
      <c r="G1066" s="17">
        <v>1</v>
      </c>
      <c r="H1066" s="18">
        <v>29</v>
      </c>
      <c r="I1066" s="19"/>
      <c r="J1066" s="19">
        <v>350</v>
      </c>
      <c r="K1066" s="19"/>
      <c r="L1066" s="19">
        <f t="shared" si="162"/>
        <v>29</v>
      </c>
      <c r="M1066" s="21">
        <f t="shared" si="156"/>
        <v>29</v>
      </c>
      <c r="N1066" s="22">
        <f t="shared" si="157"/>
        <v>29</v>
      </c>
      <c r="O1066" s="22">
        <f t="shared" si="158"/>
        <v>0</v>
      </c>
      <c r="P1066" s="20">
        <f t="shared" si="159"/>
        <v>0</v>
      </c>
      <c r="Q1066" s="23">
        <f t="shared" si="161"/>
        <v>350</v>
      </c>
      <c r="R1066" s="20">
        <f t="shared" si="155"/>
        <v>350</v>
      </c>
      <c r="S1066" s="20">
        <f t="shared" si="155"/>
        <v>350</v>
      </c>
      <c r="T1066" s="18">
        <f t="shared" si="160"/>
        <v>10150</v>
      </c>
      <c r="U1066" s="18"/>
      <c r="V1066" s="25"/>
    </row>
    <row r="1067" spans="1:22" ht="24" customHeight="1">
      <c r="A1067" s="26"/>
      <c r="B1067" s="15"/>
      <c r="C1067" s="15"/>
      <c r="D1067" s="16">
        <v>1064</v>
      </c>
      <c r="E1067" s="16" t="s">
        <v>1084</v>
      </c>
      <c r="F1067" s="16" t="s">
        <v>24</v>
      </c>
      <c r="G1067" s="17">
        <v>1</v>
      </c>
      <c r="H1067" s="18">
        <v>3</v>
      </c>
      <c r="I1067" s="19"/>
      <c r="J1067" s="19">
        <v>200</v>
      </c>
      <c r="K1067" s="19"/>
      <c r="L1067" s="19">
        <f t="shared" si="162"/>
        <v>3</v>
      </c>
      <c r="M1067" s="21">
        <f t="shared" si="156"/>
        <v>3</v>
      </c>
      <c r="N1067" s="22">
        <f t="shared" si="157"/>
        <v>3</v>
      </c>
      <c r="O1067" s="22">
        <f t="shared" si="158"/>
        <v>0</v>
      </c>
      <c r="P1067" s="20">
        <f t="shared" si="159"/>
        <v>0</v>
      </c>
      <c r="Q1067" s="23">
        <f t="shared" si="161"/>
        <v>200</v>
      </c>
      <c r="R1067" s="20">
        <f t="shared" si="155"/>
        <v>200</v>
      </c>
      <c r="S1067" s="20">
        <f t="shared" si="155"/>
        <v>200</v>
      </c>
      <c r="T1067" s="18">
        <f t="shared" si="160"/>
        <v>600</v>
      </c>
      <c r="U1067" s="18"/>
      <c r="V1067" s="25"/>
    </row>
    <row r="1068" spans="1:22" ht="24" customHeight="1">
      <c r="A1068" s="26"/>
      <c r="B1068" s="15"/>
      <c r="C1068" s="15"/>
      <c r="D1068" s="16">
        <v>1065</v>
      </c>
      <c r="E1068" s="16" t="s">
        <v>1085</v>
      </c>
      <c r="F1068" s="16" t="s">
        <v>24</v>
      </c>
      <c r="G1068" s="17">
        <v>1</v>
      </c>
      <c r="H1068" s="18">
        <v>7</v>
      </c>
      <c r="I1068" s="19"/>
      <c r="J1068" s="19">
        <v>300</v>
      </c>
      <c r="K1068" s="19"/>
      <c r="L1068" s="19">
        <f t="shared" si="162"/>
        <v>7</v>
      </c>
      <c r="M1068" s="21">
        <f t="shared" si="156"/>
        <v>7</v>
      </c>
      <c r="N1068" s="22">
        <f t="shared" si="157"/>
        <v>7</v>
      </c>
      <c r="O1068" s="22">
        <f t="shared" si="158"/>
        <v>0</v>
      </c>
      <c r="P1068" s="20">
        <f t="shared" si="159"/>
        <v>0</v>
      </c>
      <c r="Q1068" s="23">
        <f t="shared" si="161"/>
        <v>300</v>
      </c>
      <c r="R1068" s="20">
        <f t="shared" si="155"/>
        <v>300</v>
      </c>
      <c r="S1068" s="20">
        <f t="shared" si="155"/>
        <v>300</v>
      </c>
      <c r="T1068" s="18">
        <f t="shared" si="160"/>
        <v>2100</v>
      </c>
      <c r="U1068" s="18"/>
      <c r="V1068" s="25"/>
    </row>
    <row r="1069" spans="1:22" ht="24" customHeight="1">
      <c r="A1069" s="26"/>
      <c r="B1069" s="15"/>
      <c r="C1069" s="15"/>
      <c r="D1069" s="16">
        <v>1066</v>
      </c>
      <c r="E1069" s="16" t="s">
        <v>1086</v>
      </c>
      <c r="F1069" s="16" t="s">
        <v>24</v>
      </c>
      <c r="G1069" s="17">
        <v>1</v>
      </c>
      <c r="H1069" s="18">
        <v>6</v>
      </c>
      <c r="I1069" s="19"/>
      <c r="J1069" s="19">
        <v>200</v>
      </c>
      <c r="K1069" s="19"/>
      <c r="L1069" s="19">
        <f t="shared" si="162"/>
        <v>6</v>
      </c>
      <c r="M1069" s="21">
        <f t="shared" si="156"/>
        <v>6</v>
      </c>
      <c r="N1069" s="22">
        <f t="shared" si="157"/>
        <v>6</v>
      </c>
      <c r="O1069" s="22">
        <f t="shared" si="158"/>
        <v>0</v>
      </c>
      <c r="P1069" s="20">
        <f t="shared" si="159"/>
        <v>0</v>
      </c>
      <c r="Q1069" s="23">
        <f t="shared" si="161"/>
        <v>200</v>
      </c>
      <c r="R1069" s="20">
        <f t="shared" si="155"/>
        <v>200</v>
      </c>
      <c r="S1069" s="20">
        <f t="shared" si="155"/>
        <v>200</v>
      </c>
      <c r="T1069" s="18">
        <f t="shared" si="160"/>
        <v>1200</v>
      </c>
      <c r="U1069" s="18"/>
      <c r="V1069" s="25"/>
    </row>
    <row r="1070" spans="1:22" ht="24" customHeight="1">
      <c r="A1070" s="26"/>
      <c r="B1070" s="15"/>
      <c r="C1070" s="15"/>
      <c r="D1070" s="16">
        <v>1067</v>
      </c>
      <c r="E1070" s="16" t="s">
        <v>1084</v>
      </c>
      <c r="F1070" s="16" t="s">
        <v>24</v>
      </c>
      <c r="G1070" s="17">
        <v>1</v>
      </c>
      <c r="H1070" s="18">
        <v>3</v>
      </c>
      <c r="I1070" s="19"/>
      <c r="J1070" s="19">
        <v>200</v>
      </c>
      <c r="K1070" s="19"/>
      <c r="L1070" s="19">
        <f t="shared" si="162"/>
        <v>3</v>
      </c>
      <c r="M1070" s="21">
        <f t="shared" si="156"/>
        <v>3</v>
      </c>
      <c r="N1070" s="22">
        <f t="shared" si="157"/>
        <v>3</v>
      </c>
      <c r="O1070" s="22">
        <f t="shared" si="158"/>
        <v>0</v>
      </c>
      <c r="P1070" s="20">
        <f t="shared" si="159"/>
        <v>0</v>
      </c>
      <c r="Q1070" s="23">
        <f t="shared" si="161"/>
        <v>200</v>
      </c>
      <c r="R1070" s="20">
        <f t="shared" si="155"/>
        <v>200</v>
      </c>
      <c r="S1070" s="20">
        <f t="shared" si="155"/>
        <v>200</v>
      </c>
      <c r="T1070" s="18">
        <f t="shared" si="160"/>
        <v>600</v>
      </c>
      <c r="U1070" s="18"/>
      <c r="V1070" s="25"/>
    </row>
    <row r="1071" spans="1:22" ht="24" customHeight="1">
      <c r="A1071" s="26"/>
      <c r="B1071" s="15"/>
      <c r="C1071" s="15"/>
      <c r="D1071" s="16">
        <v>1068</v>
      </c>
      <c r="E1071" s="16" t="s">
        <v>1087</v>
      </c>
      <c r="F1071" s="16" t="s">
        <v>24</v>
      </c>
      <c r="G1071" s="17">
        <v>1</v>
      </c>
      <c r="H1071" s="18">
        <v>32</v>
      </c>
      <c r="I1071" s="19"/>
      <c r="J1071" s="19">
        <v>300</v>
      </c>
      <c r="K1071" s="19"/>
      <c r="L1071" s="19">
        <f t="shared" si="162"/>
        <v>32</v>
      </c>
      <c r="M1071" s="21">
        <f t="shared" si="156"/>
        <v>32</v>
      </c>
      <c r="N1071" s="22">
        <f t="shared" si="157"/>
        <v>32</v>
      </c>
      <c r="O1071" s="22">
        <f t="shared" si="158"/>
        <v>0</v>
      </c>
      <c r="P1071" s="20">
        <f t="shared" si="159"/>
        <v>0</v>
      </c>
      <c r="Q1071" s="23">
        <f t="shared" si="161"/>
        <v>300</v>
      </c>
      <c r="R1071" s="20">
        <f t="shared" ref="R1071:S1134" si="163">IFERROR(IF(J1071&gt;0,J1071,IF(J1071&lt;0,P1071,IF(J1071=0,P1071))),"")</f>
        <v>300</v>
      </c>
      <c r="S1071" s="20">
        <f t="shared" si="163"/>
        <v>300</v>
      </c>
      <c r="T1071" s="18">
        <f t="shared" si="160"/>
        <v>9600</v>
      </c>
      <c r="U1071" s="18"/>
      <c r="V1071" s="25"/>
    </row>
    <row r="1072" spans="1:22" ht="24" customHeight="1">
      <c r="A1072" s="26"/>
      <c r="B1072" s="15"/>
      <c r="C1072" s="15"/>
      <c r="D1072" s="16">
        <v>1069</v>
      </c>
      <c r="E1072" s="16" t="s">
        <v>1088</v>
      </c>
      <c r="F1072" s="16" t="s">
        <v>24</v>
      </c>
      <c r="G1072" s="17">
        <v>1</v>
      </c>
      <c r="H1072" s="18">
        <v>32</v>
      </c>
      <c r="I1072" s="19"/>
      <c r="J1072" s="19">
        <v>250</v>
      </c>
      <c r="K1072" s="19"/>
      <c r="L1072" s="19">
        <f t="shared" si="162"/>
        <v>32</v>
      </c>
      <c r="M1072" s="21">
        <f t="shared" si="156"/>
        <v>32</v>
      </c>
      <c r="N1072" s="22">
        <f t="shared" si="157"/>
        <v>32</v>
      </c>
      <c r="O1072" s="22">
        <f t="shared" si="158"/>
        <v>0</v>
      </c>
      <c r="P1072" s="20">
        <f t="shared" si="159"/>
        <v>0</v>
      </c>
      <c r="Q1072" s="23">
        <f t="shared" si="161"/>
        <v>250</v>
      </c>
      <c r="R1072" s="20">
        <f t="shared" si="163"/>
        <v>250</v>
      </c>
      <c r="S1072" s="20">
        <f t="shared" si="163"/>
        <v>250</v>
      </c>
      <c r="T1072" s="18">
        <f t="shared" si="160"/>
        <v>8000</v>
      </c>
      <c r="U1072" s="18"/>
      <c r="V1072" s="25"/>
    </row>
    <row r="1073" spans="1:22" ht="24" customHeight="1">
      <c r="A1073" s="26"/>
      <c r="B1073" s="15"/>
      <c r="C1073" s="15"/>
      <c r="D1073" s="16">
        <v>1070</v>
      </c>
      <c r="E1073" s="16" t="s">
        <v>1089</v>
      </c>
      <c r="F1073" s="16" t="s">
        <v>24</v>
      </c>
      <c r="G1073" s="17">
        <v>1</v>
      </c>
      <c r="H1073" s="18">
        <v>5</v>
      </c>
      <c r="I1073" s="19"/>
      <c r="J1073" s="19">
        <v>270</v>
      </c>
      <c r="K1073" s="19"/>
      <c r="L1073" s="19">
        <f t="shared" si="162"/>
        <v>5</v>
      </c>
      <c r="M1073" s="21">
        <f t="shared" si="156"/>
        <v>5</v>
      </c>
      <c r="N1073" s="22">
        <f t="shared" si="157"/>
        <v>5</v>
      </c>
      <c r="O1073" s="22">
        <f t="shared" si="158"/>
        <v>0</v>
      </c>
      <c r="P1073" s="20">
        <f t="shared" si="159"/>
        <v>0</v>
      </c>
      <c r="Q1073" s="23">
        <f t="shared" si="161"/>
        <v>270</v>
      </c>
      <c r="R1073" s="20">
        <f t="shared" si="163"/>
        <v>270</v>
      </c>
      <c r="S1073" s="20">
        <f t="shared" si="163"/>
        <v>270</v>
      </c>
      <c r="T1073" s="18">
        <f t="shared" si="160"/>
        <v>1350</v>
      </c>
      <c r="U1073" s="18"/>
      <c r="V1073" s="25"/>
    </row>
    <row r="1074" spans="1:22" ht="24" customHeight="1">
      <c r="A1074" s="26"/>
      <c r="B1074" s="15"/>
      <c r="C1074" s="15"/>
      <c r="D1074" s="16">
        <v>1071</v>
      </c>
      <c r="E1074" s="16" t="s">
        <v>1090</v>
      </c>
      <c r="F1074" s="16" t="s">
        <v>24</v>
      </c>
      <c r="G1074" s="17">
        <v>1</v>
      </c>
      <c r="H1074" s="18">
        <v>21</v>
      </c>
      <c r="I1074" s="19"/>
      <c r="J1074" s="19">
        <v>250</v>
      </c>
      <c r="K1074" s="19"/>
      <c r="L1074" s="19">
        <f t="shared" si="162"/>
        <v>21</v>
      </c>
      <c r="M1074" s="21">
        <f t="shared" si="156"/>
        <v>21</v>
      </c>
      <c r="N1074" s="22">
        <f t="shared" si="157"/>
        <v>21</v>
      </c>
      <c r="O1074" s="22">
        <f t="shared" si="158"/>
        <v>0</v>
      </c>
      <c r="P1074" s="20">
        <f t="shared" si="159"/>
        <v>0</v>
      </c>
      <c r="Q1074" s="23">
        <f t="shared" si="161"/>
        <v>250</v>
      </c>
      <c r="R1074" s="20">
        <f t="shared" si="163"/>
        <v>250</v>
      </c>
      <c r="S1074" s="20">
        <f t="shared" si="163"/>
        <v>250</v>
      </c>
      <c r="T1074" s="18">
        <f t="shared" si="160"/>
        <v>5250</v>
      </c>
      <c r="U1074" s="18"/>
      <c r="V1074" s="25"/>
    </row>
    <row r="1075" spans="1:22" ht="24" customHeight="1">
      <c r="A1075" s="26"/>
      <c r="B1075" s="15"/>
      <c r="C1075" s="15"/>
      <c r="D1075" s="16">
        <v>1072</v>
      </c>
      <c r="E1075" s="16" t="s">
        <v>1091</v>
      </c>
      <c r="F1075" s="16" t="s">
        <v>24</v>
      </c>
      <c r="G1075" s="17">
        <v>1</v>
      </c>
      <c r="H1075" s="18">
        <v>29</v>
      </c>
      <c r="I1075" s="19"/>
      <c r="J1075" s="19">
        <v>250</v>
      </c>
      <c r="K1075" s="19"/>
      <c r="L1075" s="19">
        <f t="shared" si="162"/>
        <v>29</v>
      </c>
      <c r="M1075" s="21">
        <f t="shared" si="156"/>
        <v>29</v>
      </c>
      <c r="N1075" s="22">
        <f t="shared" si="157"/>
        <v>29</v>
      </c>
      <c r="O1075" s="22">
        <f t="shared" si="158"/>
        <v>0</v>
      </c>
      <c r="P1075" s="20">
        <f t="shared" si="159"/>
        <v>0</v>
      </c>
      <c r="Q1075" s="23">
        <f t="shared" si="161"/>
        <v>250</v>
      </c>
      <c r="R1075" s="20">
        <f t="shared" si="163"/>
        <v>250</v>
      </c>
      <c r="S1075" s="20">
        <f t="shared" si="163"/>
        <v>250</v>
      </c>
      <c r="T1075" s="18">
        <f t="shared" si="160"/>
        <v>7250</v>
      </c>
      <c r="U1075" s="18"/>
      <c r="V1075" s="25"/>
    </row>
    <row r="1076" spans="1:22" ht="24" customHeight="1">
      <c r="A1076" s="26"/>
      <c r="B1076" s="15"/>
      <c r="C1076" s="15"/>
      <c r="D1076" s="16">
        <v>1073</v>
      </c>
      <c r="E1076" s="16" t="s">
        <v>1092</v>
      </c>
      <c r="F1076" s="16" t="s">
        <v>24</v>
      </c>
      <c r="G1076" s="17">
        <v>1</v>
      </c>
      <c r="H1076" s="18">
        <v>15</v>
      </c>
      <c r="I1076" s="19"/>
      <c r="J1076" s="19">
        <v>250</v>
      </c>
      <c r="K1076" s="19"/>
      <c r="L1076" s="19">
        <f t="shared" si="162"/>
        <v>15</v>
      </c>
      <c r="M1076" s="21">
        <f t="shared" si="156"/>
        <v>15</v>
      </c>
      <c r="N1076" s="22">
        <f t="shared" si="157"/>
        <v>15</v>
      </c>
      <c r="O1076" s="22">
        <f t="shared" si="158"/>
        <v>0</v>
      </c>
      <c r="P1076" s="20">
        <f t="shared" si="159"/>
        <v>0</v>
      </c>
      <c r="Q1076" s="23">
        <f t="shared" si="161"/>
        <v>250</v>
      </c>
      <c r="R1076" s="20">
        <f t="shared" si="163"/>
        <v>250</v>
      </c>
      <c r="S1076" s="20">
        <f t="shared" si="163"/>
        <v>250</v>
      </c>
      <c r="T1076" s="18">
        <f t="shared" si="160"/>
        <v>3750</v>
      </c>
      <c r="U1076" s="18"/>
      <c r="V1076" s="25"/>
    </row>
    <row r="1077" spans="1:22" ht="24" customHeight="1">
      <c r="A1077" s="26"/>
      <c r="B1077" s="15"/>
      <c r="C1077" s="15"/>
      <c r="D1077" s="16">
        <v>1074</v>
      </c>
      <c r="E1077" s="16" t="s">
        <v>1093</v>
      </c>
      <c r="F1077" s="16" t="s">
        <v>24</v>
      </c>
      <c r="G1077" s="17">
        <v>1</v>
      </c>
      <c r="H1077" s="18">
        <v>7</v>
      </c>
      <c r="I1077" s="19"/>
      <c r="J1077" s="19">
        <v>450</v>
      </c>
      <c r="K1077" s="19"/>
      <c r="L1077" s="19">
        <f t="shared" si="162"/>
        <v>7</v>
      </c>
      <c r="M1077" s="21">
        <f t="shared" si="156"/>
        <v>7</v>
      </c>
      <c r="N1077" s="22">
        <f t="shared" si="157"/>
        <v>7</v>
      </c>
      <c r="O1077" s="22">
        <f t="shared" si="158"/>
        <v>0</v>
      </c>
      <c r="P1077" s="20">
        <f t="shared" si="159"/>
        <v>0</v>
      </c>
      <c r="Q1077" s="23">
        <f t="shared" si="161"/>
        <v>450</v>
      </c>
      <c r="R1077" s="20">
        <f t="shared" si="163"/>
        <v>450</v>
      </c>
      <c r="S1077" s="20">
        <f t="shared" si="163"/>
        <v>450</v>
      </c>
      <c r="T1077" s="18">
        <f t="shared" si="160"/>
        <v>3150</v>
      </c>
      <c r="U1077" s="18"/>
      <c r="V1077" s="25"/>
    </row>
    <row r="1078" spans="1:22" ht="24" customHeight="1">
      <c r="A1078" s="26"/>
      <c r="B1078" s="15"/>
      <c r="C1078" s="15"/>
      <c r="D1078" s="16">
        <v>1075</v>
      </c>
      <c r="E1078" s="16" t="s">
        <v>1094</v>
      </c>
      <c r="F1078" s="16" t="s">
        <v>24</v>
      </c>
      <c r="G1078" s="17">
        <v>12</v>
      </c>
      <c r="H1078" s="18">
        <v>11</v>
      </c>
      <c r="I1078" s="19">
        <v>2</v>
      </c>
      <c r="J1078" s="19">
        <v>170</v>
      </c>
      <c r="K1078" s="19"/>
      <c r="L1078" s="19">
        <f t="shared" si="162"/>
        <v>35</v>
      </c>
      <c r="M1078" s="21">
        <f t="shared" si="156"/>
        <v>2.9166666666666665</v>
      </c>
      <c r="N1078" s="22">
        <f t="shared" si="157"/>
        <v>10.999999999999998</v>
      </c>
      <c r="O1078" s="22">
        <f t="shared" si="158"/>
        <v>2</v>
      </c>
      <c r="P1078" s="20">
        <f t="shared" si="159"/>
        <v>0</v>
      </c>
      <c r="Q1078" s="23">
        <f t="shared" si="161"/>
        <v>2040</v>
      </c>
      <c r="R1078" s="20">
        <f t="shared" si="163"/>
        <v>170</v>
      </c>
      <c r="S1078" s="20">
        <f t="shared" si="163"/>
        <v>2040</v>
      </c>
      <c r="T1078" s="18">
        <f t="shared" si="160"/>
        <v>5950</v>
      </c>
      <c r="U1078" s="18"/>
      <c r="V1078" s="25"/>
    </row>
    <row r="1079" spans="1:22" ht="24" customHeight="1">
      <c r="A1079" s="26"/>
      <c r="B1079" s="15"/>
      <c r="C1079" s="15"/>
      <c r="D1079" s="16">
        <v>1076</v>
      </c>
      <c r="E1079" s="16" t="s">
        <v>1162</v>
      </c>
      <c r="F1079" s="16" t="s">
        <v>24</v>
      </c>
      <c r="G1079" s="17">
        <v>1</v>
      </c>
      <c r="H1079" s="18">
        <v>31</v>
      </c>
      <c r="I1079" s="19"/>
      <c r="J1079" s="19">
        <v>134</v>
      </c>
      <c r="K1079" s="19"/>
      <c r="L1079" s="19">
        <f t="shared" si="162"/>
        <v>31</v>
      </c>
      <c r="M1079" s="21">
        <f t="shared" si="156"/>
        <v>31</v>
      </c>
      <c r="N1079" s="22">
        <f t="shared" si="157"/>
        <v>31</v>
      </c>
      <c r="O1079" s="22">
        <f t="shared" si="158"/>
        <v>0</v>
      </c>
      <c r="P1079" s="20">
        <f t="shared" si="159"/>
        <v>0</v>
      </c>
      <c r="Q1079" s="23">
        <f t="shared" si="161"/>
        <v>134</v>
      </c>
      <c r="R1079" s="20">
        <f t="shared" si="163"/>
        <v>134</v>
      </c>
      <c r="S1079" s="20">
        <f t="shared" si="163"/>
        <v>134</v>
      </c>
      <c r="T1079" s="18">
        <f t="shared" si="160"/>
        <v>4154</v>
      </c>
      <c r="U1079" s="18"/>
      <c r="V1079" s="25"/>
    </row>
    <row r="1080" spans="1:22" ht="24" customHeight="1">
      <c r="A1080" s="26"/>
      <c r="B1080" s="15"/>
      <c r="C1080" s="15"/>
      <c r="D1080" s="16">
        <v>1077</v>
      </c>
      <c r="E1080" s="16" t="s">
        <v>1095</v>
      </c>
      <c r="F1080" s="16" t="s">
        <v>24</v>
      </c>
      <c r="G1080" s="17">
        <v>1</v>
      </c>
      <c r="H1080" s="18">
        <v>3</v>
      </c>
      <c r="I1080" s="19"/>
      <c r="J1080" s="19">
        <v>155</v>
      </c>
      <c r="K1080" s="19"/>
      <c r="L1080" s="19">
        <f t="shared" si="162"/>
        <v>3</v>
      </c>
      <c r="M1080" s="21">
        <f t="shared" si="156"/>
        <v>3</v>
      </c>
      <c r="N1080" s="22">
        <f t="shared" si="157"/>
        <v>3</v>
      </c>
      <c r="O1080" s="22">
        <f t="shared" si="158"/>
        <v>0</v>
      </c>
      <c r="P1080" s="20">
        <f t="shared" si="159"/>
        <v>0</v>
      </c>
      <c r="Q1080" s="23">
        <f t="shared" si="161"/>
        <v>155</v>
      </c>
      <c r="R1080" s="20">
        <f t="shared" si="163"/>
        <v>155</v>
      </c>
      <c r="S1080" s="20">
        <f t="shared" si="163"/>
        <v>155</v>
      </c>
      <c r="T1080" s="18">
        <f t="shared" si="160"/>
        <v>465</v>
      </c>
      <c r="U1080" s="18"/>
      <c r="V1080" s="25"/>
    </row>
    <row r="1081" spans="1:22" ht="24" customHeight="1">
      <c r="A1081" s="26"/>
      <c r="B1081" s="15"/>
      <c r="C1081" s="15"/>
      <c r="D1081" s="16">
        <v>1078</v>
      </c>
      <c r="E1081" s="16" t="s">
        <v>1096</v>
      </c>
      <c r="F1081" s="16" t="s">
        <v>24</v>
      </c>
      <c r="G1081" s="17">
        <v>1</v>
      </c>
      <c r="H1081" s="18">
        <v>6</v>
      </c>
      <c r="I1081" s="19"/>
      <c r="J1081" s="19">
        <v>250</v>
      </c>
      <c r="K1081" s="19"/>
      <c r="L1081" s="19">
        <f t="shared" si="162"/>
        <v>6</v>
      </c>
      <c r="M1081" s="21">
        <f t="shared" si="156"/>
        <v>6</v>
      </c>
      <c r="N1081" s="22">
        <f t="shared" si="157"/>
        <v>6</v>
      </c>
      <c r="O1081" s="22">
        <f t="shared" si="158"/>
        <v>0</v>
      </c>
      <c r="P1081" s="20">
        <f t="shared" si="159"/>
        <v>0</v>
      </c>
      <c r="Q1081" s="23">
        <f t="shared" si="161"/>
        <v>250</v>
      </c>
      <c r="R1081" s="20">
        <f t="shared" si="163"/>
        <v>250</v>
      </c>
      <c r="S1081" s="20">
        <f t="shared" si="163"/>
        <v>250</v>
      </c>
      <c r="T1081" s="18">
        <f t="shared" si="160"/>
        <v>1500</v>
      </c>
      <c r="U1081" s="18"/>
      <c r="V1081" s="25"/>
    </row>
    <row r="1082" spans="1:22" ht="24" customHeight="1">
      <c r="A1082" s="26"/>
      <c r="B1082" s="15"/>
      <c r="C1082" s="15"/>
      <c r="D1082" s="16">
        <v>1079</v>
      </c>
      <c r="E1082" s="16" t="s">
        <v>1097</v>
      </c>
      <c r="F1082" s="16" t="s">
        <v>24</v>
      </c>
      <c r="G1082" s="17">
        <v>1</v>
      </c>
      <c r="H1082" s="18">
        <v>23</v>
      </c>
      <c r="I1082" s="19"/>
      <c r="J1082" s="19">
        <v>250</v>
      </c>
      <c r="K1082" s="19"/>
      <c r="L1082" s="19">
        <f t="shared" si="162"/>
        <v>23</v>
      </c>
      <c r="M1082" s="21">
        <f t="shared" si="156"/>
        <v>23</v>
      </c>
      <c r="N1082" s="22">
        <f t="shared" si="157"/>
        <v>23</v>
      </c>
      <c r="O1082" s="22">
        <f t="shared" si="158"/>
        <v>0</v>
      </c>
      <c r="P1082" s="20">
        <f t="shared" si="159"/>
        <v>0</v>
      </c>
      <c r="Q1082" s="23">
        <f t="shared" si="161"/>
        <v>250</v>
      </c>
      <c r="R1082" s="20">
        <f t="shared" si="163"/>
        <v>250</v>
      </c>
      <c r="S1082" s="20">
        <f t="shared" si="163"/>
        <v>250</v>
      </c>
      <c r="T1082" s="18">
        <f t="shared" si="160"/>
        <v>5750</v>
      </c>
      <c r="U1082" s="18"/>
      <c r="V1082" s="25"/>
    </row>
    <row r="1083" spans="1:22" ht="24" customHeight="1">
      <c r="A1083" s="26"/>
      <c r="B1083" s="15"/>
      <c r="C1083" s="15"/>
      <c r="D1083" s="16">
        <v>1080</v>
      </c>
      <c r="E1083" s="16" t="s">
        <v>1098</v>
      </c>
      <c r="F1083" s="16" t="s">
        <v>24</v>
      </c>
      <c r="G1083" s="17">
        <v>35</v>
      </c>
      <c r="H1083" s="18">
        <v>70</v>
      </c>
      <c r="I1083" s="19">
        <v>2</v>
      </c>
      <c r="J1083" s="19">
        <v>20</v>
      </c>
      <c r="K1083" s="19">
        <v>700</v>
      </c>
      <c r="L1083" s="19">
        <f t="shared" si="162"/>
        <v>140</v>
      </c>
      <c r="M1083" s="21">
        <f t="shared" si="156"/>
        <v>4</v>
      </c>
      <c r="N1083" s="22">
        <f t="shared" si="157"/>
        <v>0</v>
      </c>
      <c r="O1083" s="22">
        <f t="shared" si="158"/>
        <v>4</v>
      </c>
      <c r="P1083" s="20">
        <f t="shared" si="159"/>
        <v>20</v>
      </c>
      <c r="Q1083" s="23">
        <f t="shared" si="161"/>
        <v>700</v>
      </c>
      <c r="R1083" s="20">
        <f t="shared" si="163"/>
        <v>20</v>
      </c>
      <c r="S1083" s="20">
        <f t="shared" si="163"/>
        <v>700</v>
      </c>
      <c r="T1083" s="18">
        <f t="shared" si="160"/>
        <v>2800</v>
      </c>
      <c r="U1083" s="18"/>
      <c r="V1083" s="25"/>
    </row>
    <row r="1084" spans="1:22" ht="24" customHeight="1">
      <c r="A1084" s="26"/>
      <c r="B1084" s="15"/>
      <c r="C1084" s="15"/>
      <c r="D1084" s="16">
        <v>1081</v>
      </c>
      <c r="E1084" s="16" t="s">
        <v>1099</v>
      </c>
      <c r="F1084" s="16" t="s">
        <v>24</v>
      </c>
      <c r="G1084" s="17">
        <v>1</v>
      </c>
      <c r="H1084" s="18">
        <v>21</v>
      </c>
      <c r="I1084" s="19"/>
      <c r="J1084" s="19">
        <v>260</v>
      </c>
      <c r="K1084" s="19"/>
      <c r="L1084" s="19">
        <f t="shared" si="162"/>
        <v>21</v>
      </c>
      <c r="M1084" s="21">
        <f t="shared" si="156"/>
        <v>21</v>
      </c>
      <c r="N1084" s="22">
        <f t="shared" si="157"/>
        <v>21</v>
      </c>
      <c r="O1084" s="22">
        <f t="shared" si="158"/>
        <v>0</v>
      </c>
      <c r="P1084" s="20">
        <f t="shared" si="159"/>
        <v>0</v>
      </c>
      <c r="Q1084" s="23">
        <f t="shared" si="161"/>
        <v>260</v>
      </c>
      <c r="R1084" s="20">
        <f t="shared" si="163"/>
        <v>260</v>
      </c>
      <c r="S1084" s="20">
        <f t="shared" si="163"/>
        <v>260</v>
      </c>
      <c r="T1084" s="18">
        <f t="shared" si="160"/>
        <v>5460</v>
      </c>
      <c r="U1084" s="18"/>
      <c r="V1084" s="25"/>
    </row>
    <row r="1085" spans="1:22" ht="24" customHeight="1">
      <c r="A1085" s="26"/>
      <c r="B1085" s="15"/>
      <c r="C1085" s="15"/>
      <c r="D1085" s="16">
        <v>1082</v>
      </c>
      <c r="E1085" s="16" t="s">
        <v>1100</v>
      </c>
      <c r="F1085" s="16" t="s">
        <v>24</v>
      </c>
      <c r="G1085" s="17">
        <v>1</v>
      </c>
      <c r="H1085" s="18">
        <v>31</v>
      </c>
      <c r="I1085" s="19"/>
      <c r="J1085" s="19">
        <v>130</v>
      </c>
      <c r="K1085" s="19"/>
      <c r="L1085" s="19">
        <f t="shared" si="162"/>
        <v>31</v>
      </c>
      <c r="M1085" s="21">
        <f t="shared" si="156"/>
        <v>31</v>
      </c>
      <c r="N1085" s="22">
        <f t="shared" si="157"/>
        <v>31</v>
      </c>
      <c r="O1085" s="22">
        <f t="shared" si="158"/>
        <v>0</v>
      </c>
      <c r="P1085" s="20">
        <f t="shared" si="159"/>
        <v>0</v>
      </c>
      <c r="Q1085" s="23">
        <f t="shared" si="161"/>
        <v>130</v>
      </c>
      <c r="R1085" s="20">
        <f t="shared" si="163"/>
        <v>130</v>
      </c>
      <c r="S1085" s="20">
        <f t="shared" si="163"/>
        <v>130</v>
      </c>
      <c r="T1085" s="18">
        <f t="shared" si="160"/>
        <v>4030</v>
      </c>
      <c r="U1085" s="18"/>
      <c r="V1085" s="25"/>
    </row>
    <row r="1086" spans="1:22" ht="24" customHeight="1">
      <c r="A1086" s="26"/>
      <c r="B1086" s="15"/>
      <c r="C1086" s="15"/>
      <c r="D1086" s="16">
        <v>1083</v>
      </c>
      <c r="E1086" s="16" t="s">
        <v>1101</v>
      </c>
      <c r="F1086" s="16" t="s">
        <v>24</v>
      </c>
      <c r="G1086" s="17">
        <v>1</v>
      </c>
      <c r="H1086" s="18">
        <v>11</v>
      </c>
      <c r="I1086" s="19"/>
      <c r="J1086" s="19">
        <v>100</v>
      </c>
      <c r="K1086" s="19"/>
      <c r="L1086" s="19">
        <f t="shared" si="162"/>
        <v>11</v>
      </c>
      <c r="M1086" s="21">
        <f t="shared" si="156"/>
        <v>11</v>
      </c>
      <c r="N1086" s="22">
        <f t="shared" si="157"/>
        <v>11</v>
      </c>
      <c r="O1086" s="22">
        <f t="shared" si="158"/>
        <v>0</v>
      </c>
      <c r="P1086" s="20">
        <f t="shared" si="159"/>
        <v>0</v>
      </c>
      <c r="Q1086" s="23">
        <f t="shared" si="161"/>
        <v>100</v>
      </c>
      <c r="R1086" s="20">
        <f t="shared" si="163"/>
        <v>100</v>
      </c>
      <c r="S1086" s="20">
        <f t="shared" si="163"/>
        <v>100</v>
      </c>
      <c r="T1086" s="18">
        <f t="shared" si="160"/>
        <v>1100</v>
      </c>
      <c r="U1086" s="18"/>
      <c r="V1086" s="25"/>
    </row>
    <row r="1087" spans="1:22" ht="24" customHeight="1">
      <c r="A1087" s="26"/>
      <c r="B1087" s="15" t="s">
        <v>152</v>
      </c>
      <c r="C1087" s="15"/>
      <c r="D1087" s="16">
        <v>1084</v>
      </c>
      <c r="E1087" s="43" t="s">
        <v>1102</v>
      </c>
      <c r="F1087" s="16" t="s">
        <v>24</v>
      </c>
      <c r="G1087" s="17">
        <v>1</v>
      </c>
      <c r="H1087" s="18">
        <v>39</v>
      </c>
      <c r="I1087" s="19"/>
      <c r="J1087" s="19">
        <v>100</v>
      </c>
      <c r="K1087" s="19"/>
      <c r="L1087" s="19">
        <f t="shared" si="162"/>
        <v>39</v>
      </c>
      <c r="M1087" s="21">
        <f t="shared" si="156"/>
        <v>39</v>
      </c>
      <c r="N1087" s="22">
        <f t="shared" si="157"/>
        <v>39</v>
      </c>
      <c r="O1087" s="22">
        <f t="shared" si="158"/>
        <v>0</v>
      </c>
      <c r="P1087" s="20">
        <f t="shared" si="159"/>
        <v>0</v>
      </c>
      <c r="Q1087" s="23">
        <f t="shared" si="161"/>
        <v>100</v>
      </c>
      <c r="R1087" s="20">
        <f t="shared" si="163"/>
        <v>100</v>
      </c>
      <c r="S1087" s="20">
        <f t="shared" si="163"/>
        <v>100</v>
      </c>
      <c r="T1087" s="18">
        <f t="shared" si="160"/>
        <v>3900</v>
      </c>
      <c r="U1087" s="18"/>
      <c r="V1087" s="25"/>
    </row>
    <row r="1088" spans="1:22" ht="24" customHeight="1">
      <c r="A1088" s="26"/>
      <c r="B1088" s="15"/>
      <c r="C1088" s="15"/>
      <c r="D1088" s="16">
        <v>1085</v>
      </c>
      <c r="E1088" s="16" t="s">
        <v>1103</v>
      </c>
      <c r="F1088" s="16" t="s">
        <v>24</v>
      </c>
      <c r="G1088" s="17">
        <v>1</v>
      </c>
      <c r="H1088" s="18">
        <v>8</v>
      </c>
      <c r="I1088" s="19"/>
      <c r="J1088" s="19">
        <v>250</v>
      </c>
      <c r="K1088" s="19"/>
      <c r="L1088" s="19">
        <f t="shared" si="162"/>
        <v>8</v>
      </c>
      <c r="M1088" s="21">
        <f t="shared" si="156"/>
        <v>8</v>
      </c>
      <c r="N1088" s="22">
        <f t="shared" si="157"/>
        <v>8</v>
      </c>
      <c r="O1088" s="22">
        <f t="shared" si="158"/>
        <v>0</v>
      </c>
      <c r="P1088" s="20">
        <f t="shared" si="159"/>
        <v>0</v>
      </c>
      <c r="Q1088" s="23">
        <f t="shared" si="161"/>
        <v>250</v>
      </c>
      <c r="R1088" s="20">
        <f t="shared" si="163"/>
        <v>250</v>
      </c>
      <c r="S1088" s="20">
        <f t="shared" si="163"/>
        <v>250</v>
      </c>
      <c r="T1088" s="18">
        <f t="shared" si="160"/>
        <v>2000</v>
      </c>
      <c r="U1088" s="18"/>
      <c r="V1088" s="25"/>
    </row>
    <row r="1089" spans="1:22" ht="24" customHeight="1">
      <c r="A1089" s="26"/>
      <c r="B1089" s="15"/>
      <c r="C1089" s="15"/>
      <c r="D1089" s="16">
        <v>1086</v>
      </c>
      <c r="E1089" s="16" t="s">
        <v>1104</v>
      </c>
      <c r="F1089" s="16" t="s">
        <v>24</v>
      </c>
      <c r="G1089" s="17">
        <v>12</v>
      </c>
      <c r="H1089" s="18">
        <v>1</v>
      </c>
      <c r="I1089" s="19">
        <v>1</v>
      </c>
      <c r="J1089" s="19">
        <v>160</v>
      </c>
      <c r="K1089" s="19"/>
      <c r="L1089" s="19">
        <f t="shared" si="162"/>
        <v>13</v>
      </c>
      <c r="M1089" s="21">
        <f t="shared" si="156"/>
        <v>1.0833333333333333</v>
      </c>
      <c r="N1089" s="22">
        <f t="shared" si="157"/>
        <v>0.99999999999999911</v>
      </c>
      <c r="O1089" s="22">
        <f t="shared" si="158"/>
        <v>1</v>
      </c>
      <c r="P1089" s="20">
        <f t="shared" si="159"/>
        <v>0</v>
      </c>
      <c r="Q1089" s="23">
        <f t="shared" si="161"/>
        <v>1920</v>
      </c>
      <c r="R1089" s="20">
        <f t="shared" si="163"/>
        <v>160</v>
      </c>
      <c r="S1089" s="20">
        <f t="shared" si="163"/>
        <v>1920</v>
      </c>
      <c r="T1089" s="18">
        <f t="shared" si="160"/>
        <v>2080</v>
      </c>
      <c r="U1089" s="18"/>
      <c r="V1089" s="25"/>
    </row>
    <row r="1090" spans="1:22" ht="24" customHeight="1">
      <c r="A1090" s="26"/>
      <c r="B1090" s="15"/>
      <c r="C1090" s="15"/>
      <c r="D1090" s="16">
        <v>1087</v>
      </c>
      <c r="E1090" s="16" t="s">
        <v>1105</v>
      </c>
      <c r="F1090" s="16" t="s">
        <v>24</v>
      </c>
      <c r="G1090" s="17">
        <v>1</v>
      </c>
      <c r="H1090" s="18">
        <v>13</v>
      </c>
      <c r="I1090" s="19"/>
      <c r="J1090" s="19">
        <v>250</v>
      </c>
      <c r="K1090" s="19"/>
      <c r="L1090" s="19">
        <f t="shared" si="162"/>
        <v>13</v>
      </c>
      <c r="M1090" s="21">
        <f t="shared" si="156"/>
        <v>13</v>
      </c>
      <c r="N1090" s="22">
        <f t="shared" si="157"/>
        <v>13</v>
      </c>
      <c r="O1090" s="22">
        <f t="shared" si="158"/>
        <v>0</v>
      </c>
      <c r="P1090" s="20">
        <f t="shared" si="159"/>
        <v>0</v>
      </c>
      <c r="Q1090" s="23">
        <f t="shared" si="161"/>
        <v>250</v>
      </c>
      <c r="R1090" s="20">
        <f t="shared" si="163"/>
        <v>250</v>
      </c>
      <c r="S1090" s="20">
        <f t="shared" si="163"/>
        <v>250</v>
      </c>
      <c r="T1090" s="18">
        <f t="shared" si="160"/>
        <v>3250</v>
      </c>
      <c r="U1090" s="18"/>
      <c r="V1090" s="25"/>
    </row>
    <row r="1091" spans="1:22" ht="24" customHeight="1">
      <c r="A1091" s="26"/>
      <c r="B1091" s="15"/>
      <c r="C1091" s="15"/>
      <c r="D1091" s="16">
        <v>1088</v>
      </c>
      <c r="E1091" s="16" t="s">
        <v>1106</v>
      </c>
      <c r="F1091" s="16" t="s">
        <v>24</v>
      </c>
      <c r="G1091" s="17">
        <v>12</v>
      </c>
      <c r="H1091" s="18">
        <v>1</v>
      </c>
      <c r="I1091" s="19">
        <v>5</v>
      </c>
      <c r="J1091" s="19">
        <v>40</v>
      </c>
      <c r="K1091" s="19">
        <v>400</v>
      </c>
      <c r="L1091" s="19">
        <f t="shared" si="162"/>
        <v>61</v>
      </c>
      <c r="M1091" s="21">
        <f t="shared" ref="M1091:M1145" si="164">IFERROR(L1091/G1091,"")</f>
        <v>5.083333333333333</v>
      </c>
      <c r="N1091" s="22">
        <f t="shared" ref="N1091:N1145" si="165">IF(G1091=1,L1091,IF(G1091&gt;1,IFERROR((M1091-O1091)*G1091,""),""))</f>
        <v>0.99999999999999645</v>
      </c>
      <c r="O1091" s="22">
        <f t="shared" ref="O1091:O1145" si="166">IFERROR(IF(G1091=1,0,IF(G1091&gt;1,ROUNDDOWN(M1091,0))),"")</f>
        <v>5</v>
      </c>
      <c r="P1091" s="20">
        <f t="shared" si="159"/>
        <v>33.333333333333336</v>
      </c>
      <c r="Q1091" s="23">
        <f t="shared" si="161"/>
        <v>480</v>
      </c>
      <c r="R1091" s="20">
        <f t="shared" si="163"/>
        <v>40</v>
      </c>
      <c r="S1091" s="20">
        <f t="shared" si="163"/>
        <v>400</v>
      </c>
      <c r="T1091" s="18">
        <f t="shared" si="160"/>
        <v>2040</v>
      </c>
      <c r="U1091" s="18"/>
      <c r="V1091" s="25"/>
    </row>
    <row r="1092" spans="1:22" ht="24" customHeight="1">
      <c r="A1092" s="26"/>
      <c r="B1092" s="15"/>
      <c r="C1092" s="15"/>
      <c r="D1092" s="16">
        <v>1089</v>
      </c>
      <c r="E1092" s="16" t="s">
        <v>1164</v>
      </c>
      <c r="F1092" s="16" t="s">
        <v>24</v>
      </c>
      <c r="G1092" s="17">
        <v>1</v>
      </c>
      <c r="H1092" s="18">
        <v>4</v>
      </c>
      <c r="I1092" s="19"/>
      <c r="J1092" s="19">
        <v>1200</v>
      </c>
      <c r="K1092" s="19"/>
      <c r="L1092" s="19">
        <f t="shared" si="162"/>
        <v>4</v>
      </c>
      <c r="M1092" s="21">
        <f t="shared" si="164"/>
        <v>4</v>
      </c>
      <c r="N1092" s="22">
        <f t="shared" si="165"/>
        <v>4</v>
      </c>
      <c r="O1092" s="22">
        <f t="shared" si="166"/>
        <v>0</v>
      </c>
      <c r="P1092" s="20">
        <f t="shared" ref="P1092:P1145" si="167">IFERROR(K1092/G1092,"")</f>
        <v>0</v>
      </c>
      <c r="Q1092" s="23">
        <f t="shared" si="161"/>
        <v>1200</v>
      </c>
      <c r="R1092" s="20">
        <f t="shared" si="163"/>
        <v>1200</v>
      </c>
      <c r="S1092" s="20">
        <f t="shared" si="163"/>
        <v>1200</v>
      </c>
      <c r="T1092" s="18">
        <f t="shared" si="160"/>
        <v>4800</v>
      </c>
      <c r="U1092" s="18"/>
      <c r="V1092" s="25"/>
    </row>
    <row r="1093" spans="1:22" ht="24" customHeight="1">
      <c r="A1093" s="26"/>
      <c r="B1093" s="15"/>
      <c r="C1093" s="15"/>
      <c r="D1093" s="16">
        <v>1090</v>
      </c>
      <c r="E1093" s="16" t="s">
        <v>1107</v>
      </c>
      <c r="F1093" s="16" t="s">
        <v>24</v>
      </c>
      <c r="G1093" s="17">
        <v>1</v>
      </c>
      <c r="H1093" s="18">
        <v>1</v>
      </c>
      <c r="I1093" s="19">
        <v>10</v>
      </c>
      <c r="J1093" s="19">
        <v>350</v>
      </c>
      <c r="K1093" s="19"/>
      <c r="L1093" s="19">
        <f t="shared" si="162"/>
        <v>11</v>
      </c>
      <c r="M1093" s="21">
        <f t="shared" si="164"/>
        <v>11</v>
      </c>
      <c r="N1093" s="22">
        <f t="shared" si="165"/>
        <v>11</v>
      </c>
      <c r="O1093" s="22">
        <f t="shared" si="166"/>
        <v>0</v>
      </c>
      <c r="P1093" s="20">
        <f t="shared" si="167"/>
        <v>0</v>
      </c>
      <c r="Q1093" s="23">
        <f t="shared" si="161"/>
        <v>350</v>
      </c>
      <c r="R1093" s="20">
        <f t="shared" si="163"/>
        <v>350</v>
      </c>
      <c r="S1093" s="20">
        <f t="shared" si="163"/>
        <v>350</v>
      </c>
      <c r="T1093" s="18">
        <f t="shared" ref="T1093:T1148" si="168">IFERROR(S1093*I1093+R1093*H1093,"")</f>
        <v>3850</v>
      </c>
      <c r="U1093" s="18"/>
      <c r="V1093" s="25"/>
    </row>
    <row r="1094" spans="1:22" ht="24" customHeight="1">
      <c r="A1094" s="26"/>
      <c r="B1094" s="15"/>
      <c r="C1094" s="15"/>
      <c r="D1094" s="16">
        <v>1091</v>
      </c>
      <c r="E1094" s="16" t="s">
        <v>198</v>
      </c>
      <c r="F1094" s="16" t="s">
        <v>24</v>
      </c>
      <c r="G1094" s="17">
        <v>1</v>
      </c>
      <c r="H1094" s="18">
        <v>4</v>
      </c>
      <c r="I1094" s="19"/>
      <c r="J1094" s="19">
        <v>500</v>
      </c>
      <c r="K1094" s="19"/>
      <c r="L1094" s="19">
        <f t="shared" si="162"/>
        <v>4</v>
      </c>
      <c r="M1094" s="21">
        <f t="shared" si="164"/>
        <v>4</v>
      </c>
      <c r="N1094" s="22">
        <f t="shared" si="165"/>
        <v>4</v>
      </c>
      <c r="O1094" s="22">
        <f t="shared" si="166"/>
        <v>0</v>
      </c>
      <c r="P1094" s="20">
        <f t="shared" si="167"/>
        <v>0</v>
      </c>
      <c r="Q1094" s="23">
        <f t="shared" si="161"/>
        <v>500</v>
      </c>
      <c r="R1094" s="20">
        <f t="shared" si="163"/>
        <v>500</v>
      </c>
      <c r="S1094" s="20">
        <f t="shared" si="163"/>
        <v>500</v>
      </c>
      <c r="T1094" s="18">
        <f t="shared" si="168"/>
        <v>2000</v>
      </c>
      <c r="U1094" s="18"/>
      <c r="V1094" s="25"/>
    </row>
    <row r="1095" spans="1:22" ht="24" customHeight="1">
      <c r="A1095" s="26"/>
      <c r="B1095" s="15"/>
      <c r="C1095" s="15"/>
      <c r="D1095" s="16">
        <v>1092</v>
      </c>
      <c r="E1095" s="16" t="s">
        <v>1163</v>
      </c>
      <c r="F1095" s="16" t="s">
        <v>24</v>
      </c>
      <c r="G1095" s="17">
        <v>1</v>
      </c>
      <c r="H1095" s="18">
        <v>2</v>
      </c>
      <c r="I1095" s="19"/>
      <c r="J1095" s="19">
        <v>3500</v>
      </c>
      <c r="K1095" s="19"/>
      <c r="L1095" s="19">
        <f t="shared" si="162"/>
        <v>2</v>
      </c>
      <c r="M1095" s="21">
        <f t="shared" si="164"/>
        <v>2</v>
      </c>
      <c r="N1095" s="22">
        <f t="shared" si="165"/>
        <v>2</v>
      </c>
      <c r="O1095" s="22">
        <f t="shared" si="166"/>
        <v>0</v>
      </c>
      <c r="P1095" s="20">
        <f t="shared" si="167"/>
        <v>0</v>
      </c>
      <c r="Q1095" s="23">
        <f t="shared" si="161"/>
        <v>3500</v>
      </c>
      <c r="R1095" s="20">
        <f t="shared" si="163"/>
        <v>3500</v>
      </c>
      <c r="S1095" s="20">
        <f t="shared" si="163"/>
        <v>3500</v>
      </c>
      <c r="T1095" s="18">
        <f t="shared" si="168"/>
        <v>7000</v>
      </c>
      <c r="U1095" s="18"/>
      <c r="V1095" s="25"/>
    </row>
    <row r="1096" spans="1:22" ht="24" customHeight="1">
      <c r="A1096" s="26"/>
      <c r="B1096" s="15"/>
      <c r="C1096" s="15"/>
      <c r="D1096" s="16">
        <v>1093</v>
      </c>
      <c r="E1096" s="16"/>
      <c r="F1096" s="16" t="s">
        <v>24</v>
      </c>
      <c r="G1096" s="17">
        <v>1</v>
      </c>
      <c r="H1096" s="18"/>
      <c r="I1096" s="19"/>
      <c r="J1096" s="19"/>
      <c r="K1096" s="19"/>
      <c r="L1096" s="19">
        <f t="shared" si="162"/>
        <v>0</v>
      </c>
      <c r="M1096" s="21">
        <f t="shared" si="164"/>
        <v>0</v>
      </c>
      <c r="N1096" s="22">
        <f t="shared" si="165"/>
        <v>0</v>
      </c>
      <c r="O1096" s="22">
        <f t="shared" si="166"/>
        <v>0</v>
      </c>
      <c r="P1096" s="20">
        <f t="shared" si="167"/>
        <v>0</v>
      </c>
      <c r="Q1096" s="23">
        <f t="shared" si="161"/>
        <v>0</v>
      </c>
      <c r="R1096" s="20">
        <f t="shared" si="163"/>
        <v>0</v>
      </c>
      <c r="S1096" s="20">
        <f t="shared" si="163"/>
        <v>0</v>
      </c>
      <c r="T1096" s="18">
        <f t="shared" si="168"/>
        <v>0</v>
      </c>
      <c r="U1096" s="18"/>
      <c r="V1096" s="25"/>
    </row>
    <row r="1097" spans="1:22" ht="24" customHeight="1">
      <c r="A1097" s="26"/>
      <c r="B1097" s="15"/>
      <c r="C1097" s="15"/>
      <c r="D1097" s="16">
        <v>1094</v>
      </c>
      <c r="E1097" s="16" t="s">
        <v>1108</v>
      </c>
      <c r="F1097" s="16" t="s">
        <v>24</v>
      </c>
      <c r="G1097" s="17">
        <v>1</v>
      </c>
      <c r="H1097" s="18">
        <v>8</v>
      </c>
      <c r="I1097" s="19"/>
      <c r="J1097" s="19">
        <v>300</v>
      </c>
      <c r="K1097" s="19"/>
      <c r="L1097" s="19">
        <f t="shared" si="162"/>
        <v>8</v>
      </c>
      <c r="M1097" s="21">
        <f t="shared" si="164"/>
        <v>8</v>
      </c>
      <c r="N1097" s="22">
        <f t="shared" si="165"/>
        <v>8</v>
      </c>
      <c r="O1097" s="22">
        <f t="shared" si="166"/>
        <v>0</v>
      </c>
      <c r="P1097" s="20">
        <f t="shared" si="167"/>
        <v>0</v>
      </c>
      <c r="Q1097" s="23">
        <f t="shared" si="161"/>
        <v>300</v>
      </c>
      <c r="R1097" s="20">
        <f t="shared" si="163"/>
        <v>300</v>
      </c>
      <c r="S1097" s="20">
        <f t="shared" si="163"/>
        <v>300</v>
      </c>
      <c r="T1097" s="18">
        <f t="shared" si="168"/>
        <v>2400</v>
      </c>
      <c r="U1097" s="18"/>
      <c r="V1097" s="25"/>
    </row>
    <row r="1098" spans="1:22" ht="24" customHeight="1">
      <c r="A1098" s="26"/>
      <c r="B1098" s="15"/>
      <c r="C1098" s="15"/>
      <c r="D1098" s="16">
        <v>1095</v>
      </c>
      <c r="E1098" s="16" t="s">
        <v>1109</v>
      </c>
      <c r="F1098" s="16" t="s">
        <v>24</v>
      </c>
      <c r="G1098" s="17">
        <v>1</v>
      </c>
      <c r="H1098" s="18">
        <v>9</v>
      </c>
      <c r="I1098" s="19"/>
      <c r="J1098" s="19">
        <v>550</v>
      </c>
      <c r="K1098" s="19"/>
      <c r="L1098" s="19">
        <f t="shared" si="162"/>
        <v>9</v>
      </c>
      <c r="M1098" s="21">
        <f t="shared" si="164"/>
        <v>9</v>
      </c>
      <c r="N1098" s="22">
        <f t="shared" si="165"/>
        <v>9</v>
      </c>
      <c r="O1098" s="22">
        <f t="shared" si="166"/>
        <v>0</v>
      </c>
      <c r="P1098" s="20">
        <f t="shared" si="167"/>
        <v>0</v>
      </c>
      <c r="Q1098" s="23">
        <f t="shared" si="161"/>
        <v>550</v>
      </c>
      <c r="R1098" s="20">
        <f t="shared" si="163"/>
        <v>550</v>
      </c>
      <c r="S1098" s="20">
        <f t="shared" si="163"/>
        <v>550</v>
      </c>
      <c r="T1098" s="18">
        <f t="shared" si="168"/>
        <v>4950</v>
      </c>
      <c r="U1098" s="18"/>
      <c r="V1098" s="25"/>
    </row>
    <row r="1099" spans="1:22" ht="24" customHeight="1">
      <c r="A1099" s="26"/>
      <c r="B1099" s="15"/>
      <c r="C1099" s="15"/>
      <c r="D1099" s="16">
        <v>1096</v>
      </c>
      <c r="E1099" s="16" t="s">
        <v>1115</v>
      </c>
      <c r="F1099" s="16" t="s">
        <v>24</v>
      </c>
      <c r="G1099" s="17">
        <v>1</v>
      </c>
      <c r="H1099" s="18">
        <v>9</v>
      </c>
      <c r="I1099" s="19"/>
      <c r="J1099" s="19">
        <v>350</v>
      </c>
      <c r="K1099" s="19"/>
      <c r="L1099" s="19">
        <f t="shared" si="162"/>
        <v>9</v>
      </c>
      <c r="M1099" s="21">
        <f t="shared" si="164"/>
        <v>9</v>
      </c>
      <c r="N1099" s="22">
        <f t="shared" si="165"/>
        <v>9</v>
      </c>
      <c r="O1099" s="22">
        <f t="shared" si="166"/>
        <v>0</v>
      </c>
      <c r="P1099" s="20">
        <f t="shared" si="167"/>
        <v>0</v>
      </c>
      <c r="Q1099" s="23">
        <f t="shared" si="161"/>
        <v>350</v>
      </c>
      <c r="R1099" s="20">
        <f t="shared" si="163"/>
        <v>350</v>
      </c>
      <c r="S1099" s="20">
        <f t="shared" si="163"/>
        <v>350</v>
      </c>
      <c r="T1099" s="18">
        <f t="shared" si="168"/>
        <v>3150</v>
      </c>
      <c r="U1099" s="18"/>
      <c r="V1099" s="25"/>
    </row>
    <row r="1100" spans="1:22" ht="24" customHeight="1">
      <c r="A1100" s="26"/>
      <c r="B1100" s="15"/>
      <c r="C1100" s="15"/>
      <c r="D1100" s="16">
        <v>1097</v>
      </c>
      <c r="E1100" s="16" t="s">
        <v>1110</v>
      </c>
      <c r="F1100" s="16" t="s">
        <v>24</v>
      </c>
      <c r="G1100" s="17">
        <v>1</v>
      </c>
      <c r="H1100" s="18">
        <v>3</v>
      </c>
      <c r="I1100" s="19"/>
      <c r="J1100" s="19">
        <v>750</v>
      </c>
      <c r="K1100" s="19"/>
      <c r="L1100" s="19">
        <f t="shared" si="162"/>
        <v>3</v>
      </c>
      <c r="M1100" s="21">
        <f t="shared" si="164"/>
        <v>3</v>
      </c>
      <c r="N1100" s="22">
        <f t="shared" si="165"/>
        <v>3</v>
      </c>
      <c r="O1100" s="22">
        <f t="shared" si="166"/>
        <v>0</v>
      </c>
      <c r="P1100" s="20">
        <f t="shared" si="167"/>
        <v>0</v>
      </c>
      <c r="Q1100" s="23">
        <f t="shared" si="161"/>
        <v>750</v>
      </c>
      <c r="R1100" s="20">
        <f t="shared" si="163"/>
        <v>750</v>
      </c>
      <c r="S1100" s="20">
        <f t="shared" si="163"/>
        <v>750</v>
      </c>
      <c r="T1100" s="18">
        <f t="shared" si="168"/>
        <v>2250</v>
      </c>
      <c r="U1100" s="18"/>
      <c r="V1100" s="25"/>
    </row>
    <row r="1101" spans="1:22" ht="24" customHeight="1">
      <c r="A1101" s="26"/>
      <c r="B1101" s="15"/>
      <c r="C1101" s="15"/>
      <c r="D1101" s="16">
        <v>1098</v>
      </c>
      <c r="E1101" s="16" t="s">
        <v>1111</v>
      </c>
      <c r="F1101" s="16" t="s">
        <v>24</v>
      </c>
      <c r="G1101" s="17">
        <v>1</v>
      </c>
      <c r="H1101" s="18">
        <v>12</v>
      </c>
      <c r="I1101" s="19"/>
      <c r="J1101" s="19">
        <v>450</v>
      </c>
      <c r="K1101" s="19"/>
      <c r="L1101" s="19">
        <f t="shared" si="162"/>
        <v>12</v>
      </c>
      <c r="M1101" s="21">
        <f t="shared" si="164"/>
        <v>12</v>
      </c>
      <c r="N1101" s="22">
        <f t="shared" si="165"/>
        <v>12</v>
      </c>
      <c r="O1101" s="22">
        <f t="shared" si="166"/>
        <v>0</v>
      </c>
      <c r="P1101" s="20">
        <f t="shared" si="167"/>
        <v>0</v>
      </c>
      <c r="Q1101" s="23">
        <f t="shared" si="161"/>
        <v>450</v>
      </c>
      <c r="R1101" s="20">
        <f t="shared" si="163"/>
        <v>450</v>
      </c>
      <c r="S1101" s="20">
        <f t="shared" si="163"/>
        <v>450</v>
      </c>
      <c r="T1101" s="18">
        <f t="shared" si="168"/>
        <v>5400</v>
      </c>
      <c r="U1101" s="18"/>
      <c r="V1101" s="25"/>
    </row>
    <row r="1102" spans="1:22" ht="24" customHeight="1">
      <c r="A1102" s="26"/>
      <c r="B1102" s="15"/>
      <c r="C1102" s="15"/>
      <c r="D1102" s="16">
        <v>1099</v>
      </c>
      <c r="E1102" s="16" t="s">
        <v>1112</v>
      </c>
      <c r="F1102" s="16" t="s">
        <v>24</v>
      </c>
      <c r="G1102" s="17">
        <v>1</v>
      </c>
      <c r="H1102" s="18">
        <v>21</v>
      </c>
      <c r="I1102" s="19"/>
      <c r="J1102" s="19">
        <v>250</v>
      </c>
      <c r="K1102" s="19"/>
      <c r="L1102" s="19">
        <f t="shared" si="162"/>
        <v>21</v>
      </c>
      <c r="M1102" s="21">
        <f t="shared" si="164"/>
        <v>21</v>
      </c>
      <c r="N1102" s="22">
        <f t="shared" si="165"/>
        <v>21</v>
      </c>
      <c r="O1102" s="22">
        <f t="shared" si="166"/>
        <v>0</v>
      </c>
      <c r="P1102" s="20">
        <f t="shared" si="167"/>
        <v>0</v>
      </c>
      <c r="Q1102" s="23">
        <f t="shared" si="161"/>
        <v>250</v>
      </c>
      <c r="R1102" s="20">
        <f t="shared" si="163"/>
        <v>250</v>
      </c>
      <c r="S1102" s="20">
        <f t="shared" si="163"/>
        <v>250</v>
      </c>
      <c r="T1102" s="18">
        <f t="shared" si="168"/>
        <v>5250</v>
      </c>
      <c r="U1102" s="18"/>
      <c r="V1102" s="25"/>
    </row>
    <row r="1103" spans="1:22" ht="24" customHeight="1">
      <c r="A1103" s="26"/>
      <c r="B1103" s="15"/>
      <c r="C1103" s="15"/>
      <c r="D1103" s="16">
        <v>1100</v>
      </c>
      <c r="E1103" s="16" t="s">
        <v>1113</v>
      </c>
      <c r="F1103" s="16" t="s">
        <v>24</v>
      </c>
      <c r="G1103" s="17">
        <v>1</v>
      </c>
      <c r="H1103" s="18">
        <v>28</v>
      </c>
      <c r="I1103" s="19"/>
      <c r="J1103" s="19">
        <v>200</v>
      </c>
      <c r="K1103" s="19"/>
      <c r="L1103" s="19">
        <f t="shared" si="162"/>
        <v>28</v>
      </c>
      <c r="M1103" s="21">
        <f t="shared" si="164"/>
        <v>28</v>
      </c>
      <c r="N1103" s="22">
        <f t="shared" si="165"/>
        <v>28</v>
      </c>
      <c r="O1103" s="22">
        <f t="shared" si="166"/>
        <v>0</v>
      </c>
      <c r="P1103" s="20">
        <f t="shared" si="167"/>
        <v>0</v>
      </c>
      <c r="Q1103" s="23">
        <f t="shared" si="161"/>
        <v>200</v>
      </c>
      <c r="R1103" s="20">
        <f t="shared" si="163"/>
        <v>200</v>
      </c>
      <c r="S1103" s="20">
        <f t="shared" si="163"/>
        <v>200</v>
      </c>
      <c r="T1103" s="18">
        <f t="shared" si="168"/>
        <v>5600</v>
      </c>
      <c r="U1103" s="18"/>
      <c r="V1103" s="25"/>
    </row>
    <row r="1104" spans="1:22" ht="24" customHeight="1">
      <c r="A1104" s="26"/>
      <c r="B1104" s="15"/>
      <c r="C1104" s="15"/>
      <c r="D1104" s="16">
        <v>1101</v>
      </c>
      <c r="E1104" s="16" t="s">
        <v>1114</v>
      </c>
      <c r="F1104" s="16" t="s">
        <v>24</v>
      </c>
      <c r="G1104" s="17">
        <v>12</v>
      </c>
      <c r="H1104" s="18"/>
      <c r="I1104" s="19">
        <v>1</v>
      </c>
      <c r="J1104" s="19">
        <v>140</v>
      </c>
      <c r="K1104" s="19"/>
      <c r="L1104" s="19">
        <f t="shared" si="162"/>
        <v>12</v>
      </c>
      <c r="M1104" s="21">
        <f t="shared" si="164"/>
        <v>1</v>
      </c>
      <c r="N1104" s="22">
        <f t="shared" si="165"/>
        <v>0</v>
      </c>
      <c r="O1104" s="22">
        <f t="shared" si="166"/>
        <v>1</v>
      </c>
      <c r="P1104" s="20">
        <f t="shared" si="167"/>
        <v>0</v>
      </c>
      <c r="Q1104" s="23">
        <f t="shared" si="161"/>
        <v>1680</v>
      </c>
      <c r="R1104" s="20">
        <f t="shared" si="163"/>
        <v>140</v>
      </c>
      <c r="S1104" s="20">
        <f t="shared" si="163"/>
        <v>1680</v>
      </c>
      <c r="T1104" s="18">
        <f t="shared" si="168"/>
        <v>1680</v>
      </c>
      <c r="U1104" s="18"/>
      <c r="V1104" s="25"/>
    </row>
    <row r="1105" spans="1:22" ht="24" customHeight="1">
      <c r="A1105" s="26"/>
      <c r="B1105" s="15"/>
      <c r="C1105" s="15"/>
      <c r="D1105" s="16">
        <v>1102</v>
      </c>
      <c r="E1105" s="16" t="s">
        <v>1116</v>
      </c>
      <c r="F1105" s="16" t="s">
        <v>24</v>
      </c>
      <c r="G1105" s="17">
        <v>1</v>
      </c>
      <c r="H1105" s="18">
        <v>2</v>
      </c>
      <c r="I1105" s="19"/>
      <c r="J1105" s="19">
        <v>870</v>
      </c>
      <c r="K1105" s="19"/>
      <c r="L1105" s="19">
        <f t="shared" si="162"/>
        <v>2</v>
      </c>
      <c r="M1105" s="21">
        <f t="shared" si="164"/>
        <v>2</v>
      </c>
      <c r="N1105" s="22">
        <f t="shared" si="165"/>
        <v>2</v>
      </c>
      <c r="O1105" s="22">
        <f t="shared" si="166"/>
        <v>0</v>
      </c>
      <c r="P1105" s="20">
        <f t="shared" si="167"/>
        <v>0</v>
      </c>
      <c r="Q1105" s="23">
        <f t="shared" si="161"/>
        <v>870</v>
      </c>
      <c r="R1105" s="20">
        <f t="shared" si="163"/>
        <v>870</v>
      </c>
      <c r="S1105" s="20">
        <f t="shared" si="163"/>
        <v>870</v>
      </c>
      <c r="T1105" s="18">
        <f t="shared" si="168"/>
        <v>1740</v>
      </c>
      <c r="U1105" s="18"/>
      <c r="V1105" s="25"/>
    </row>
    <row r="1106" spans="1:22" ht="24" customHeight="1">
      <c r="A1106" s="26"/>
      <c r="B1106" s="15"/>
      <c r="C1106" s="15"/>
      <c r="D1106" s="16">
        <v>1103</v>
      </c>
      <c r="E1106" s="16" t="s">
        <v>1117</v>
      </c>
      <c r="F1106" s="16" t="s">
        <v>24</v>
      </c>
      <c r="G1106" s="17">
        <v>1</v>
      </c>
      <c r="H1106" s="18">
        <v>4</v>
      </c>
      <c r="I1106" s="19"/>
      <c r="J1106" s="19">
        <v>350</v>
      </c>
      <c r="K1106" s="19"/>
      <c r="L1106" s="19">
        <f t="shared" si="162"/>
        <v>4</v>
      </c>
      <c r="M1106" s="21">
        <f t="shared" si="164"/>
        <v>4</v>
      </c>
      <c r="N1106" s="22">
        <f t="shared" si="165"/>
        <v>4</v>
      </c>
      <c r="O1106" s="22">
        <f t="shared" si="166"/>
        <v>0</v>
      </c>
      <c r="P1106" s="20">
        <f t="shared" si="167"/>
        <v>0</v>
      </c>
      <c r="Q1106" s="23">
        <f t="shared" si="161"/>
        <v>350</v>
      </c>
      <c r="R1106" s="20">
        <f t="shared" si="163"/>
        <v>350</v>
      </c>
      <c r="S1106" s="20">
        <f t="shared" si="163"/>
        <v>350</v>
      </c>
      <c r="T1106" s="18">
        <f t="shared" si="168"/>
        <v>1400</v>
      </c>
      <c r="U1106" s="18"/>
      <c r="V1106" s="25"/>
    </row>
    <row r="1107" spans="1:22" ht="24" customHeight="1">
      <c r="A1107" s="26"/>
      <c r="B1107" s="15"/>
      <c r="C1107" s="15"/>
      <c r="D1107" s="16">
        <v>1104</v>
      </c>
      <c r="E1107" s="16" t="s">
        <v>1118</v>
      </c>
      <c r="F1107" s="16" t="s">
        <v>24</v>
      </c>
      <c r="G1107" s="17">
        <v>1</v>
      </c>
      <c r="H1107" s="18">
        <v>5</v>
      </c>
      <c r="I1107" s="19"/>
      <c r="J1107" s="19">
        <v>250</v>
      </c>
      <c r="K1107" s="19"/>
      <c r="L1107" s="19">
        <f t="shared" si="162"/>
        <v>5</v>
      </c>
      <c r="M1107" s="21">
        <f t="shared" si="164"/>
        <v>5</v>
      </c>
      <c r="N1107" s="22">
        <f t="shared" si="165"/>
        <v>5</v>
      </c>
      <c r="O1107" s="22">
        <f t="shared" si="166"/>
        <v>0</v>
      </c>
      <c r="P1107" s="20">
        <f t="shared" si="167"/>
        <v>0</v>
      </c>
      <c r="Q1107" s="23">
        <f t="shared" si="161"/>
        <v>250</v>
      </c>
      <c r="R1107" s="20">
        <f t="shared" si="163"/>
        <v>250</v>
      </c>
      <c r="S1107" s="20">
        <f t="shared" si="163"/>
        <v>250</v>
      </c>
      <c r="T1107" s="18">
        <f t="shared" si="168"/>
        <v>1250</v>
      </c>
      <c r="U1107" s="18"/>
      <c r="V1107" s="25"/>
    </row>
    <row r="1108" spans="1:22" ht="24" customHeight="1">
      <c r="A1108" s="26"/>
      <c r="B1108" s="15"/>
      <c r="C1108" s="15"/>
      <c r="D1108" s="16">
        <v>1105</v>
      </c>
      <c r="E1108" s="16" t="s">
        <v>1119</v>
      </c>
      <c r="F1108" s="16" t="s">
        <v>24</v>
      </c>
      <c r="G1108" s="17">
        <v>1</v>
      </c>
      <c r="H1108" s="18">
        <v>1</v>
      </c>
      <c r="I1108" s="19"/>
      <c r="J1108" s="19">
        <v>200</v>
      </c>
      <c r="K1108" s="19"/>
      <c r="L1108" s="19">
        <f t="shared" si="162"/>
        <v>1</v>
      </c>
      <c r="M1108" s="21">
        <f t="shared" si="164"/>
        <v>1</v>
      </c>
      <c r="N1108" s="22">
        <f t="shared" si="165"/>
        <v>1</v>
      </c>
      <c r="O1108" s="22">
        <f t="shared" si="166"/>
        <v>0</v>
      </c>
      <c r="P1108" s="20">
        <f t="shared" si="167"/>
        <v>0</v>
      </c>
      <c r="Q1108" s="23">
        <f t="shared" si="161"/>
        <v>200</v>
      </c>
      <c r="R1108" s="20">
        <f t="shared" si="163"/>
        <v>200</v>
      </c>
      <c r="S1108" s="20">
        <f t="shared" si="163"/>
        <v>200</v>
      </c>
      <c r="T1108" s="18">
        <f t="shared" si="168"/>
        <v>200</v>
      </c>
      <c r="U1108" s="18"/>
      <c r="V1108" s="25"/>
    </row>
    <row r="1109" spans="1:22" ht="24" customHeight="1">
      <c r="A1109" s="26"/>
      <c r="B1109" s="15"/>
      <c r="C1109" s="15"/>
      <c r="D1109" s="16">
        <v>1106</v>
      </c>
      <c r="E1109" s="16" t="s">
        <v>1120</v>
      </c>
      <c r="F1109" s="16" t="s">
        <v>24</v>
      </c>
      <c r="G1109" s="17">
        <v>1</v>
      </c>
      <c r="H1109" s="18">
        <v>5</v>
      </c>
      <c r="I1109" s="19"/>
      <c r="J1109" s="19">
        <v>780</v>
      </c>
      <c r="K1109" s="19"/>
      <c r="L1109" s="19">
        <f t="shared" si="162"/>
        <v>5</v>
      </c>
      <c r="M1109" s="21">
        <f t="shared" si="164"/>
        <v>5</v>
      </c>
      <c r="N1109" s="22">
        <f t="shared" si="165"/>
        <v>5</v>
      </c>
      <c r="O1109" s="22">
        <f t="shared" si="166"/>
        <v>0</v>
      </c>
      <c r="P1109" s="20">
        <f t="shared" si="167"/>
        <v>0</v>
      </c>
      <c r="Q1109" s="23">
        <f t="shared" si="161"/>
        <v>780</v>
      </c>
      <c r="R1109" s="20">
        <f t="shared" si="163"/>
        <v>780</v>
      </c>
      <c r="S1109" s="20">
        <f t="shared" si="163"/>
        <v>780</v>
      </c>
      <c r="T1109" s="18">
        <f t="shared" si="168"/>
        <v>3900</v>
      </c>
      <c r="U1109" s="18"/>
      <c r="V1109" s="25"/>
    </row>
    <row r="1110" spans="1:22" ht="24" customHeight="1">
      <c r="A1110" s="26"/>
      <c r="B1110" s="15"/>
      <c r="C1110" s="15"/>
      <c r="D1110" s="16">
        <v>1107</v>
      </c>
      <c r="E1110" s="16" t="s">
        <v>1121</v>
      </c>
      <c r="F1110" s="16" t="s">
        <v>24</v>
      </c>
      <c r="G1110" s="17">
        <v>1</v>
      </c>
      <c r="H1110" s="18">
        <v>7</v>
      </c>
      <c r="I1110" s="19"/>
      <c r="J1110" s="19">
        <v>350</v>
      </c>
      <c r="K1110" s="19"/>
      <c r="L1110" s="19">
        <f t="shared" si="162"/>
        <v>7</v>
      </c>
      <c r="M1110" s="21">
        <f t="shared" si="164"/>
        <v>7</v>
      </c>
      <c r="N1110" s="22">
        <f t="shared" si="165"/>
        <v>7</v>
      </c>
      <c r="O1110" s="22">
        <f t="shared" si="166"/>
        <v>0</v>
      </c>
      <c r="P1110" s="20">
        <f t="shared" si="167"/>
        <v>0</v>
      </c>
      <c r="Q1110" s="23">
        <f t="shared" si="161"/>
        <v>350</v>
      </c>
      <c r="R1110" s="20">
        <f t="shared" si="163"/>
        <v>350</v>
      </c>
      <c r="S1110" s="20">
        <f t="shared" si="163"/>
        <v>350</v>
      </c>
      <c r="T1110" s="18">
        <f t="shared" si="168"/>
        <v>2450</v>
      </c>
      <c r="U1110" s="18"/>
      <c r="V1110" s="25"/>
    </row>
    <row r="1111" spans="1:22" ht="24" customHeight="1">
      <c r="A1111" s="26"/>
      <c r="B1111" s="15"/>
      <c r="C1111" s="15"/>
      <c r="D1111" s="16">
        <v>1108</v>
      </c>
      <c r="E1111" s="16" t="s">
        <v>1122</v>
      </c>
      <c r="F1111" s="16" t="s">
        <v>24</v>
      </c>
      <c r="G1111" s="17">
        <v>1</v>
      </c>
      <c r="H1111" s="18">
        <v>3</v>
      </c>
      <c r="I1111" s="19"/>
      <c r="J1111" s="19">
        <v>350</v>
      </c>
      <c r="K1111" s="19"/>
      <c r="L1111" s="19">
        <f t="shared" si="162"/>
        <v>3</v>
      </c>
      <c r="M1111" s="21">
        <f t="shared" si="164"/>
        <v>3</v>
      </c>
      <c r="N1111" s="22">
        <f t="shared" si="165"/>
        <v>3</v>
      </c>
      <c r="O1111" s="22">
        <f t="shared" si="166"/>
        <v>0</v>
      </c>
      <c r="P1111" s="20">
        <f t="shared" si="167"/>
        <v>0</v>
      </c>
      <c r="Q1111" s="23">
        <f t="shared" si="161"/>
        <v>350</v>
      </c>
      <c r="R1111" s="20">
        <f t="shared" si="163"/>
        <v>350</v>
      </c>
      <c r="S1111" s="20">
        <f t="shared" si="163"/>
        <v>350</v>
      </c>
      <c r="T1111" s="18">
        <f t="shared" si="168"/>
        <v>1050</v>
      </c>
      <c r="U1111" s="18"/>
      <c r="V1111" s="25"/>
    </row>
    <row r="1112" spans="1:22" ht="24" customHeight="1">
      <c r="A1112" s="26"/>
      <c r="B1112" s="15"/>
      <c r="C1112" s="15"/>
      <c r="D1112" s="16">
        <v>1109</v>
      </c>
      <c r="E1112" s="16" t="s">
        <v>1123</v>
      </c>
      <c r="F1112" s="16" t="s">
        <v>24</v>
      </c>
      <c r="G1112" s="17">
        <v>1</v>
      </c>
      <c r="H1112" s="18">
        <v>3</v>
      </c>
      <c r="I1112" s="19"/>
      <c r="J1112" s="19">
        <v>350</v>
      </c>
      <c r="K1112" s="19"/>
      <c r="L1112" s="19">
        <f t="shared" si="162"/>
        <v>3</v>
      </c>
      <c r="M1112" s="21">
        <f t="shared" si="164"/>
        <v>3</v>
      </c>
      <c r="N1112" s="22">
        <f t="shared" si="165"/>
        <v>3</v>
      </c>
      <c r="O1112" s="22">
        <f t="shared" si="166"/>
        <v>0</v>
      </c>
      <c r="P1112" s="20">
        <f t="shared" si="167"/>
        <v>0</v>
      </c>
      <c r="Q1112" s="23">
        <f t="shared" si="161"/>
        <v>350</v>
      </c>
      <c r="R1112" s="20">
        <f t="shared" si="163"/>
        <v>350</v>
      </c>
      <c r="S1112" s="20">
        <f t="shared" si="163"/>
        <v>350</v>
      </c>
      <c r="T1112" s="18">
        <f t="shared" si="168"/>
        <v>1050</v>
      </c>
      <c r="U1112" s="18"/>
      <c r="V1112" s="25"/>
    </row>
    <row r="1113" spans="1:22" ht="24" customHeight="1">
      <c r="A1113" s="26"/>
      <c r="B1113" s="15"/>
      <c r="C1113" s="15"/>
      <c r="D1113" s="16">
        <v>1110</v>
      </c>
      <c r="E1113" s="16" t="s">
        <v>1124</v>
      </c>
      <c r="F1113" s="16" t="s">
        <v>24</v>
      </c>
      <c r="G1113" s="17">
        <v>1</v>
      </c>
      <c r="H1113" s="18">
        <v>5</v>
      </c>
      <c r="I1113" s="19"/>
      <c r="J1113" s="19">
        <v>120</v>
      </c>
      <c r="K1113" s="19"/>
      <c r="L1113" s="19">
        <f t="shared" si="162"/>
        <v>5</v>
      </c>
      <c r="M1113" s="21">
        <f t="shared" si="164"/>
        <v>5</v>
      </c>
      <c r="N1113" s="22">
        <f t="shared" si="165"/>
        <v>5</v>
      </c>
      <c r="O1113" s="22">
        <f t="shared" si="166"/>
        <v>0</v>
      </c>
      <c r="P1113" s="20">
        <f t="shared" si="167"/>
        <v>0</v>
      </c>
      <c r="Q1113" s="23">
        <f t="shared" si="161"/>
        <v>120</v>
      </c>
      <c r="R1113" s="20">
        <f t="shared" si="163"/>
        <v>120</v>
      </c>
      <c r="S1113" s="20">
        <f t="shared" si="163"/>
        <v>120</v>
      </c>
      <c r="T1113" s="18">
        <f t="shared" si="168"/>
        <v>600</v>
      </c>
      <c r="U1113" s="18"/>
      <c r="V1113" s="25"/>
    </row>
    <row r="1114" spans="1:22" ht="24" customHeight="1">
      <c r="A1114" s="26"/>
      <c r="B1114" s="15"/>
      <c r="C1114" s="15"/>
      <c r="D1114" s="16">
        <v>1111</v>
      </c>
      <c r="E1114" s="16" t="s">
        <v>1165</v>
      </c>
      <c r="F1114" s="16" t="s">
        <v>24</v>
      </c>
      <c r="G1114" s="17">
        <v>1</v>
      </c>
      <c r="H1114" s="18">
        <v>5</v>
      </c>
      <c r="I1114" s="19"/>
      <c r="J1114" s="19">
        <v>120</v>
      </c>
      <c r="K1114" s="19"/>
      <c r="L1114" s="19">
        <f t="shared" si="162"/>
        <v>5</v>
      </c>
      <c r="M1114" s="21">
        <f t="shared" si="164"/>
        <v>5</v>
      </c>
      <c r="N1114" s="22">
        <f t="shared" si="165"/>
        <v>5</v>
      </c>
      <c r="O1114" s="22">
        <f t="shared" si="166"/>
        <v>0</v>
      </c>
      <c r="P1114" s="20">
        <f t="shared" si="167"/>
        <v>0</v>
      </c>
      <c r="Q1114" s="23">
        <f t="shared" si="161"/>
        <v>120</v>
      </c>
      <c r="R1114" s="20">
        <f t="shared" si="163"/>
        <v>120</v>
      </c>
      <c r="S1114" s="20">
        <f t="shared" si="163"/>
        <v>120</v>
      </c>
      <c r="T1114" s="18">
        <f t="shared" si="168"/>
        <v>600</v>
      </c>
      <c r="U1114" s="18"/>
      <c r="V1114" s="25"/>
    </row>
    <row r="1115" spans="1:22" ht="24" customHeight="1">
      <c r="A1115" s="26"/>
      <c r="B1115" s="15"/>
      <c r="C1115" s="15"/>
      <c r="D1115" s="16">
        <v>1112</v>
      </c>
      <c r="E1115" s="16" t="s">
        <v>68</v>
      </c>
      <c r="F1115" s="16" t="s">
        <v>24</v>
      </c>
      <c r="G1115" s="17">
        <v>1</v>
      </c>
      <c r="H1115" s="18">
        <v>7</v>
      </c>
      <c r="I1115" s="19"/>
      <c r="J1115" s="19">
        <v>100</v>
      </c>
      <c r="K1115" s="19"/>
      <c r="L1115" s="19">
        <f t="shared" si="162"/>
        <v>7</v>
      </c>
      <c r="M1115" s="21">
        <f t="shared" si="164"/>
        <v>7</v>
      </c>
      <c r="N1115" s="22">
        <f t="shared" si="165"/>
        <v>7</v>
      </c>
      <c r="O1115" s="22">
        <f t="shared" si="166"/>
        <v>0</v>
      </c>
      <c r="P1115" s="20">
        <f t="shared" si="167"/>
        <v>0</v>
      </c>
      <c r="Q1115" s="23">
        <f t="shared" si="161"/>
        <v>100</v>
      </c>
      <c r="R1115" s="20">
        <f t="shared" si="163"/>
        <v>100</v>
      </c>
      <c r="S1115" s="20">
        <f t="shared" si="163"/>
        <v>100</v>
      </c>
      <c r="T1115" s="18">
        <f t="shared" si="168"/>
        <v>700</v>
      </c>
      <c r="U1115" s="18"/>
      <c r="V1115" s="25"/>
    </row>
    <row r="1116" spans="1:22" ht="24" customHeight="1">
      <c r="A1116" s="26"/>
      <c r="B1116" s="15"/>
      <c r="C1116" s="15"/>
      <c r="D1116" s="16">
        <v>1113</v>
      </c>
      <c r="E1116" s="16" t="s">
        <v>1125</v>
      </c>
      <c r="F1116" s="16" t="s">
        <v>24</v>
      </c>
      <c r="G1116" s="17">
        <v>1</v>
      </c>
      <c r="H1116" s="18">
        <v>15</v>
      </c>
      <c r="I1116" s="19"/>
      <c r="J1116" s="19">
        <v>200</v>
      </c>
      <c r="K1116" s="19"/>
      <c r="L1116" s="19">
        <f t="shared" si="162"/>
        <v>15</v>
      </c>
      <c r="M1116" s="21">
        <f t="shared" si="164"/>
        <v>15</v>
      </c>
      <c r="N1116" s="22">
        <f t="shared" si="165"/>
        <v>15</v>
      </c>
      <c r="O1116" s="22">
        <f t="shared" si="166"/>
        <v>0</v>
      </c>
      <c r="P1116" s="20">
        <f t="shared" si="167"/>
        <v>0</v>
      </c>
      <c r="Q1116" s="23">
        <f t="shared" si="161"/>
        <v>200</v>
      </c>
      <c r="R1116" s="20">
        <f t="shared" si="163"/>
        <v>200</v>
      </c>
      <c r="S1116" s="20">
        <f t="shared" si="163"/>
        <v>200</v>
      </c>
      <c r="T1116" s="18">
        <f t="shared" si="168"/>
        <v>3000</v>
      </c>
      <c r="U1116" s="18"/>
      <c r="V1116" s="25"/>
    </row>
    <row r="1117" spans="1:22" ht="24" customHeight="1">
      <c r="A1117" s="26"/>
      <c r="B1117" s="15"/>
      <c r="C1117" s="15"/>
      <c r="D1117" s="16">
        <v>1114</v>
      </c>
      <c r="E1117" s="16" t="s">
        <v>1126</v>
      </c>
      <c r="F1117" s="16" t="s">
        <v>24</v>
      </c>
      <c r="G1117" s="17">
        <v>1</v>
      </c>
      <c r="H1117" s="18">
        <v>18</v>
      </c>
      <c r="I1117" s="19"/>
      <c r="J1117" s="19">
        <v>250</v>
      </c>
      <c r="K1117" s="19"/>
      <c r="L1117" s="19">
        <f t="shared" si="162"/>
        <v>18</v>
      </c>
      <c r="M1117" s="21">
        <f t="shared" si="164"/>
        <v>18</v>
      </c>
      <c r="N1117" s="22">
        <f t="shared" si="165"/>
        <v>18</v>
      </c>
      <c r="O1117" s="22">
        <f t="shared" si="166"/>
        <v>0</v>
      </c>
      <c r="P1117" s="20">
        <f t="shared" si="167"/>
        <v>0</v>
      </c>
      <c r="Q1117" s="23">
        <f t="shared" ref="Q1117:Q1145" si="169">IFERROR(J1117*G1117,"")</f>
        <v>250</v>
      </c>
      <c r="R1117" s="20">
        <f t="shared" si="163"/>
        <v>250</v>
      </c>
      <c r="S1117" s="20">
        <f t="shared" si="163"/>
        <v>250</v>
      </c>
      <c r="T1117" s="18">
        <f t="shared" si="168"/>
        <v>4500</v>
      </c>
      <c r="U1117" s="18"/>
      <c r="V1117" s="25"/>
    </row>
    <row r="1118" spans="1:22" ht="24" customHeight="1">
      <c r="A1118" s="26"/>
      <c r="B1118" s="15"/>
      <c r="C1118" s="15"/>
      <c r="D1118" s="16">
        <v>1115</v>
      </c>
      <c r="E1118" s="16" t="s">
        <v>1127</v>
      </c>
      <c r="F1118" s="16" t="s">
        <v>24</v>
      </c>
      <c r="G1118" s="17">
        <v>1</v>
      </c>
      <c r="H1118" s="18">
        <v>1</v>
      </c>
      <c r="I1118" s="19"/>
      <c r="J1118" s="19">
        <v>800</v>
      </c>
      <c r="K1118" s="19"/>
      <c r="L1118" s="19">
        <f t="shared" si="162"/>
        <v>1</v>
      </c>
      <c r="M1118" s="21">
        <f t="shared" si="164"/>
        <v>1</v>
      </c>
      <c r="N1118" s="22">
        <f t="shared" si="165"/>
        <v>1</v>
      </c>
      <c r="O1118" s="22">
        <f t="shared" si="166"/>
        <v>0</v>
      </c>
      <c r="P1118" s="20">
        <f t="shared" si="167"/>
        <v>0</v>
      </c>
      <c r="Q1118" s="23">
        <f t="shared" si="169"/>
        <v>800</v>
      </c>
      <c r="R1118" s="20">
        <f t="shared" si="163"/>
        <v>800</v>
      </c>
      <c r="S1118" s="20">
        <f t="shared" si="163"/>
        <v>800</v>
      </c>
      <c r="T1118" s="18">
        <f t="shared" si="168"/>
        <v>800</v>
      </c>
      <c r="U1118" s="18"/>
      <c r="V1118" s="25"/>
    </row>
    <row r="1119" spans="1:22" ht="24" customHeight="1">
      <c r="A1119" s="26"/>
      <c r="B1119" s="15"/>
      <c r="C1119" s="15"/>
      <c r="D1119" s="16">
        <v>1116</v>
      </c>
      <c r="E1119" s="16" t="s">
        <v>1128</v>
      </c>
      <c r="F1119" s="16" t="s">
        <v>24</v>
      </c>
      <c r="G1119" s="17">
        <v>1</v>
      </c>
      <c r="H1119" s="18">
        <v>3</v>
      </c>
      <c r="I1119" s="19"/>
      <c r="J1119" s="19">
        <v>650</v>
      </c>
      <c r="K1119" s="19"/>
      <c r="L1119" s="19">
        <f t="shared" si="162"/>
        <v>3</v>
      </c>
      <c r="M1119" s="21">
        <f t="shared" si="164"/>
        <v>3</v>
      </c>
      <c r="N1119" s="22">
        <f t="shared" si="165"/>
        <v>3</v>
      </c>
      <c r="O1119" s="22">
        <f t="shared" si="166"/>
        <v>0</v>
      </c>
      <c r="P1119" s="20">
        <f t="shared" si="167"/>
        <v>0</v>
      </c>
      <c r="Q1119" s="23">
        <f t="shared" si="169"/>
        <v>650</v>
      </c>
      <c r="R1119" s="20">
        <f t="shared" si="163"/>
        <v>650</v>
      </c>
      <c r="S1119" s="20">
        <f t="shared" si="163"/>
        <v>650</v>
      </c>
      <c r="T1119" s="18">
        <f t="shared" si="168"/>
        <v>1950</v>
      </c>
      <c r="U1119" s="18"/>
      <c r="V1119" s="25"/>
    </row>
    <row r="1120" spans="1:22" ht="24" customHeight="1">
      <c r="A1120" s="26"/>
      <c r="B1120" s="15"/>
      <c r="C1120" s="15"/>
      <c r="D1120" s="16">
        <v>1116.4000000000001</v>
      </c>
      <c r="E1120" s="16" t="s">
        <v>1129</v>
      </c>
      <c r="F1120" s="16" t="s">
        <v>24</v>
      </c>
      <c r="G1120" s="17">
        <v>1</v>
      </c>
      <c r="H1120" s="18">
        <v>1</v>
      </c>
      <c r="I1120" s="19"/>
      <c r="J1120" s="19">
        <v>800</v>
      </c>
      <c r="K1120" s="19"/>
      <c r="L1120" s="19">
        <f t="shared" si="162"/>
        <v>1</v>
      </c>
      <c r="M1120" s="21">
        <f t="shared" si="164"/>
        <v>1</v>
      </c>
      <c r="N1120" s="22">
        <f t="shared" si="165"/>
        <v>1</v>
      </c>
      <c r="O1120" s="22">
        <f t="shared" si="166"/>
        <v>0</v>
      </c>
      <c r="P1120" s="20">
        <f t="shared" si="167"/>
        <v>0</v>
      </c>
      <c r="Q1120" s="23">
        <f t="shared" si="169"/>
        <v>800</v>
      </c>
      <c r="R1120" s="20">
        <f t="shared" si="163"/>
        <v>800</v>
      </c>
      <c r="S1120" s="20">
        <f t="shared" si="163"/>
        <v>800</v>
      </c>
      <c r="T1120" s="18">
        <f t="shared" si="168"/>
        <v>800</v>
      </c>
      <c r="U1120" s="18"/>
      <c r="V1120" s="25"/>
    </row>
    <row r="1121" spans="1:22" ht="24" customHeight="1">
      <c r="A1121" s="26"/>
      <c r="B1121" s="15"/>
      <c r="C1121" s="15"/>
      <c r="D1121" s="16">
        <v>1117</v>
      </c>
      <c r="E1121" s="16" t="s">
        <v>1130</v>
      </c>
      <c r="F1121" s="16" t="s">
        <v>24</v>
      </c>
      <c r="G1121" s="17">
        <v>1</v>
      </c>
      <c r="H1121" s="18">
        <v>11</v>
      </c>
      <c r="I1121" s="19"/>
      <c r="J1121" s="19">
        <v>150</v>
      </c>
      <c r="K1121" s="19"/>
      <c r="L1121" s="19">
        <f t="shared" si="162"/>
        <v>11</v>
      </c>
      <c r="M1121" s="21">
        <f t="shared" si="164"/>
        <v>11</v>
      </c>
      <c r="N1121" s="22">
        <f t="shared" si="165"/>
        <v>11</v>
      </c>
      <c r="O1121" s="22">
        <f t="shared" si="166"/>
        <v>0</v>
      </c>
      <c r="P1121" s="20">
        <f t="shared" si="167"/>
        <v>0</v>
      </c>
      <c r="Q1121" s="23">
        <f t="shared" si="169"/>
        <v>150</v>
      </c>
      <c r="R1121" s="20">
        <f t="shared" si="163"/>
        <v>150</v>
      </c>
      <c r="S1121" s="20">
        <f t="shared" si="163"/>
        <v>150</v>
      </c>
      <c r="T1121" s="18">
        <f t="shared" si="168"/>
        <v>1650</v>
      </c>
      <c r="U1121" s="18"/>
      <c r="V1121" s="25"/>
    </row>
    <row r="1122" spans="1:22" ht="24" customHeight="1">
      <c r="A1122" s="26"/>
      <c r="B1122" s="15"/>
      <c r="C1122" s="15"/>
      <c r="D1122" s="16">
        <v>1118</v>
      </c>
      <c r="E1122" s="16" t="s">
        <v>1166</v>
      </c>
      <c r="F1122" s="16" t="s">
        <v>24</v>
      </c>
      <c r="G1122" s="17">
        <v>1</v>
      </c>
      <c r="H1122" s="18">
        <v>12</v>
      </c>
      <c r="I1122" s="19"/>
      <c r="J1122" s="19">
        <v>150</v>
      </c>
      <c r="K1122" s="19"/>
      <c r="L1122" s="19">
        <f t="shared" si="162"/>
        <v>12</v>
      </c>
      <c r="M1122" s="21">
        <f t="shared" si="164"/>
        <v>12</v>
      </c>
      <c r="N1122" s="22">
        <f t="shared" si="165"/>
        <v>12</v>
      </c>
      <c r="O1122" s="22">
        <f t="shared" si="166"/>
        <v>0</v>
      </c>
      <c r="P1122" s="20">
        <f t="shared" si="167"/>
        <v>0</v>
      </c>
      <c r="Q1122" s="23">
        <f t="shared" si="169"/>
        <v>150</v>
      </c>
      <c r="R1122" s="20">
        <f t="shared" si="163"/>
        <v>150</v>
      </c>
      <c r="S1122" s="20">
        <f t="shared" si="163"/>
        <v>150</v>
      </c>
      <c r="T1122" s="18">
        <f t="shared" si="168"/>
        <v>1800</v>
      </c>
      <c r="U1122" s="18"/>
      <c r="V1122" s="25"/>
    </row>
    <row r="1123" spans="1:22" ht="24" customHeight="1">
      <c r="A1123" s="26"/>
      <c r="B1123" s="15"/>
      <c r="C1123" s="15"/>
      <c r="D1123" s="16">
        <v>1119</v>
      </c>
      <c r="E1123" s="16" t="s">
        <v>1131</v>
      </c>
      <c r="F1123" s="16" t="s">
        <v>24</v>
      </c>
      <c r="G1123" s="17">
        <v>1</v>
      </c>
      <c r="H1123" s="18">
        <v>23</v>
      </c>
      <c r="I1123" s="19"/>
      <c r="J1123" s="19">
        <v>150</v>
      </c>
      <c r="K1123" s="19"/>
      <c r="L1123" s="19">
        <f t="shared" si="162"/>
        <v>23</v>
      </c>
      <c r="M1123" s="21">
        <f t="shared" si="164"/>
        <v>23</v>
      </c>
      <c r="N1123" s="22">
        <f t="shared" si="165"/>
        <v>23</v>
      </c>
      <c r="O1123" s="22">
        <f t="shared" si="166"/>
        <v>0</v>
      </c>
      <c r="P1123" s="20">
        <f t="shared" si="167"/>
        <v>0</v>
      </c>
      <c r="Q1123" s="23">
        <f t="shared" si="169"/>
        <v>150</v>
      </c>
      <c r="R1123" s="20">
        <f t="shared" si="163"/>
        <v>150</v>
      </c>
      <c r="S1123" s="20">
        <f t="shared" si="163"/>
        <v>150</v>
      </c>
      <c r="T1123" s="18">
        <f t="shared" si="168"/>
        <v>3450</v>
      </c>
      <c r="U1123" s="18"/>
      <c r="V1123" s="25"/>
    </row>
    <row r="1124" spans="1:22" ht="24" customHeight="1">
      <c r="A1124" s="26"/>
      <c r="B1124" s="15"/>
      <c r="C1124" s="15"/>
      <c r="D1124" s="16">
        <v>1120</v>
      </c>
      <c r="E1124" s="16" t="s">
        <v>1132</v>
      </c>
      <c r="F1124" s="16" t="s">
        <v>24</v>
      </c>
      <c r="G1124" s="17">
        <v>1</v>
      </c>
      <c r="H1124" s="18">
        <v>2</v>
      </c>
      <c r="I1124" s="19"/>
      <c r="J1124" s="19">
        <v>250</v>
      </c>
      <c r="K1124" s="19"/>
      <c r="L1124" s="19">
        <f t="shared" si="162"/>
        <v>2</v>
      </c>
      <c r="M1124" s="21">
        <f t="shared" si="164"/>
        <v>2</v>
      </c>
      <c r="N1124" s="22">
        <f t="shared" si="165"/>
        <v>2</v>
      </c>
      <c r="O1124" s="22">
        <f t="shared" si="166"/>
        <v>0</v>
      </c>
      <c r="P1124" s="20">
        <f t="shared" si="167"/>
        <v>0</v>
      </c>
      <c r="Q1124" s="23">
        <f t="shared" si="169"/>
        <v>250</v>
      </c>
      <c r="R1124" s="20">
        <f t="shared" si="163"/>
        <v>250</v>
      </c>
      <c r="S1124" s="20">
        <f t="shared" si="163"/>
        <v>250</v>
      </c>
      <c r="T1124" s="18">
        <f t="shared" si="168"/>
        <v>500</v>
      </c>
      <c r="U1124" s="18"/>
      <c r="V1124" s="25"/>
    </row>
    <row r="1125" spans="1:22" ht="24" customHeight="1">
      <c r="A1125" s="26"/>
      <c r="B1125" s="15"/>
      <c r="C1125" s="15"/>
      <c r="D1125" s="16">
        <v>1121</v>
      </c>
      <c r="E1125" s="16" t="s">
        <v>1133</v>
      </c>
      <c r="F1125" s="16" t="s">
        <v>24</v>
      </c>
      <c r="G1125" s="17">
        <v>1</v>
      </c>
      <c r="H1125" s="18">
        <v>4</v>
      </c>
      <c r="I1125" s="19"/>
      <c r="J1125" s="19">
        <v>168</v>
      </c>
      <c r="K1125" s="19"/>
      <c r="L1125" s="19">
        <f t="shared" si="162"/>
        <v>4</v>
      </c>
      <c r="M1125" s="21">
        <f t="shared" si="164"/>
        <v>4</v>
      </c>
      <c r="N1125" s="22">
        <f t="shared" si="165"/>
        <v>4</v>
      </c>
      <c r="O1125" s="22">
        <f t="shared" si="166"/>
        <v>0</v>
      </c>
      <c r="P1125" s="20">
        <f t="shared" si="167"/>
        <v>0</v>
      </c>
      <c r="Q1125" s="23">
        <f t="shared" si="169"/>
        <v>168</v>
      </c>
      <c r="R1125" s="20">
        <f t="shared" si="163"/>
        <v>168</v>
      </c>
      <c r="S1125" s="20">
        <f t="shared" si="163"/>
        <v>168</v>
      </c>
      <c r="T1125" s="18">
        <f t="shared" si="168"/>
        <v>672</v>
      </c>
      <c r="U1125" s="18"/>
      <c r="V1125" s="25"/>
    </row>
    <row r="1126" spans="1:22" ht="24" customHeight="1">
      <c r="A1126" s="26"/>
      <c r="B1126" s="15"/>
      <c r="C1126" s="15"/>
      <c r="D1126" s="16">
        <v>1122</v>
      </c>
      <c r="E1126" s="16" t="s">
        <v>1134</v>
      </c>
      <c r="F1126" s="16" t="s">
        <v>24</v>
      </c>
      <c r="G1126" s="17">
        <v>1</v>
      </c>
      <c r="H1126" s="18">
        <v>7</v>
      </c>
      <c r="I1126" s="19"/>
      <c r="J1126" s="19">
        <v>150</v>
      </c>
      <c r="K1126" s="19"/>
      <c r="L1126" s="19">
        <f t="shared" ref="L1126:L1144" si="170">I1126*G1126+H1126</f>
        <v>7</v>
      </c>
      <c r="M1126" s="21">
        <f t="shared" si="164"/>
        <v>7</v>
      </c>
      <c r="N1126" s="22">
        <f t="shared" si="165"/>
        <v>7</v>
      </c>
      <c r="O1126" s="22">
        <f t="shared" si="166"/>
        <v>0</v>
      </c>
      <c r="P1126" s="20">
        <f t="shared" si="167"/>
        <v>0</v>
      </c>
      <c r="Q1126" s="23">
        <f t="shared" si="169"/>
        <v>150</v>
      </c>
      <c r="R1126" s="20">
        <f t="shared" si="163"/>
        <v>150</v>
      </c>
      <c r="S1126" s="20">
        <f t="shared" si="163"/>
        <v>150</v>
      </c>
      <c r="T1126" s="18">
        <f t="shared" si="168"/>
        <v>1050</v>
      </c>
      <c r="U1126" s="18"/>
      <c r="V1126" s="25"/>
    </row>
    <row r="1127" spans="1:22" ht="24" customHeight="1">
      <c r="A1127" s="26"/>
      <c r="B1127" s="15"/>
      <c r="C1127" s="15"/>
      <c r="D1127" s="16">
        <v>1123</v>
      </c>
      <c r="E1127" s="16" t="s">
        <v>1135</v>
      </c>
      <c r="F1127" s="16" t="s">
        <v>24</v>
      </c>
      <c r="G1127" s="17">
        <v>1</v>
      </c>
      <c r="H1127" s="18">
        <v>7</v>
      </c>
      <c r="I1127" s="19"/>
      <c r="J1127" s="19">
        <v>171</v>
      </c>
      <c r="K1127" s="19"/>
      <c r="L1127" s="19">
        <f t="shared" si="170"/>
        <v>7</v>
      </c>
      <c r="M1127" s="21">
        <f t="shared" si="164"/>
        <v>7</v>
      </c>
      <c r="N1127" s="22">
        <f t="shared" si="165"/>
        <v>7</v>
      </c>
      <c r="O1127" s="22">
        <f t="shared" si="166"/>
        <v>0</v>
      </c>
      <c r="P1127" s="20">
        <f t="shared" si="167"/>
        <v>0</v>
      </c>
      <c r="Q1127" s="23">
        <f t="shared" si="169"/>
        <v>171</v>
      </c>
      <c r="R1127" s="20">
        <f t="shared" si="163"/>
        <v>171</v>
      </c>
      <c r="S1127" s="20">
        <f t="shared" si="163"/>
        <v>171</v>
      </c>
      <c r="T1127" s="18">
        <f t="shared" si="168"/>
        <v>1197</v>
      </c>
      <c r="U1127" s="18"/>
      <c r="V1127" s="25"/>
    </row>
    <row r="1128" spans="1:22" ht="24" customHeight="1">
      <c r="A1128" s="26"/>
      <c r="B1128" s="15"/>
      <c r="C1128" s="15"/>
      <c r="D1128" s="16">
        <v>1124</v>
      </c>
      <c r="E1128" s="16" t="s">
        <v>1136</v>
      </c>
      <c r="F1128" s="16" t="s">
        <v>24</v>
      </c>
      <c r="G1128" s="17">
        <v>1</v>
      </c>
      <c r="H1128" s="18">
        <v>4</v>
      </c>
      <c r="I1128" s="19"/>
      <c r="J1128" s="19">
        <v>180</v>
      </c>
      <c r="K1128" s="19"/>
      <c r="L1128" s="19">
        <f t="shared" si="170"/>
        <v>4</v>
      </c>
      <c r="M1128" s="21">
        <f t="shared" si="164"/>
        <v>4</v>
      </c>
      <c r="N1128" s="22">
        <f t="shared" si="165"/>
        <v>4</v>
      </c>
      <c r="O1128" s="22">
        <f t="shared" si="166"/>
        <v>0</v>
      </c>
      <c r="P1128" s="20">
        <f t="shared" si="167"/>
        <v>0</v>
      </c>
      <c r="Q1128" s="23">
        <f t="shared" si="169"/>
        <v>180</v>
      </c>
      <c r="R1128" s="20">
        <f t="shared" si="163"/>
        <v>180</v>
      </c>
      <c r="S1128" s="20">
        <f t="shared" si="163"/>
        <v>180</v>
      </c>
      <c r="T1128" s="18">
        <f t="shared" si="168"/>
        <v>720</v>
      </c>
      <c r="U1128" s="18"/>
      <c r="V1128" s="25"/>
    </row>
    <row r="1129" spans="1:22" ht="24" customHeight="1">
      <c r="A1129" s="26"/>
      <c r="B1129" s="15"/>
      <c r="C1129" s="15"/>
      <c r="D1129" s="16">
        <v>1125</v>
      </c>
      <c r="E1129" s="16" t="s">
        <v>1167</v>
      </c>
      <c r="F1129" s="16" t="s">
        <v>24</v>
      </c>
      <c r="G1129" s="17">
        <v>1</v>
      </c>
      <c r="H1129" s="18">
        <v>6</v>
      </c>
      <c r="I1129" s="19"/>
      <c r="J1129" s="19">
        <v>140</v>
      </c>
      <c r="K1129" s="19"/>
      <c r="L1129" s="19">
        <f t="shared" si="170"/>
        <v>6</v>
      </c>
      <c r="M1129" s="21">
        <f t="shared" si="164"/>
        <v>6</v>
      </c>
      <c r="N1129" s="22">
        <f t="shared" si="165"/>
        <v>6</v>
      </c>
      <c r="O1129" s="22">
        <f t="shared" si="166"/>
        <v>0</v>
      </c>
      <c r="P1129" s="20">
        <f t="shared" si="167"/>
        <v>0</v>
      </c>
      <c r="Q1129" s="23">
        <f t="shared" si="169"/>
        <v>140</v>
      </c>
      <c r="R1129" s="20">
        <f t="shared" si="163"/>
        <v>140</v>
      </c>
      <c r="S1129" s="20">
        <f t="shared" si="163"/>
        <v>140</v>
      </c>
      <c r="T1129" s="18">
        <f t="shared" si="168"/>
        <v>840</v>
      </c>
      <c r="U1129" s="18"/>
      <c r="V1129" s="25"/>
    </row>
    <row r="1130" spans="1:22" ht="24" customHeight="1">
      <c r="A1130" s="26"/>
      <c r="B1130" s="15"/>
      <c r="C1130" s="15"/>
      <c r="D1130" s="16">
        <v>1126</v>
      </c>
      <c r="E1130" s="16" t="s">
        <v>1137</v>
      </c>
      <c r="F1130" s="16" t="s">
        <v>24</v>
      </c>
      <c r="G1130" s="17">
        <v>1</v>
      </c>
      <c r="H1130" s="18">
        <v>6</v>
      </c>
      <c r="I1130" s="19"/>
      <c r="J1130" s="19">
        <v>182</v>
      </c>
      <c r="K1130" s="19"/>
      <c r="L1130" s="19">
        <f t="shared" si="170"/>
        <v>6</v>
      </c>
      <c r="M1130" s="21">
        <f t="shared" si="164"/>
        <v>6</v>
      </c>
      <c r="N1130" s="22">
        <f t="shared" si="165"/>
        <v>6</v>
      </c>
      <c r="O1130" s="22">
        <f t="shared" si="166"/>
        <v>0</v>
      </c>
      <c r="P1130" s="20">
        <f t="shared" si="167"/>
        <v>0</v>
      </c>
      <c r="Q1130" s="23">
        <f t="shared" si="169"/>
        <v>182</v>
      </c>
      <c r="R1130" s="20">
        <f t="shared" si="163"/>
        <v>182</v>
      </c>
      <c r="S1130" s="20">
        <f t="shared" si="163"/>
        <v>182</v>
      </c>
      <c r="T1130" s="18">
        <f t="shared" si="168"/>
        <v>1092</v>
      </c>
      <c r="U1130" s="18"/>
      <c r="V1130" s="25"/>
    </row>
    <row r="1131" spans="1:22" ht="24" customHeight="1">
      <c r="A1131" s="26"/>
      <c r="B1131" s="15"/>
      <c r="C1131" s="15"/>
      <c r="D1131" s="16">
        <v>1127</v>
      </c>
      <c r="E1131" s="16" t="s">
        <v>1138</v>
      </c>
      <c r="F1131" s="16" t="s">
        <v>24</v>
      </c>
      <c r="G1131" s="17">
        <v>1</v>
      </c>
      <c r="H1131" s="18">
        <v>14</v>
      </c>
      <c r="I1131" s="19"/>
      <c r="J1131" s="19">
        <v>120</v>
      </c>
      <c r="K1131" s="19"/>
      <c r="L1131" s="19">
        <f t="shared" si="170"/>
        <v>14</v>
      </c>
      <c r="M1131" s="21">
        <f t="shared" si="164"/>
        <v>14</v>
      </c>
      <c r="N1131" s="22">
        <f t="shared" si="165"/>
        <v>14</v>
      </c>
      <c r="O1131" s="22">
        <f t="shared" si="166"/>
        <v>0</v>
      </c>
      <c r="P1131" s="20">
        <f t="shared" si="167"/>
        <v>0</v>
      </c>
      <c r="Q1131" s="23">
        <f t="shared" si="169"/>
        <v>120</v>
      </c>
      <c r="R1131" s="20">
        <f t="shared" si="163"/>
        <v>120</v>
      </c>
      <c r="S1131" s="20">
        <f t="shared" si="163"/>
        <v>120</v>
      </c>
      <c r="T1131" s="18">
        <f t="shared" si="168"/>
        <v>1680</v>
      </c>
      <c r="U1131" s="18"/>
      <c r="V1131" s="25"/>
    </row>
    <row r="1132" spans="1:22" ht="24" customHeight="1">
      <c r="A1132" s="26"/>
      <c r="B1132" s="15"/>
      <c r="C1132" s="15"/>
      <c r="D1132" s="16">
        <v>1128</v>
      </c>
      <c r="E1132" s="16" t="s">
        <v>1139</v>
      </c>
      <c r="F1132" s="16" t="s">
        <v>24</v>
      </c>
      <c r="G1132" s="17">
        <v>1</v>
      </c>
      <c r="H1132" s="18">
        <v>7</v>
      </c>
      <c r="I1132" s="19"/>
      <c r="J1132" s="19">
        <v>320</v>
      </c>
      <c r="K1132" s="19"/>
      <c r="L1132" s="19">
        <f t="shared" si="170"/>
        <v>7</v>
      </c>
      <c r="M1132" s="21">
        <f t="shared" si="164"/>
        <v>7</v>
      </c>
      <c r="N1132" s="22">
        <f t="shared" si="165"/>
        <v>7</v>
      </c>
      <c r="O1132" s="22">
        <f t="shared" si="166"/>
        <v>0</v>
      </c>
      <c r="P1132" s="20">
        <f t="shared" si="167"/>
        <v>0</v>
      </c>
      <c r="Q1132" s="23">
        <f t="shared" si="169"/>
        <v>320</v>
      </c>
      <c r="R1132" s="20">
        <f t="shared" si="163"/>
        <v>320</v>
      </c>
      <c r="S1132" s="20">
        <f t="shared" si="163"/>
        <v>320</v>
      </c>
      <c r="T1132" s="18">
        <f t="shared" si="168"/>
        <v>2240</v>
      </c>
      <c r="U1132" s="18"/>
      <c r="V1132" s="25"/>
    </row>
    <row r="1133" spans="1:22" ht="24" customHeight="1">
      <c r="A1133" s="26"/>
      <c r="B1133" s="15"/>
      <c r="C1133" s="15"/>
      <c r="D1133" s="16">
        <v>1129</v>
      </c>
      <c r="E1133" s="16" t="s">
        <v>1140</v>
      </c>
      <c r="F1133" s="16" t="s">
        <v>24</v>
      </c>
      <c r="G1133" s="17">
        <v>12</v>
      </c>
      <c r="H1133" s="18">
        <v>8</v>
      </c>
      <c r="I1133" s="19">
        <v>1</v>
      </c>
      <c r="J1133" s="19">
        <v>83</v>
      </c>
      <c r="K1133" s="19">
        <v>996</v>
      </c>
      <c r="L1133" s="19">
        <f t="shared" si="170"/>
        <v>20</v>
      </c>
      <c r="M1133" s="21">
        <f t="shared" si="164"/>
        <v>1.6666666666666667</v>
      </c>
      <c r="N1133" s="22">
        <f t="shared" si="165"/>
        <v>8</v>
      </c>
      <c r="O1133" s="22">
        <f t="shared" si="166"/>
        <v>1</v>
      </c>
      <c r="P1133" s="20">
        <f t="shared" si="167"/>
        <v>83</v>
      </c>
      <c r="Q1133" s="23">
        <f t="shared" si="169"/>
        <v>996</v>
      </c>
      <c r="R1133" s="20">
        <f t="shared" si="163"/>
        <v>83</v>
      </c>
      <c r="S1133" s="20">
        <f t="shared" si="163"/>
        <v>996</v>
      </c>
      <c r="T1133" s="18">
        <f t="shared" si="168"/>
        <v>1660</v>
      </c>
      <c r="U1133" s="18"/>
      <c r="V1133" s="25"/>
    </row>
    <row r="1134" spans="1:22" ht="24" customHeight="1">
      <c r="A1134" s="26"/>
      <c r="B1134" s="15" t="s">
        <v>1169</v>
      </c>
      <c r="C1134" s="15"/>
      <c r="D1134" s="16">
        <v>1130</v>
      </c>
      <c r="E1134" s="16" t="s">
        <v>1142</v>
      </c>
      <c r="F1134" s="16" t="s">
        <v>24</v>
      </c>
      <c r="G1134" s="17">
        <v>1</v>
      </c>
      <c r="H1134" s="18">
        <v>12</v>
      </c>
      <c r="I1134" s="19"/>
      <c r="J1134" s="19">
        <v>650</v>
      </c>
      <c r="K1134" s="19"/>
      <c r="L1134" s="19">
        <f t="shared" si="170"/>
        <v>12</v>
      </c>
      <c r="M1134" s="21">
        <f t="shared" si="164"/>
        <v>12</v>
      </c>
      <c r="N1134" s="22">
        <f t="shared" si="165"/>
        <v>12</v>
      </c>
      <c r="O1134" s="22">
        <f t="shared" si="166"/>
        <v>0</v>
      </c>
      <c r="P1134" s="20">
        <f t="shared" si="167"/>
        <v>0</v>
      </c>
      <c r="Q1134" s="23">
        <f t="shared" si="169"/>
        <v>650</v>
      </c>
      <c r="R1134" s="20">
        <f t="shared" si="163"/>
        <v>650</v>
      </c>
      <c r="S1134" s="20">
        <f t="shared" si="163"/>
        <v>650</v>
      </c>
      <c r="T1134" s="18">
        <f t="shared" si="168"/>
        <v>7800</v>
      </c>
      <c r="U1134" s="18"/>
      <c r="V1134" s="25"/>
    </row>
    <row r="1135" spans="1:22" ht="24" customHeight="1">
      <c r="A1135" s="26"/>
      <c r="B1135" s="15" t="s">
        <v>1169</v>
      </c>
      <c r="C1135" s="15"/>
      <c r="D1135" s="16">
        <v>1131</v>
      </c>
      <c r="E1135" s="16" t="s">
        <v>1141</v>
      </c>
      <c r="F1135" s="16" t="s">
        <v>24</v>
      </c>
      <c r="G1135" s="17">
        <v>1</v>
      </c>
      <c r="H1135" s="18">
        <v>8</v>
      </c>
      <c r="I1135" s="19"/>
      <c r="J1135" s="19">
        <v>600</v>
      </c>
      <c r="K1135" s="19"/>
      <c r="L1135" s="19">
        <f t="shared" si="170"/>
        <v>8</v>
      </c>
      <c r="M1135" s="21">
        <f t="shared" si="164"/>
        <v>8</v>
      </c>
      <c r="N1135" s="22">
        <f t="shared" si="165"/>
        <v>8</v>
      </c>
      <c r="O1135" s="22">
        <f t="shared" si="166"/>
        <v>0</v>
      </c>
      <c r="P1135" s="20">
        <f t="shared" si="167"/>
        <v>0</v>
      </c>
      <c r="Q1135" s="23">
        <f t="shared" si="169"/>
        <v>600</v>
      </c>
      <c r="R1135" s="20">
        <f t="shared" ref="R1135:S1145" si="171">IFERROR(IF(J1135&gt;0,J1135,IF(J1135&lt;0,P1135,IF(J1135=0,P1135))),"")</f>
        <v>600</v>
      </c>
      <c r="S1135" s="20">
        <f t="shared" si="171"/>
        <v>600</v>
      </c>
      <c r="T1135" s="18">
        <f t="shared" si="168"/>
        <v>4800</v>
      </c>
      <c r="U1135" s="18"/>
      <c r="V1135" s="25"/>
    </row>
    <row r="1136" spans="1:22" ht="24" customHeight="1">
      <c r="A1136" s="26"/>
      <c r="B1136" s="15" t="s">
        <v>1169</v>
      </c>
      <c r="C1136" s="15"/>
      <c r="D1136" s="16">
        <v>1132</v>
      </c>
      <c r="E1136" s="16" t="s">
        <v>1143</v>
      </c>
      <c r="F1136" s="16" t="s">
        <v>24</v>
      </c>
      <c r="G1136" s="17">
        <v>1</v>
      </c>
      <c r="H1136" s="18">
        <v>2</v>
      </c>
      <c r="I1136" s="19"/>
      <c r="J1136" s="19">
        <v>1000</v>
      </c>
      <c r="K1136" s="19"/>
      <c r="L1136" s="19">
        <f t="shared" si="170"/>
        <v>2</v>
      </c>
      <c r="M1136" s="21">
        <f t="shared" si="164"/>
        <v>2</v>
      </c>
      <c r="N1136" s="22">
        <f t="shared" si="165"/>
        <v>2</v>
      </c>
      <c r="O1136" s="22">
        <f t="shared" si="166"/>
        <v>0</v>
      </c>
      <c r="P1136" s="20">
        <f t="shared" si="167"/>
        <v>0</v>
      </c>
      <c r="Q1136" s="23">
        <f t="shared" si="169"/>
        <v>1000</v>
      </c>
      <c r="R1136" s="20">
        <f t="shared" si="171"/>
        <v>1000</v>
      </c>
      <c r="S1136" s="20">
        <f t="shared" si="171"/>
        <v>1000</v>
      </c>
      <c r="T1136" s="18">
        <f t="shared" si="168"/>
        <v>2000</v>
      </c>
      <c r="U1136" s="18"/>
      <c r="V1136" s="25"/>
    </row>
    <row r="1137" spans="1:23" ht="24" customHeight="1">
      <c r="A1137" s="26"/>
      <c r="B1137" s="15"/>
      <c r="C1137" s="15"/>
      <c r="D1137" s="16">
        <v>1133</v>
      </c>
      <c r="E1137" s="16" t="s">
        <v>1144</v>
      </c>
      <c r="F1137" s="16" t="s">
        <v>24</v>
      </c>
      <c r="G1137" s="17">
        <v>1</v>
      </c>
      <c r="H1137" s="18">
        <v>4</v>
      </c>
      <c r="I1137" s="19"/>
      <c r="J1137" s="19">
        <v>400</v>
      </c>
      <c r="K1137" s="19"/>
      <c r="L1137" s="19">
        <f t="shared" si="170"/>
        <v>4</v>
      </c>
      <c r="M1137" s="21">
        <f t="shared" si="164"/>
        <v>4</v>
      </c>
      <c r="N1137" s="22">
        <f t="shared" si="165"/>
        <v>4</v>
      </c>
      <c r="O1137" s="22">
        <f t="shared" si="166"/>
        <v>0</v>
      </c>
      <c r="P1137" s="20">
        <f t="shared" si="167"/>
        <v>0</v>
      </c>
      <c r="Q1137" s="23">
        <f t="shared" si="169"/>
        <v>400</v>
      </c>
      <c r="R1137" s="20">
        <f t="shared" si="171"/>
        <v>400</v>
      </c>
      <c r="S1137" s="20">
        <f t="shared" si="171"/>
        <v>400</v>
      </c>
      <c r="T1137" s="18">
        <f t="shared" si="168"/>
        <v>1600</v>
      </c>
      <c r="U1137" s="18"/>
      <c r="V1137" s="25"/>
    </row>
    <row r="1138" spans="1:23" ht="24" customHeight="1">
      <c r="A1138" s="26"/>
      <c r="B1138" s="15"/>
      <c r="C1138" s="15"/>
      <c r="D1138" s="16">
        <v>1134</v>
      </c>
      <c r="E1138" s="16" t="s">
        <v>1168</v>
      </c>
      <c r="F1138" s="16" t="s">
        <v>24</v>
      </c>
      <c r="G1138" s="17">
        <v>1</v>
      </c>
      <c r="H1138" s="18">
        <v>1</v>
      </c>
      <c r="I1138" s="19"/>
      <c r="J1138" s="19">
        <v>650</v>
      </c>
      <c r="K1138" s="19"/>
      <c r="L1138" s="19">
        <f t="shared" si="170"/>
        <v>1</v>
      </c>
      <c r="M1138" s="21">
        <f t="shared" si="164"/>
        <v>1</v>
      </c>
      <c r="N1138" s="22">
        <f t="shared" si="165"/>
        <v>1</v>
      </c>
      <c r="O1138" s="22">
        <f t="shared" si="166"/>
        <v>0</v>
      </c>
      <c r="P1138" s="20">
        <f t="shared" si="167"/>
        <v>0</v>
      </c>
      <c r="Q1138" s="23">
        <f t="shared" si="169"/>
        <v>650</v>
      </c>
      <c r="R1138" s="20">
        <f t="shared" si="171"/>
        <v>650</v>
      </c>
      <c r="S1138" s="20">
        <f t="shared" si="171"/>
        <v>650</v>
      </c>
      <c r="T1138" s="18">
        <f t="shared" si="168"/>
        <v>650</v>
      </c>
      <c r="U1138" s="18"/>
      <c r="V1138" s="25"/>
    </row>
    <row r="1139" spans="1:23" ht="24" customHeight="1">
      <c r="A1139" s="26"/>
      <c r="B1139" s="15"/>
      <c r="C1139" s="15"/>
      <c r="D1139" s="16">
        <v>1135</v>
      </c>
      <c r="E1139" s="16" t="s">
        <v>1161</v>
      </c>
      <c r="F1139" s="16" t="s">
        <v>24</v>
      </c>
      <c r="G1139" s="17">
        <v>1</v>
      </c>
      <c r="H1139" s="18">
        <v>24</v>
      </c>
      <c r="I1139" s="19"/>
      <c r="J1139" s="19">
        <v>40</v>
      </c>
      <c r="K1139" s="19"/>
      <c r="L1139" s="19">
        <f t="shared" ref="L1139" si="172">I1139*G1139+H1139</f>
        <v>24</v>
      </c>
      <c r="M1139" s="21">
        <f t="shared" ref="M1139" si="173">IFERROR(L1139/G1139,"")</f>
        <v>24</v>
      </c>
      <c r="N1139" s="22">
        <f t="shared" ref="N1139" si="174">IF(G1139=1,L1139,IF(G1139&gt;1,IFERROR((M1139-O1139)*G1139,""),""))</f>
        <v>24</v>
      </c>
      <c r="O1139" s="22">
        <f t="shared" ref="O1139" si="175">IFERROR(IF(G1139=1,0,IF(G1139&gt;1,ROUNDDOWN(M1139,0))),"")</f>
        <v>0</v>
      </c>
      <c r="P1139" s="20">
        <f t="shared" ref="P1139" si="176">IFERROR(K1139/G1139,"")</f>
        <v>0</v>
      </c>
      <c r="Q1139" s="23">
        <f t="shared" ref="Q1139" si="177">IFERROR(J1139*G1139,"")</f>
        <v>40</v>
      </c>
      <c r="R1139" s="20">
        <f t="shared" ref="R1139" si="178">IFERROR(IF(J1139&gt;0,J1139,IF(J1139&lt;0,P1139,IF(J1139=0,P1139))),"")</f>
        <v>40</v>
      </c>
      <c r="S1139" s="20">
        <f t="shared" si="171"/>
        <v>40</v>
      </c>
      <c r="T1139" s="18">
        <f t="shared" si="168"/>
        <v>960</v>
      </c>
      <c r="U1139" s="18"/>
      <c r="V1139" s="25"/>
    </row>
    <row r="1140" spans="1:23" ht="24" customHeight="1">
      <c r="A1140" s="26"/>
      <c r="B1140" s="15"/>
      <c r="C1140" s="15"/>
      <c r="D1140" s="16">
        <v>1135</v>
      </c>
      <c r="E1140" s="16" t="s">
        <v>1145</v>
      </c>
      <c r="F1140" s="16" t="s">
        <v>24</v>
      </c>
      <c r="G1140" s="17">
        <v>1</v>
      </c>
      <c r="H1140" s="18">
        <v>4</v>
      </c>
      <c r="I1140" s="19"/>
      <c r="J1140" s="19">
        <v>139</v>
      </c>
      <c r="K1140" s="19"/>
      <c r="L1140" s="19">
        <f t="shared" si="170"/>
        <v>4</v>
      </c>
      <c r="M1140" s="21">
        <f t="shared" si="164"/>
        <v>4</v>
      </c>
      <c r="N1140" s="22">
        <f t="shared" si="165"/>
        <v>4</v>
      </c>
      <c r="O1140" s="22">
        <f t="shared" si="166"/>
        <v>0</v>
      </c>
      <c r="P1140" s="20">
        <f t="shared" si="167"/>
        <v>0</v>
      </c>
      <c r="Q1140" s="23">
        <f t="shared" si="169"/>
        <v>139</v>
      </c>
      <c r="R1140" s="20">
        <f t="shared" si="171"/>
        <v>139</v>
      </c>
      <c r="S1140" s="20">
        <f t="shared" si="171"/>
        <v>139</v>
      </c>
      <c r="T1140" s="18">
        <f t="shared" si="168"/>
        <v>556</v>
      </c>
      <c r="U1140" s="18"/>
      <c r="V1140" s="25"/>
    </row>
    <row r="1141" spans="1:23" ht="24" customHeight="1">
      <c r="A1141" s="26"/>
      <c r="B1141" s="15"/>
      <c r="C1141" s="15"/>
      <c r="D1141" s="16">
        <v>1136</v>
      </c>
      <c r="E1141" s="16" t="s">
        <v>1146</v>
      </c>
      <c r="F1141" s="16" t="s">
        <v>24</v>
      </c>
      <c r="G1141" s="17">
        <v>1</v>
      </c>
      <c r="H1141" s="18">
        <v>1</v>
      </c>
      <c r="I1141" s="19"/>
      <c r="J1141" s="19">
        <v>900</v>
      </c>
      <c r="K1141" s="19"/>
      <c r="L1141" s="19">
        <f t="shared" si="170"/>
        <v>1</v>
      </c>
      <c r="M1141" s="21">
        <f t="shared" si="164"/>
        <v>1</v>
      </c>
      <c r="N1141" s="22">
        <f t="shared" si="165"/>
        <v>1</v>
      </c>
      <c r="O1141" s="22">
        <f t="shared" si="166"/>
        <v>0</v>
      </c>
      <c r="P1141" s="20">
        <f t="shared" si="167"/>
        <v>0</v>
      </c>
      <c r="Q1141" s="23">
        <f t="shared" si="169"/>
        <v>900</v>
      </c>
      <c r="R1141" s="20">
        <f t="shared" si="171"/>
        <v>900</v>
      </c>
      <c r="S1141" s="20">
        <f t="shared" si="171"/>
        <v>900</v>
      </c>
      <c r="T1141" s="18">
        <f t="shared" si="168"/>
        <v>900</v>
      </c>
      <c r="U1141" s="18"/>
      <c r="V1141" s="25"/>
    </row>
    <row r="1142" spans="1:23" ht="24" customHeight="1">
      <c r="A1142" s="26"/>
      <c r="B1142" s="15"/>
      <c r="C1142" s="15"/>
      <c r="D1142" s="16">
        <v>1137</v>
      </c>
      <c r="E1142" s="16" t="s">
        <v>1147</v>
      </c>
      <c r="F1142" s="16" t="s">
        <v>24</v>
      </c>
      <c r="G1142" s="17">
        <v>1</v>
      </c>
      <c r="H1142" s="18">
        <v>3</v>
      </c>
      <c r="I1142" s="19"/>
      <c r="J1142" s="19">
        <v>1000</v>
      </c>
      <c r="K1142" s="19"/>
      <c r="L1142" s="19">
        <f t="shared" ref="L1142" si="179">I1142*G1142+H1142</f>
        <v>3</v>
      </c>
      <c r="M1142" s="21">
        <f t="shared" ref="M1142" si="180">IFERROR(L1142/G1142,"")</f>
        <v>3</v>
      </c>
      <c r="N1142" s="22">
        <f t="shared" ref="N1142" si="181">IF(G1142=1,L1142,IF(G1142&gt;1,IFERROR((M1142-O1142)*G1142,""),""))</f>
        <v>3</v>
      </c>
      <c r="O1142" s="22">
        <f t="shared" ref="O1142" si="182">IFERROR(IF(G1142=1,0,IF(G1142&gt;1,ROUNDDOWN(M1142,0))),"")</f>
        <v>0</v>
      </c>
      <c r="P1142" s="20">
        <f t="shared" ref="P1142" si="183">IFERROR(K1142/G1142,"")</f>
        <v>0</v>
      </c>
      <c r="Q1142" s="23">
        <f t="shared" ref="Q1142" si="184">IFERROR(J1142*G1142,"")</f>
        <v>1000</v>
      </c>
      <c r="R1142" s="20">
        <f t="shared" ref="R1142" si="185">IFERROR(IF(J1142&gt;0,J1142,IF(J1142&lt;0,P1142,IF(J1142=0,P1142))),"")</f>
        <v>1000</v>
      </c>
      <c r="S1142" s="20">
        <f t="shared" si="171"/>
        <v>1000</v>
      </c>
      <c r="T1142" s="18">
        <f t="shared" si="168"/>
        <v>3000</v>
      </c>
      <c r="U1142" s="18"/>
      <c r="V1142" s="25"/>
    </row>
    <row r="1143" spans="1:23" ht="24" customHeight="1">
      <c r="A1143" s="26"/>
      <c r="B1143" s="15"/>
      <c r="C1143" s="15"/>
      <c r="D1143" s="16">
        <v>1138</v>
      </c>
      <c r="E1143" s="16" t="s">
        <v>1148</v>
      </c>
      <c r="F1143" s="16" t="s">
        <v>24</v>
      </c>
      <c r="G1143" s="17">
        <v>1</v>
      </c>
      <c r="H1143" s="18">
        <v>12</v>
      </c>
      <c r="I1143" s="19"/>
      <c r="J1143" s="19">
        <v>700</v>
      </c>
      <c r="K1143" s="19"/>
      <c r="L1143" s="19">
        <f t="shared" si="170"/>
        <v>12</v>
      </c>
      <c r="M1143" s="21">
        <f t="shared" si="164"/>
        <v>12</v>
      </c>
      <c r="N1143" s="22">
        <f t="shared" si="165"/>
        <v>12</v>
      </c>
      <c r="O1143" s="22">
        <f t="shared" si="166"/>
        <v>0</v>
      </c>
      <c r="P1143" s="20">
        <f t="shared" si="167"/>
        <v>0</v>
      </c>
      <c r="Q1143" s="23">
        <f t="shared" si="169"/>
        <v>700</v>
      </c>
      <c r="R1143" s="20">
        <f t="shared" si="171"/>
        <v>700</v>
      </c>
      <c r="S1143" s="20">
        <f t="shared" si="171"/>
        <v>700</v>
      </c>
      <c r="T1143" s="18">
        <f t="shared" si="168"/>
        <v>8400</v>
      </c>
      <c r="U1143" s="18"/>
      <c r="V1143" s="25"/>
    </row>
    <row r="1144" spans="1:23" ht="24" customHeight="1">
      <c r="A1144" s="26"/>
      <c r="B1144" s="15"/>
      <c r="C1144" s="15"/>
      <c r="D1144" s="16">
        <v>1139</v>
      </c>
      <c r="E1144" s="16" t="s">
        <v>1149</v>
      </c>
      <c r="F1144" s="16" t="s">
        <v>24</v>
      </c>
      <c r="G1144" s="17">
        <v>1</v>
      </c>
      <c r="H1144" s="18">
        <v>7</v>
      </c>
      <c r="I1144" s="19"/>
      <c r="J1144" s="19">
        <v>450</v>
      </c>
      <c r="K1144" s="19"/>
      <c r="L1144" s="19">
        <f t="shared" si="170"/>
        <v>7</v>
      </c>
      <c r="M1144" s="21">
        <f t="shared" si="164"/>
        <v>7</v>
      </c>
      <c r="N1144" s="22">
        <f t="shared" si="165"/>
        <v>7</v>
      </c>
      <c r="O1144" s="22">
        <f t="shared" si="166"/>
        <v>0</v>
      </c>
      <c r="P1144" s="20">
        <f t="shared" si="167"/>
        <v>0</v>
      </c>
      <c r="Q1144" s="23">
        <f t="shared" si="169"/>
        <v>450</v>
      </c>
      <c r="R1144" s="20">
        <f t="shared" si="171"/>
        <v>450</v>
      </c>
      <c r="S1144" s="20">
        <f t="shared" si="171"/>
        <v>450</v>
      </c>
      <c r="T1144" s="18">
        <f t="shared" si="168"/>
        <v>3150</v>
      </c>
      <c r="U1144" s="18"/>
      <c r="V1144" s="25"/>
    </row>
    <row r="1145" spans="1:23" ht="24" customHeight="1">
      <c r="A1145" s="26"/>
      <c r="B1145" s="15"/>
      <c r="C1145" s="15"/>
      <c r="D1145" s="16">
        <v>1140</v>
      </c>
      <c r="E1145" s="16" t="s">
        <v>1150</v>
      </c>
      <c r="F1145" s="16" t="s">
        <v>24</v>
      </c>
      <c r="G1145" s="17">
        <v>1</v>
      </c>
      <c r="H1145" s="18">
        <v>12</v>
      </c>
      <c r="I1145" s="19"/>
      <c r="J1145" s="19">
        <v>200</v>
      </c>
      <c r="K1145" s="19"/>
      <c r="L1145" s="19">
        <f>I1145*G1145+H1145</f>
        <v>12</v>
      </c>
      <c r="M1145" s="21">
        <f t="shared" si="164"/>
        <v>12</v>
      </c>
      <c r="N1145" s="22">
        <f t="shared" si="165"/>
        <v>12</v>
      </c>
      <c r="O1145" s="22">
        <f t="shared" si="166"/>
        <v>0</v>
      </c>
      <c r="P1145" s="20">
        <f t="shared" si="167"/>
        <v>0</v>
      </c>
      <c r="Q1145" s="23">
        <f t="shared" si="169"/>
        <v>200</v>
      </c>
      <c r="R1145" s="20">
        <f t="shared" si="171"/>
        <v>200</v>
      </c>
      <c r="S1145" s="20">
        <f t="shared" si="171"/>
        <v>200</v>
      </c>
      <c r="T1145" s="18">
        <f t="shared" si="168"/>
        <v>2400</v>
      </c>
      <c r="U1145" s="18"/>
      <c r="V1145" s="25"/>
    </row>
    <row r="1146" spans="1:23" ht="24" customHeight="1">
      <c r="A1146" s="26"/>
      <c r="B1146" s="28"/>
      <c r="C1146" s="16"/>
      <c r="D1146" s="16"/>
      <c r="E1146" s="16"/>
      <c r="F1146" s="17"/>
      <c r="G1146" s="18"/>
      <c r="H1146" s="19"/>
      <c r="I1146" s="19"/>
      <c r="J1146" s="19"/>
      <c r="K1146" s="19"/>
      <c r="L1146" s="20">
        <f t="shared" ref="L1146:L1147" si="186">I1146*G1146+H1146</f>
        <v>0</v>
      </c>
      <c r="M1146" s="21" t="str">
        <f t="shared" ref="M1146:M1147" si="187">IFERROR(L1146/G1146,"")</f>
        <v/>
      </c>
      <c r="N1146" s="22" t="str">
        <f t="shared" ref="N1146" si="188">IF(G1146=1,L1146,IF(G1146&gt;1,IFERROR((M1146-O1146)*G1146,""),""))</f>
        <v/>
      </c>
      <c r="O1146" s="22" t="b">
        <f t="shared" ref="O1146" si="189">IFERROR(IF(G1146=1,0,IF(G1146&gt;1,ROUNDDOWN(M1146,0))),"")</f>
        <v>0</v>
      </c>
      <c r="P1146" s="20" t="str">
        <f t="shared" ref="P1146:P1147" si="190">IFERROR(K1146/G1146,"")</f>
        <v/>
      </c>
      <c r="Q1146" s="23">
        <f t="shared" ref="Q1146:Q1147" si="191">IFERROR(J1146*G1146,"")</f>
        <v>0</v>
      </c>
      <c r="R1146" s="20" t="str">
        <f t="shared" ref="R1146:R1147" si="192">IFERROR(IF(J1146&gt;0,J1146,IF(J1146&lt;0,P1146,IF(J1146=0,P1146))),"")</f>
        <v/>
      </c>
      <c r="S1146" s="20">
        <f t="shared" ref="S1146" si="193">IFERROR(IF(K1146&gt;0,K1146,IF(K1146&lt;0,Q1146,IF(K1146=0,Q1146))),"")</f>
        <v>0</v>
      </c>
      <c r="T1146" s="18" t="str">
        <f t="shared" si="168"/>
        <v/>
      </c>
      <c r="U1146" s="24"/>
      <c r="V1146" s="25">
        <f t="shared" ref="V1146" si="194">B1146</f>
        <v>0</v>
      </c>
    </row>
    <row r="1147" spans="1:23" s="6" customFormat="1" ht="34.5" customHeight="1" thickBot="1">
      <c r="A1147" s="4"/>
      <c r="B1147" s="29" t="s">
        <v>71</v>
      </c>
      <c r="C1147" s="30"/>
      <c r="D1147" s="78" t="s">
        <v>72</v>
      </c>
      <c r="E1147" s="79"/>
      <c r="F1147" s="31"/>
      <c r="G1147" s="31" t="s">
        <v>73</v>
      </c>
      <c r="H1147" s="32">
        <f ca="1">T1147-J1147</f>
        <v>-111.91538461538462</v>
      </c>
      <c r="I1147" s="33" t="s">
        <v>74</v>
      </c>
      <c r="J1147" s="34">
        <f>U1147/K1148</f>
        <v>2773.5065936964261</v>
      </c>
      <c r="K1147" s="35" t="s">
        <v>75</v>
      </c>
      <c r="L1147" s="36" t="e">
        <f t="shared" ca="1" si="186"/>
        <v>#VALUE!</v>
      </c>
      <c r="M1147" s="21">
        <f t="shared" ca="1" si="187"/>
        <v>2</v>
      </c>
      <c r="N1147" s="80"/>
      <c r="O1147" s="81"/>
      <c r="P1147" s="20" t="str">
        <f t="shared" si="190"/>
        <v/>
      </c>
      <c r="Q1147" s="23" t="str">
        <f t="shared" si="191"/>
        <v/>
      </c>
      <c r="R1147" s="20">
        <f t="shared" si="192"/>
        <v>2773.5065936964261</v>
      </c>
      <c r="S1147" s="35">
        <f>SUM(S4:S1146)</f>
        <v>1609241.9</v>
      </c>
      <c r="T1147" s="18">
        <f t="shared" ca="1" si="168"/>
        <v>1650</v>
      </c>
      <c r="U1147" s="37">
        <f>SUM(T4:T1146)</f>
        <v>4206300.0999999996</v>
      </c>
      <c r="V1147" s="13">
        <f>V4</f>
        <v>0</v>
      </c>
    </row>
    <row r="1148" spans="1:23" ht="27" thickTop="1">
      <c r="B1148" s="38">
        <v>0</v>
      </c>
      <c r="D1148" s="39"/>
      <c r="E1148" s="3">
        <v>0</v>
      </c>
      <c r="H1148" s="40">
        <v>0</v>
      </c>
      <c r="I1148" s="41"/>
      <c r="J1148" s="41">
        <f>COUNT(K4:K1146)</f>
        <v>35</v>
      </c>
      <c r="K1148" s="40">
        <f>SUM(K4:K1146)/J1148</f>
        <v>1516.6</v>
      </c>
      <c r="T1148" s="18">
        <f t="shared" si="168"/>
        <v>0</v>
      </c>
      <c r="U1148" s="40">
        <v>0</v>
      </c>
      <c r="V1148" s="25">
        <f>B1148</f>
        <v>0</v>
      </c>
      <c r="W1148" s="3">
        <v>0</v>
      </c>
    </row>
    <row r="1149" spans="1:23">
      <c r="K1149" s="41">
        <f>J1147-5150</f>
        <v>-2376.4934063035739</v>
      </c>
    </row>
  </sheetData>
  <sheetProtection formatCells="0" formatColumns="0" formatRows="0" sort="0" autoFilter="0"/>
  <autoFilter ref="B2:V1149" xr:uid="{00000000-0009-0000-0000-000000000000}">
    <filterColumn colId="6" showButton="0"/>
    <filterColumn colId="8" showButton="0"/>
    <filterColumn colId="10" showButton="0"/>
    <filterColumn colId="11" showButton="0"/>
    <filterColumn colId="12" showButton="0"/>
    <filterColumn colId="14" showButton="0"/>
    <filterColumn colId="16" showButton="0"/>
  </autoFilter>
  <mergeCells count="16">
    <mergeCell ref="U2:U3"/>
    <mergeCell ref="D1147:E1147"/>
    <mergeCell ref="N1147:O1147"/>
    <mergeCell ref="B1:H1"/>
    <mergeCell ref="I1:T1"/>
    <mergeCell ref="B2:B3"/>
    <mergeCell ref="D2:D3"/>
    <mergeCell ref="E2:E3"/>
    <mergeCell ref="F2:F3"/>
    <mergeCell ref="G2:G3"/>
    <mergeCell ref="H2:I2"/>
    <mergeCell ref="J2:K2"/>
    <mergeCell ref="L2:O2"/>
    <mergeCell ref="P2:Q2"/>
    <mergeCell ref="R2:S2"/>
    <mergeCell ref="T2:T3"/>
  </mergeCells>
  <phoneticPr fontId="21" type="noConversion"/>
  <pageMargins left="0.17" right="0.17" top="0.17" bottom="0.17" header="0.17" footer="0.17"/>
  <pageSetup paperSize="9" scale="3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356B-0437-4E44-8866-C81D491E9F5F}">
  <dimension ref="A1:W580"/>
  <sheetViews>
    <sheetView rightToLeft="1" zoomScale="82" zoomScaleNormal="82" workbookViewId="0">
      <selection activeCell="D12" sqref="D12"/>
    </sheetView>
  </sheetViews>
  <sheetFormatPr defaultRowHeight="15"/>
  <cols>
    <col min="2" max="2" width="16.7109375" customWidth="1"/>
    <col min="5" max="5" width="33.85546875" customWidth="1"/>
  </cols>
  <sheetData>
    <row r="1" spans="1:23" ht="45" thickBot="1">
      <c r="B1" s="82" t="s">
        <v>3077</v>
      </c>
      <c r="C1" s="82"/>
      <c r="D1" s="82"/>
      <c r="E1" s="82"/>
      <c r="F1" s="82"/>
      <c r="G1" s="82"/>
      <c r="H1" s="82"/>
      <c r="I1" s="83">
        <v>45671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2"/>
    </row>
    <row r="2" spans="1:23" ht="27" thickTop="1">
      <c r="A2" s="65"/>
      <c r="B2" s="84" t="s">
        <v>3078</v>
      </c>
      <c r="C2" s="86" t="s">
        <v>3079</v>
      </c>
      <c r="D2" s="86" t="s">
        <v>2</v>
      </c>
      <c r="E2" s="88" t="s">
        <v>3</v>
      </c>
      <c r="F2" s="90" t="s">
        <v>4</v>
      </c>
      <c r="G2" s="90" t="s">
        <v>5</v>
      </c>
      <c r="H2" s="92" t="s">
        <v>6</v>
      </c>
      <c r="I2" s="92"/>
      <c r="J2" s="92" t="s">
        <v>7</v>
      </c>
      <c r="K2" s="92"/>
      <c r="L2" s="93" t="s">
        <v>8</v>
      </c>
      <c r="M2" s="94"/>
      <c r="N2" s="94"/>
      <c r="O2" s="95"/>
      <c r="P2" s="96" t="s">
        <v>9</v>
      </c>
      <c r="Q2" s="96"/>
      <c r="R2" s="97" t="s">
        <v>10</v>
      </c>
      <c r="S2" s="98"/>
      <c r="T2" s="99" t="s">
        <v>11</v>
      </c>
      <c r="U2" s="76" t="s">
        <v>12</v>
      </c>
      <c r="V2" s="4"/>
      <c r="W2" s="6"/>
    </row>
    <row r="3" spans="1:23" ht="30.75" thickBot="1">
      <c r="A3" s="65" t="s">
        <v>3080</v>
      </c>
      <c r="B3" s="85"/>
      <c r="C3" s="87"/>
      <c r="D3" s="87"/>
      <c r="E3" s="89"/>
      <c r="F3" s="91"/>
      <c r="G3" s="91"/>
      <c r="H3" s="8" t="s">
        <v>14</v>
      </c>
      <c r="I3" s="9" t="s">
        <v>15</v>
      </c>
      <c r="J3" s="10" t="s">
        <v>16</v>
      </c>
      <c r="K3" s="10" t="s">
        <v>15</v>
      </c>
      <c r="L3" s="11" t="s">
        <v>18</v>
      </c>
      <c r="M3" s="11" t="s">
        <v>19</v>
      </c>
      <c r="N3" s="8" t="s">
        <v>14</v>
      </c>
      <c r="O3" s="9" t="s">
        <v>20</v>
      </c>
      <c r="P3" s="12" t="s">
        <v>21</v>
      </c>
      <c r="Q3" s="12" t="s">
        <v>22</v>
      </c>
      <c r="R3" s="12" t="s">
        <v>21</v>
      </c>
      <c r="S3" s="12" t="s">
        <v>22</v>
      </c>
      <c r="T3" s="100"/>
      <c r="U3" s="77"/>
      <c r="V3" s="13">
        <v>9999</v>
      </c>
      <c r="W3" s="6"/>
    </row>
    <row r="4" spans="1:23" ht="27" thickTop="1">
      <c r="A4" s="66">
        <v>1479</v>
      </c>
      <c r="B4" s="15" t="s">
        <v>3081</v>
      </c>
      <c r="C4" s="16">
        <v>1</v>
      </c>
      <c r="D4" s="16">
        <v>1</v>
      </c>
      <c r="E4" s="16" t="s">
        <v>3082</v>
      </c>
      <c r="F4" s="17" t="s">
        <v>24</v>
      </c>
      <c r="G4" s="18">
        <v>1</v>
      </c>
      <c r="H4" s="19">
        <v>5</v>
      </c>
      <c r="I4" s="19"/>
      <c r="J4" s="19">
        <v>2200</v>
      </c>
      <c r="K4" s="19"/>
      <c r="L4" s="20">
        <v>5</v>
      </c>
      <c r="M4" s="21">
        <v>5</v>
      </c>
      <c r="N4" s="22">
        <v>5</v>
      </c>
      <c r="O4" s="22">
        <v>0</v>
      </c>
      <c r="P4" s="20">
        <v>0</v>
      </c>
      <c r="Q4" s="23">
        <v>2200</v>
      </c>
      <c r="R4" s="20">
        <v>2200</v>
      </c>
      <c r="S4" s="20">
        <v>2200</v>
      </c>
      <c r="T4" s="18">
        <v>11000</v>
      </c>
      <c r="U4" s="24"/>
      <c r="V4" s="25" t="s">
        <v>3081</v>
      </c>
    </row>
    <row r="5" spans="1:23" ht="26.25">
      <c r="A5" s="67">
        <v>1480</v>
      </c>
      <c r="B5" s="15" t="s">
        <v>3081</v>
      </c>
      <c r="C5" s="16">
        <v>2</v>
      </c>
      <c r="D5" s="16">
        <v>2</v>
      </c>
      <c r="E5" s="16" t="s">
        <v>3082</v>
      </c>
      <c r="F5" s="17" t="s">
        <v>24</v>
      </c>
      <c r="G5" s="18">
        <v>1</v>
      </c>
      <c r="H5" s="19">
        <v>3</v>
      </c>
      <c r="I5" s="19"/>
      <c r="J5" s="19">
        <v>2200</v>
      </c>
      <c r="K5" s="19"/>
      <c r="L5" s="20">
        <v>3</v>
      </c>
      <c r="M5" s="21">
        <v>3</v>
      </c>
      <c r="N5" s="22">
        <v>3</v>
      </c>
      <c r="O5" s="22">
        <v>0</v>
      </c>
      <c r="P5" s="20">
        <v>0</v>
      </c>
      <c r="Q5" s="23">
        <v>2200</v>
      </c>
      <c r="R5" s="20">
        <v>2200</v>
      </c>
      <c r="S5" s="20">
        <v>2200</v>
      </c>
      <c r="T5" s="18">
        <v>6600</v>
      </c>
      <c r="U5" s="24"/>
      <c r="V5" s="25" t="s">
        <v>3081</v>
      </c>
    </row>
    <row r="6" spans="1:23" ht="26.25">
      <c r="A6" s="66">
        <v>1481</v>
      </c>
      <c r="B6" s="15" t="s">
        <v>3081</v>
      </c>
      <c r="C6" s="16">
        <v>3</v>
      </c>
      <c r="D6" s="16">
        <v>3</v>
      </c>
      <c r="E6" s="16" t="s">
        <v>3083</v>
      </c>
      <c r="F6" s="17" t="s">
        <v>24</v>
      </c>
      <c r="G6" s="18">
        <v>1</v>
      </c>
      <c r="H6" s="19">
        <v>2</v>
      </c>
      <c r="I6" s="19"/>
      <c r="J6" s="19">
        <v>2200</v>
      </c>
      <c r="K6" s="19"/>
      <c r="L6" s="20">
        <v>2</v>
      </c>
      <c r="M6" s="21">
        <v>2</v>
      </c>
      <c r="N6" s="22">
        <v>2</v>
      </c>
      <c r="O6" s="22">
        <v>0</v>
      </c>
      <c r="P6" s="20">
        <v>0</v>
      </c>
      <c r="Q6" s="23">
        <v>2200</v>
      </c>
      <c r="R6" s="20">
        <v>2200</v>
      </c>
      <c r="S6" s="20">
        <v>2200</v>
      </c>
      <c r="T6" s="18">
        <v>4400</v>
      </c>
      <c r="U6" s="24" t="s">
        <v>3084</v>
      </c>
      <c r="V6" s="25" t="s">
        <v>3081</v>
      </c>
    </row>
    <row r="7" spans="1:23" ht="26.25">
      <c r="A7" s="66">
        <v>1482</v>
      </c>
      <c r="B7" s="15" t="s">
        <v>3081</v>
      </c>
      <c r="C7" s="16">
        <v>4</v>
      </c>
      <c r="D7" s="16">
        <v>4</v>
      </c>
      <c r="E7" s="16" t="s">
        <v>3085</v>
      </c>
      <c r="F7" s="17" t="s">
        <v>24</v>
      </c>
      <c r="G7" s="18">
        <v>1</v>
      </c>
      <c r="H7" s="19">
        <v>6</v>
      </c>
      <c r="I7" s="19"/>
      <c r="J7" s="19"/>
      <c r="K7" s="19"/>
      <c r="L7" s="20">
        <v>6</v>
      </c>
      <c r="M7" s="21">
        <v>6</v>
      </c>
      <c r="N7" s="22">
        <v>6</v>
      </c>
      <c r="O7" s="22">
        <v>0</v>
      </c>
      <c r="P7" s="20">
        <v>0</v>
      </c>
      <c r="Q7" s="23">
        <v>0</v>
      </c>
      <c r="R7" s="20">
        <v>0</v>
      </c>
      <c r="S7" s="20">
        <v>0</v>
      </c>
      <c r="T7" s="18">
        <v>0</v>
      </c>
      <c r="U7" s="24" t="s">
        <v>3084</v>
      </c>
      <c r="V7" s="25" t="s">
        <v>3081</v>
      </c>
    </row>
    <row r="8" spans="1:23" ht="26.25">
      <c r="A8" s="67">
        <v>1483</v>
      </c>
      <c r="B8" s="15" t="s">
        <v>3081</v>
      </c>
      <c r="C8" s="16">
        <v>5</v>
      </c>
      <c r="D8" s="16">
        <v>5</v>
      </c>
      <c r="E8" s="16" t="s">
        <v>3086</v>
      </c>
      <c r="F8" s="17" t="s">
        <v>24</v>
      </c>
      <c r="G8" s="18">
        <v>1</v>
      </c>
      <c r="H8" s="19">
        <v>8</v>
      </c>
      <c r="I8" s="19"/>
      <c r="J8" s="19"/>
      <c r="K8" s="19"/>
      <c r="L8" s="20">
        <v>8</v>
      </c>
      <c r="M8" s="21">
        <v>8</v>
      </c>
      <c r="N8" s="22">
        <v>8</v>
      </c>
      <c r="O8" s="22">
        <v>0</v>
      </c>
      <c r="P8" s="20">
        <v>0</v>
      </c>
      <c r="Q8" s="23">
        <v>0</v>
      </c>
      <c r="R8" s="20">
        <v>0</v>
      </c>
      <c r="S8" s="20">
        <v>0</v>
      </c>
      <c r="T8" s="18">
        <v>0</v>
      </c>
      <c r="U8" s="24"/>
      <c r="V8" s="25" t="s">
        <v>3081</v>
      </c>
    </row>
    <row r="9" spans="1:23" ht="26.25">
      <c r="A9" s="66">
        <v>1484</v>
      </c>
      <c r="B9" s="15" t="s">
        <v>3081</v>
      </c>
      <c r="C9" s="16">
        <v>6</v>
      </c>
      <c r="D9" s="16">
        <v>6</v>
      </c>
      <c r="E9" s="16" t="s">
        <v>3087</v>
      </c>
      <c r="F9" s="17" t="s">
        <v>24</v>
      </c>
      <c r="G9" s="18">
        <v>1</v>
      </c>
      <c r="H9" s="19">
        <v>2</v>
      </c>
      <c r="I9" s="19"/>
      <c r="J9" s="19"/>
      <c r="K9" s="19"/>
      <c r="L9" s="20">
        <v>2</v>
      </c>
      <c r="M9" s="21">
        <v>2</v>
      </c>
      <c r="N9" s="22">
        <v>2</v>
      </c>
      <c r="O9" s="22">
        <v>0</v>
      </c>
      <c r="P9" s="20">
        <v>0</v>
      </c>
      <c r="Q9" s="23">
        <v>0</v>
      </c>
      <c r="R9" s="20">
        <v>0</v>
      </c>
      <c r="S9" s="20">
        <v>0</v>
      </c>
      <c r="T9" s="18">
        <v>0</v>
      </c>
      <c r="U9" s="24"/>
      <c r="V9" s="25" t="s">
        <v>3081</v>
      </c>
    </row>
    <row r="10" spans="1:23" ht="26.25">
      <c r="A10" s="66">
        <v>1485</v>
      </c>
      <c r="B10" s="15" t="s">
        <v>3081</v>
      </c>
      <c r="C10" s="16">
        <v>7</v>
      </c>
      <c r="D10" s="16">
        <v>7</v>
      </c>
      <c r="E10" s="16" t="s">
        <v>3088</v>
      </c>
      <c r="F10" s="17" t="s">
        <v>24</v>
      </c>
      <c r="G10" s="18">
        <v>1</v>
      </c>
      <c r="H10" s="19">
        <v>1</v>
      </c>
      <c r="I10" s="19"/>
      <c r="J10" s="19"/>
      <c r="K10" s="19"/>
      <c r="L10" s="20">
        <v>1</v>
      </c>
      <c r="M10" s="21">
        <v>1</v>
      </c>
      <c r="N10" s="22">
        <v>1</v>
      </c>
      <c r="O10" s="22">
        <v>0</v>
      </c>
      <c r="P10" s="20">
        <v>0</v>
      </c>
      <c r="Q10" s="23">
        <v>0</v>
      </c>
      <c r="R10" s="20">
        <v>0</v>
      </c>
      <c r="S10" s="20">
        <v>0</v>
      </c>
      <c r="T10" s="18">
        <v>0</v>
      </c>
      <c r="U10" s="24"/>
      <c r="V10" s="25" t="s">
        <v>3081</v>
      </c>
    </row>
    <row r="11" spans="1:23" ht="26.25">
      <c r="A11" s="67">
        <v>1486</v>
      </c>
      <c r="B11" s="15" t="s">
        <v>3081</v>
      </c>
      <c r="C11" s="16">
        <v>8</v>
      </c>
      <c r="D11" s="16">
        <v>8</v>
      </c>
      <c r="E11" s="16" t="s">
        <v>3089</v>
      </c>
      <c r="F11" s="17" t="s">
        <v>24</v>
      </c>
      <c r="G11" s="18">
        <v>1</v>
      </c>
      <c r="H11" s="19">
        <v>3</v>
      </c>
      <c r="I11" s="19"/>
      <c r="J11" s="19"/>
      <c r="K11" s="19"/>
      <c r="L11" s="20">
        <v>3</v>
      </c>
      <c r="M11" s="21">
        <v>3</v>
      </c>
      <c r="N11" s="22">
        <v>3</v>
      </c>
      <c r="O11" s="22">
        <v>0</v>
      </c>
      <c r="P11" s="20">
        <v>0</v>
      </c>
      <c r="Q11" s="23">
        <v>0</v>
      </c>
      <c r="R11" s="20">
        <v>0</v>
      </c>
      <c r="S11" s="20">
        <v>0</v>
      </c>
      <c r="T11" s="18">
        <v>0</v>
      </c>
      <c r="U11" s="24"/>
      <c r="V11" s="25" t="s">
        <v>3081</v>
      </c>
    </row>
    <row r="12" spans="1:23" ht="26.25">
      <c r="A12" s="66">
        <v>1487</v>
      </c>
      <c r="B12" s="15" t="s">
        <v>3081</v>
      </c>
      <c r="C12" s="16">
        <v>9</v>
      </c>
      <c r="D12" s="16">
        <v>9</v>
      </c>
      <c r="E12" s="16" t="s">
        <v>3090</v>
      </c>
      <c r="F12" s="17" t="s">
        <v>24</v>
      </c>
      <c r="G12" s="18">
        <v>1</v>
      </c>
      <c r="H12" s="19">
        <v>1</v>
      </c>
      <c r="I12" s="19"/>
      <c r="J12" s="19"/>
      <c r="K12" s="19"/>
      <c r="L12" s="20">
        <v>1</v>
      </c>
      <c r="M12" s="21">
        <v>1</v>
      </c>
      <c r="N12" s="22">
        <v>1</v>
      </c>
      <c r="O12" s="22">
        <v>0</v>
      </c>
      <c r="P12" s="20">
        <v>0</v>
      </c>
      <c r="Q12" s="23">
        <v>0</v>
      </c>
      <c r="R12" s="20">
        <v>0</v>
      </c>
      <c r="S12" s="20">
        <v>0</v>
      </c>
      <c r="T12" s="18">
        <v>0</v>
      </c>
      <c r="U12" s="24"/>
      <c r="V12" s="25" t="s">
        <v>3081</v>
      </c>
    </row>
    <row r="13" spans="1:23" ht="26.25">
      <c r="A13" s="66">
        <v>1488</v>
      </c>
      <c r="B13" s="15" t="s">
        <v>3081</v>
      </c>
      <c r="C13" s="16">
        <v>10</v>
      </c>
      <c r="D13" s="16">
        <v>10</v>
      </c>
      <c r="E13" s="16" t="s">
        <v>3091</v>
      </c>
      <c r="F13" s="17" t="s">
        <v>24</v>
      </c>
      <c r="G13" s="18">
        <v>1</v>
      </c>
      <c r="H13" s="19">
        <v>1</v>
      </c>
      <c r="I13" s="19"/>
      <c r="J13" s="19"/>
      <c r="K13" s="19"/>
      <c r="L13" s="20">
        <v>1</v>
      </c>
      <c r="M13" s="21">
        <v>1</v>
      </c>
      <c r="N13" s="22">
        <v>1</v>
      </c>
      <c r="O13" s="22">
        <v>0</v>
      </c>
      <c r="P13" s="20">
        <v>0</v>
      </c>
      <c r="Q13" s="23">
        <v>0</v>
      </c>
      <c r="R13" s="20">
        <v>0</v>
      </c>
      <c r="S13" s="20">
        <v>0</v>
      </c>
      <c r="T13" s="18">
        <v>0</v>
      </c>
      <c r="U13" s="24"/>
      <c r="V13" s="25" t="s">
        <v>3081</v>
      </c>
    </row>
    <row r="14" spans="1:23" ht="26.25">
      <c r="A14" s="67">
        <v>1489</v>
      </c>
      <c r="B14" s="15" t="s">
        <v>3081</v>
      </c>
      <c r="C14" s="16">
        <v>11</v>
      </c>
      <c r="D14" s="16">
        <v>11</v>
      </c>
      <c r="E14" s="16" t="s">
        <v>3092</v>
      </c>
      <c r="F14" s="17" t="s">
        <v>1185</v>
      </c>
      <c r="G14" s="18">
        <v>1</v>
      </c>
      <c r="H14" s="19">
        <v>1</v>
      </c>
      <c r="I14" s="19"/>
      <c r="J14" s="19"/>
      <c r="K14" s="19"/>
      <c r="L14" s="20">
        <v>1</v>
      </c>
      <c r="M14" s="21">
        <v>1</v>
      </c>
      <c r="N14" s="22">
        <v>1</v>
      </c>
      <c r="O14" s="22">
        <v>0</v>
      </c>
      <c r="P14" s="20">
        <v>0</v>
      </c>
      <c r="Q14" s="23">
        <v>0</v>
      </c>
      <c r="R14" s="20">
        <v>0</v>
      </c>
      <c r="S14" s="20">
        <v>0</v>
      </c>
      <c r="T14" s="18">
        <v>0</v>
      </c>
      <c r="U14" s="24"/>
      <c r="V14" s="25" t="s">
        <v>3081</v>
      </c>
    </row>
    <row r="15" spans="1:23" ht="26.25">
      <c r="A15" s="66">
        <v>1490</v>
      </c>
      <c r="B15" s="15" t="s">
        <v>3081</v>
      </c>
      <c r="C15" s="16">
        <v>12</v>
      </c>
      <c r="D15" s="16">
        <v>12</v>
      </c>
      <c r="E15" s="16" t="s">
        <v>2446</v>
      </c>
      <c r="F15" s="17" t="s">
        <v>1185</v>
      </c>
      <c r="G15" s="18">
        <v>1</v>
      </c>
      <c r="H15" s="19">
        <v>1</v>
      </c>
      <c r="I15" s="19"/>
      <c r="J15" s="19"/>
      <c r="K15" s="19"/>
      <c r="L15" s="20">
        <v>1</v>
      </c>
      <c r="M15" s="21">
        <v>1</v>
      </c>
      <c r="N15" s="22">
        <v>1</v>
      </c>
      <c r="O15" s="22">
        <v>0</v>
      </c>
      <c r="P15" s="20">
        <v>0</v>
      </c>
      <c r="Q15" s="23">
        <v>0</v>
      </c>
      <c r="R15" s="20">
        <v>0</v>
      </c>
      <c r="S15" s="20">
        <v>0</v>
      </c>
      <c r="T15" s="18">
        <v>0</v>
      </c>
      <c r="U15" s="24"/>
      <c r="V15" s="25" t="s">
        <v>3081</v>
      </c>
    </row>
    <row r="16" spans="1:23" ht="26.25">
      <c r="A16" s="66">
        <v>1491</v>
      </c>
      <c r="B16" s="15" t="s">
        <v>3081</v>
      </c>
      <c r="C16" s="16">
        <v>13</v>
      </c>
      <c r="D16" s="16">
        <v>13</v>
      </c>
      <c r="E16" s="16" t="s">
        <v>3093</v>
      </c>
      <c r="F16" s="17" t="s">
        <v>24</v>
      </c>
      <c r="G16" s="18">
        <v>1</v>
      </c>
      <c r="H16" s="19">
        <v>2</v>
      </c>
      <c r="I16" s="19"/>
      <c r="J16" s="19"/>
      <c r="K16" s="19"/>
      <c r="L16" s="20">
        <v>2</v>
      </c>
      <c r="M16" s="21">
        <v>2</v>
      </c>
      <c r="N16" s="22">
        <v>2</v>
      </c>
      <c r="O16" s="22">
        <v>0</v>
      </c>
      <c r="P16" s="20">
        <v>0</v>
      </c>
      <c r="Q16" s="23">
        <v>0</v>
      </c>
      <c r="R16" s="20">
        <v>0</v>
      </c>
      <c r="S16" s="20">
        <v>0</v>
      </c>
      <c r="T16" s="18">
        <v>0</v>
      </c>
      <c r="U16" s="24"/>
      <c r="V16" s="25" t="s">
        <v>3081</v>
      </c>
    </row>
    <row r="17" spans="1:22" ht="26.25">
      <c r="A17" s="67">
        <v>1492</v>
      </c>
      <c r="B17" s="15" t="s">
        <v>3081</v>
      </c>
      <c r="C17" s="16">
        <v>14</v>
      </c>
      <c r="D17" s="16">
        <v>14</v>
      </c>
      <c r="E17" s="16" t="s">
        <v>3094</v>
      </c>
      <c r="F17" s="17" t="s">
        <v>24</v>
      </c>
      <c r="G17" s="18">
        <v>1</v>
      </c>
      <c r="H17" s="19">
        <v>1</v>
      </c>
      <c r="I17" s="19"/>
      <c r="J17" s="19"/>
      <c r="K17" s="19"/>
      <c r="L17" s="20">
        <v>1</v>
      </c>
      <c r="M17" s="21">
        <v>1</v>
      </c>
      <c r="N17" s="22">
        <v>1</v>
      </c>
      <c r="O17" s="22">
        <v>0</v>
      </c>
      <c r="P17" s="20">
        <v>0</v>
      </c>
      <c r="Q17" s="23">
        <v>0</v>
      </c>
      <c r="R17" s="20">
        <v>0</v>
      </c>
      <c r="S17" s="20">
        <v>0</v>
      </c>
      <c r="T17" s="18">
        <v>0</v>
      </c>
      <c r="U17" s="24"/>
      <c r="V17" s="25" t="s">
        <v>3081</v>
      </c>
    </row>
    <row r="18" spans="1:22" ht="26.25">
      <c r="A18" s="66">
        <v>1493</v>
      </c>
      <c r="B18" s="15" t="s">
        <v>3081</v>
      </c>
      <c r="C18" s="16">
        <v>15</v>
      </c>
      <c r="D18" s="16">
        <v>15</v>
      </c>
      <c r="E18" s="16" t="s">
        <v>3095</v>
      </c>
      <c r="F18" s="17" t="s">
        <v>24</v>
      </c>
      <c r="G18" s="18">
        <v>1</v>
      </c>
      <c r="H18" s="19">
        <v>1</v>
      </c>
      <c r="I18" s="19"/>
      <c r="J18" s="19"/>
      <c r="K18" s="19"/>
      <c r="L18" s="20">
        <v>1</v>
      </c>
      <c r="M18" s="21">
        <v>1</v>
      </c>
      <c r="N18" s="22">
        <v>1</v>
      </c>
      <c r="O18" s="22">
        <v>0</v>
      </c>
      <c r="P18" s="20">
        <v>0</v>
      </c>
      <c r="Q18" s="23">
        <v>0</v>
      </c>
      <c r="R18" s="20">
        <v>0</v>
      </c>
      <c r="S18" s="20">
        <v>0</v>
      </c>
      <c r="T18" s="18">
        <v>0</v>
      </c>
      <c r="U18" s="24"/>
      <c r="V18" s="25" t="s">
        <v>3081</v>
      </c>
    </row>
    <row r="19" spans="1:22" ht="26.25">
      <c r="A19" s="66">
        <v>1494</v>
      </c>
      <c r="B19" s="15" t="s">
        <v>3081</v>
      </c>
      <c r="C19" s="16">
        <v>16</v>
      </c>
      <c r="D19" s="16">
        <v>16</v>
      </c>
      <c r="E19" s="16" t="s">
        <v>3096</v>
      </c>
      <c r="F19" s="17" t="s">
        <v>24</v>
      </c>
      <c r="G19" s="18">
        <v>1</v>
      </c>
      <c r="H19" s="19">
        <v>1</v>
      </c>
      <c r="I19" s="19"/>
      <c r="J19" s="19"/>
      <c r="K19" s="19"/>
      <c r="L19" s="20">
        <v>1</v>
      </c>
      <c r="M19" s="21">
        <v>1</v>
      </c>
      <c r="N19" s="22">
        <v>1</v>
      </c>
      <c r="O19" s="22">
        <v>0</v>
      </c>
      <c r="P19" s="20">
        <v>0</v>
      </c>
      <c r="Q19" s="23">
        <v>0</v>
      </c>
      <c r="R19" s="20">
        <v>0</v>
      </c>
      <c r="S19" s="20">
        <v>0</v>
      </c>
      <c r="T19" s="18">
        <v>0</v>
      </c>
      <c r="U19" s="24"/>
      <c r="V19" s="25" t="s">
        <v>3081</v>
      </c>
    </row>
    <row r="20" spans="1:22" ht="26.25">
      <c r="A20" s="66">
        <v>1935</v>
      </c>
      <c r="B20" s="15" t="s">
        <v>3097</v>
      </c>
      <c r="C20" s="16">
        <v>17</v>
      </c>
      <c r="D20" s="16">
        <v>17</v>
      </c>
      <c r="E20" s="16" t="s">
        <v>2759</v>
      </c>
      <c r="F20" s="17" t="s">
        <v>24</v>
      </c>
      <c r="G20" s="18">
        <v>1</v>
      </c>
      <c r="H20" s="19">
        <v>5</v>
      </c>
      <c r="I20" s="19"/>
      <c r="J20" s="19"/>
      <c r="K20" s="19"/>
      <c r="L20" s="20">
        <v>5</v>
      </c>
      <c r="M20" s="21">
        <v>5</v>
      </c>
      <c r="N20" s="22">
        <v>5</v>
      </c>
      <c r="O20" s="22">
        <v>0</v>
      </c>
      <c r="P20" s="20">
        <v>0</v>
      </c>
      <c r="Q20" s="23">
        <v>0</v>
      </c>
      <c r="R20" s="20">
        <v>0</v>
      </c>
      <c r="S20" s="20">
        <v>0</v>
      </c>
      <c r="T20" s="18">
        <v>0</v>
      </c>
      <c r="U20" s="24"/>
      <c r="V20" s="25" t="s">
        <v>3097</v>
      </c>
    </row>
    <row r="21" spans="1:22" ht="26.25">
      <c r="A21" s="67">
        <v>1933</v>
      </c>
      <c r="B21" s="15" t="s">
        <v>3097</v>
      </c>
      <c r="C21" s="16">
        <v>18</v>
      </c>
      <c r="D21" s="16">
        <v>18</v>
      </c>
      <c r="E21" s="16" t="s">
        <v>2757</v>
      </c>
      <c r="F21" s="17" t="s">
        <v>24</v>
      </c>
      <c r="G21" s="18">
        <v>1</v>
      </c>
      <c r="H21" s="19">
        <v>4</v>
      </c>
      <c r="I21" s="19"/>
      <c r="J21" s="19"/>
      <c r="K21" s="19"/>
      <c r="L21" s="20">
        <v>4</v>
      </c>
      <c r="M21" s="21">
        <v>4</v>
      </c>
      <c r="N21" s="22">
        <v>4</v>
      </c>
      <c r="O21" s="22">
        <v>0</v>
      </c>
      <c r="P21" s="20">
        <v>0</v>
      </c>
      <c r="Q21" s="23">
        <v>0</v>
      </c>
      <c r="R21" s="20">
        <v>0</v>
      </c>
      <c r="S21" s="20">
        <v>0</v>
      </c>
      <c r="T21" s="18">
        <v>0</v>
      </c>
      <c r="U21" s="24"/>
      <c r="V21" s="25" t="s">
        <v>3097</v>
      </c>
    </row>
    <row r="22" spans="1:22" ht="26.25">
      <c r="A22" s="66">
        <v>1934</v>
      </c>
      <c r="B22" s="15" t="s">
        <v>3097</v>
      </c>
      <c r="C22" s="16">
        <v>19</v>
      </c>
      <c r="D22" s="16">
        <v>19</v>
      </c>
      <c r="E22" s="16" t="s">
        <v>3098</v>
      </c>
      <c r="F22" s="17" t="s">
        <v>24</v>
      </c>
      <c r="G22" s="18">
        <v>1</v>
      </c>
      <c r="H22" s="19">
        <v>1</v>
      </c>
      <c r="I22" s="19"/>
      <c r="J22" s="19"/>
      <c r="K22" s="19"/>
      <c r="L22" s="20">
        <v>1</v>
      </c>
      <c r="M22" s="21">
        <v>1</v>
      </c>
      <c r="N22" s="22">
        <v>1</v>
      </c>
      <c r="O22" s="22">
        <v>0</v>
      </c>
      <c r="P22" s="20">
        <v>0</v>
      </c>
      <c r="Q22" s="23">
        <v>0</v>
      </c>
      <c r="R22" s="20">
        <v>0</v>
      </c>
      <c r="S22" s="20">
        <v>0</v>
      </c>
      <c r="T22" s="18">
        <v>0</v>
      </c>
      <c r="U22" s="24"/>
      <c r="V22" s="25" t="s">
        <v>3097</v>
      </c>
    </row>
    <row r="23" spans="1:22" ht="26.25">
      <c r="A23" s="66">
        <v>1932</v>
      </c>
      <c r="B23" s="15" t="s">
        <v>3097</v>
      </c>
      <c r="C23" s="16">
        <v>20</v>
      </c>
      <c r="D23" s="16">
        <v>20</v>
      </c>
      <c r="E23" s="16" t="s">
        <v>3099</v>
      </c>
      <c r="F23" s="17" t="s">
        <v>24</v>
      </c>
      <c r="G23" s="18">
        <v>1</v>
      </c>
      <c r="H23" s="19">
        <v>6</v>
      </c>
      <c r="I23" s="19"/>
      <c r="J23" s="19"/>
      <c r="K23" s="19"/>
      <c r="L23" s="20">
        <v>6</v>
      </c>
      <c r="M23" s="21">
        <v>6</v>
      </c>
      <c r="N23" s="22">
        <v>6</v>
      </c>
      <c r="O23" s="22">
        <v>0</v>
      </c>
      <c r="P23" s="20">
        <v>0</v>
      </c>
      <c r="Q23" s="23">
        <v>0</v>
      </c>
      <c r="R23" s="20">
        <v>0</v>
      </c>
      <c r="S23" s="20">
        <v>0</v>
      </c>
      <c r="T23" s="18">
        <v>0</v>
      </c>
      <c r="U23" s="24"/>
      <c r="V23" s="25" t="s">
        <v>3097</v>
      </c>
    </row>
    <row r="24" spans="1:22" ht="26.25">
      <c r="A24" s="67">
        <v>1936</v>
      </c>
      <c r="B24" s="15" t="s">
        <v>3097</v>
      </c>
      <c r="C24" s="16">
        <v>21</v>
      </c>
      <c r="D24" s="16">
        <v>21</v>
      </c>
      <c r="E24" s="16" t="s">
        <v>3100</v>
      </c>
      <c r="F24" s="17" t="s">
        <v>24</v>
      </c>
      <c r="G24" s="18">
        <v>1</v>
      </c>
      <c r="H24" s="19">
        <v>3</v>
      </c>
      <c r="I24" s="19"/>
      <c r="J24" s="19"/>
      <c r="K24" s="19"/>
      <c r="L24" s="20">
        <v>3</v>
      </c>
      <c r="M24" s="21">
        <v>3</v>
      </c>
      <c r="N24" s="22">
        <v>3</v>
      </c>
      <c r="O24" s="22">
        <v>0</v>
      </c>
      <c r="P24" s="20">
        <v>0</v>
      </c>
      <c r="Q24" s="23">
        <v>0</v>
      </c>
      <c r="R24" s="20">
        <v>0</v>
      </c>
      <c r="S24" s="20">
        <v>0</v>
      </c>
      <c r="T24" s="18">
        <v>0</v>
      </c>
      <c r="U24" s="24"/>
      <c r="V24" s="25" t="s">
        <v>3097</v>
      </c>
    </row>
    <row r="25" spans="1:22" ht="26.25">
      <c r="A25" s="66">
        <v>1937</v>
      </c>
      <c r="B25" s="15" t="s">
        <v>3097</v>
      </c>
      <c r="C25" s="16">
        <v>22</v>
      </c>
      <c r="D25" s="16">
        <v>22</v>
      </c>
      <c r="E25" s="16" t="s">
        <v>2761</v>
      </c>
      <c r="F25" s="17" t="s">
        <v>24</v>
      </c>
      <c r="G25" s="18">
        <v>1</v>
      </c>
      <c r="H25" s="19">
        <v>3</v>
      </c>
      <c r="I25" s="19"/>
      <c r="J25" s="19">
        <v>150</v>
      </c>
      <c r="K25" s="19"/>
      <c r="L25" s="20">
        <v>3</v>
      </c>
      <c r="M25" s="21">
        <v>3</v>
      </c>
      <c r="N25" s="22">
        <v>3</v>
      </c>
      <c r="O25" s="22">
        <v>0</v>
      </c>
      <c r="P25" s="20">
        <v>0</v>
      </c>
      <c r="Q25" s="23">
        <v>150</v>
      </c>
      <c r="R25" s="20">
        <v>150</v>
      </c>
      <c r="S25" s="20">
        <v>150</v>
      </c>
      <c r="T25" s="18">
        <v>450</v>
      </c>
      <c r="U25" s="24" t="s">
        <v>3101</v>
      </c>
      <c r="V25" s="25" t="s">
        <v>3097</v>
      </c>
    </row>
    <row r="26" spans="1:22" ht="26.25">
      <c r="A26" s="66">
        <v>1509</v>
      </c>
      <c r="B26" s="15"/>
      <c r="C26" s="16">
        <v>23</v>
      </c>
      <c r="D26" s="16">
        <v>23</v>
      </c>
      <c r="E26" s="16" t="s">
        <v>3102</v>
      </c>
      <c r="F26" s="17" t="s">
        <v>24</v>
      </c>
      <c r="G26" s="18">
        <v>1</v>
      </c>
      <c r="H26" s="19">
        <v>21</v>
      </c>
      <c r="I26" s="19"/>
      <c r="J26" s="19"/>
      <c r="K26" s="19"/>
      <c r="L26" s="20">
        <v>21</v>
      </c>
      <c r="M26" s="21">
        <v>21</v>
      </c>
      <c r="N26" s="22">
        <v>21</v>
      </c>
      <c r="O26" s="22">
        <v>0</v>
      </c>
      <c r="P26" s="20">
        <v>0</v>
      </c>
      <c r="Q26" s="23">
        <v>0</v>
      </c>
      <c r="R26" s="20">
        <v>0</v>
      </c>
      <c r="S26" s="20">
        <v>0</v>
      </c>
      <c r="T26" s="18">
        <v>0</v>
      </c>
      <c r="U26" s="24"/>
      <c r="V26" s="25">
        <v>0</v>
      </c>
    </row>
    <row r="27" spans="1:22" ht="26.25">
      <c r="A27" s="66">
        <v>1902</v>
      </c>
      <c r="B27" s="15" t="s">
        <v>3103</v>
      </c>
      <c r="C27" s="16">
        <v>24</v>
      </c>
      <c r="D27" s="16">
        <v>24</v>
      </c>
      <c r="E27" s="16" t="s">
        <v>3104</v>
      </c>
      <c r="F27" s="17" t="s">
        <v>24</v>
      </c>
      <c r="G27" s="18">
        <v>1</v>
      </c>
      <c r="H27" s="19">
        <v>1</v>
      </c>
      <c r="I27" s="19"/>
      <c r="J27" s="19"/>
      <c r="K27" s="19"/>
      <c r="L27" s="20">
        <v>1</v>
      </c>
      <c r="M27" s="21">
        <v>1</v>
      </c>
      <c r="N27" s="22">
        <v>1</v>
      </c>
      <c r="O27" s="22">
        <v>0</v>
      </c>
      <c r="P27" s="20">
        <v>0</v>
      </c>
      <c r="Q27" s="23">
        <v>0</v>
      </c>
      <c r="R27" s="20">
        <v>0</v>
      </c>
      <c r="S27" s="20">
        <v>0</v>
      </c>
      <c r="T27" s="18">
        <v>0</v>
      </c>
      <c r="U27" s="24"/>
      <c r="V27" s="25" t="s">
        <v>3103</v>
      </c>
    </row>
    <row r="28" spans="1:22" ht="26.25">
      <c r="A28" s="66">
        <v>1902</v>
      </c>
      <c r="B28" s="15"/>
      <c r="C28" s="16">
        <v>25</v>
      </c>
      <c r="D28" s="16">
        <v>25</v>
      </c>
      <c r="E28" s="16"/>
      <c r="F28" s="17"/>
      <c r="G28" s="18"/>
      <c r="H28" s="19"/>
      <c r="I28" s="19"/>
      <c r="J28" s="19"/>
      <c r="K28" s="19"/>
      <c r="L28" s="20">
        <v>0</v>
      </c>
      <c r="M28" s="21" t="s">
        <v>3105</v>
      </c>
      <c r="N28" s="22" t="s">
        <v>3105</v>
      </c>
      <c r="O28" s="22" t="b">
        <v>0</v>
      </c>
      <c r="P28" s="20" t="s">
        <v>3105</v>
      </c>
      <c r="Q28" s="23">
        <v>0</v>
      </c>
      <c r="R28" s="20" t="s">
        <v>3105</v>
      </c>
      <c r="S28" s="20">
        <v>0</v>
      </c>
      <c r="T28" s="18" t="s">
        <v>3105</v>
      </c>
      <c r="U28" s="24"/>
      <c r="V28" s="25">
        <v>0</v>
      </c>
    </row>
    <row r="29" spans="1:22" ht="26.25">
      <c r="A29" s="67">
        <v>1903</v>
      </c>
      <c r="B29" s="15" t="s">
        <v>3103</v>
      </c>
      <c r="C29" s="16">
        <v>26</v>
      </c>
      <c r="D29" s="16">
        <v>26</v>
      </c>
      <c r="E29" s="16" t="s">
        <v>3106</v>
      </c>
      <c r="F29" s="17" t="s">
        <v>24</v>
      </c>
      <c r="G29" s="18">
        <v>1</v>
      </c>
      <c r="H29" s="19">
        <v>12</v>
      </c>
      <c r="I29" s="19"/>
      <c r="J29" s="19">
        <v>500</v>
      </c>
      <c r="K29" s="19"/>
      <c r="L29" s="20">
        <v>12</v>
      </c>
      <c r="M29" s="21">
        <v>12</v>
      </c>
      <c r="N29" s="22">
        <v>12</v>
      </c>
      <c r="O29" s="22">
        <v>0</v>
      </c>
      <c r="P29" s="20">
        <v>0</v>
      </c>
      <c r="Q29" s="23">
        <v>500</v>
      </c>
      <c r="R29" s="20">
        <v>500</v>
      </c>
      <c r="S29" s="20">
        <v>500</v>
      </c>
      <c r="T29" s="18">
        <v>6000</v>
      </c>
      <c r="U29" s="24" t="s">
        <v>3101</v>
      </c>
      <c r="V29" s="25" t="s">
        <v>3103</v>
      </c>
    </row>
    <row r="30" spans="1:22" ht="26.25">
      <c r="A30" s="67">
        <v>1912</v>
      </c>
      <c r="B30" s="15" t="s">
        <v>3103</v>
      </c>
      <c r="C30" s="16">
        <v>27</v>
      </c>
      <c r="D30" s="16">
        <v>27</v>
      </c>
      <c r="E30" s="16" t="s">
        <v>3107</v>
      </c>
      <c r="F30" s="17" t="s">
        <v>24</v>
      </c>
      <c r="G30" s="18">
        <v>1</v>
      </c>
      <c r="H30" s="19">
        <v>4</v>
      </c>
      <c r="I30" s="19"/>
      <c r="J30" s="19">
        <v>600</v>
      </c>
      <c r="K30" s="19"/>
      <c r="L30" s="20">
        <v>4</v>
      </c>
      <c r="M30" s="21">
        <v>4</v>
      </c>
      <c r="N30" s="22">
        <v>4</v>
      </c>
      <c r="O30" s="22">
        <v>0</v>
      </c>
      <c r="P30" s="20">
        <v>0</v>
      </c>
      <c r="Q30" s="23">
        <v>600</v>
      </c>
      <c r="R30" s="20">
        <v>600</v>
      </c>
      <c r="S30" s="20">
        <v>600</v>
      </c>
      <c r="T30" s="18">
        <v>2400</v>
      </c>
      <c r="U30" s="24" t="s">
        <v>3101</v>
      </c>
      <c r="V30" s="25" t="s">
        <v>3103</v>
      </c>
    </row>
    <row r="31" spans="1:22" ht="26.25">
      <c r="A31" s="66">
        <v>1917</v>
      </c>
      <c r="B31" s="15" t="s">
        <v>3103</v>
      </c>
      <c r="C31" s="16">
        <v>28</v>
      </c>
      <c r="D31" s="16">
        <v>28</v>
      </c>
      <c r="E31" s="16" t="s">
        <v>3108</v>
      </c>
      <c r="F31" s="17" t="s">
        <v>24</v>
      </c>
      <c r="G31" s="18">
        <v>1</v>
      </c>
      <c r="H31" s="19">
        <v>4</v>
      </c>
      <c r="I31" s="19"/>
      <c r="J31" s="19">
        <v>700</v>
      </c>
      <c r="K31" s="19"/>
      <c r="L31" s="20">
        <v>4</v>
      </c>
      <c r="M31" s="21">
        <v>4</v>
      </c>
      <c r="N31" s="22">
        <v>4</v>
      </c>
      <c r="O31" s="22">
        <v>0</v>
      </c>
      <c r="P31" s="20">
        <v>0</v>
      </c>
      <c r="Q31" s="23">
        <v>700</v>
      </c>
      <c r="R31" s="20">
        <v>700</v>
      </c>
      <c r="S31" s="20">
        <v>700</v>
      </c>
      <c r="T31" s="18">
        <v>2800</v>
      </c>
      <c r="U31" s="24" t="s">
        <v>3101</v>
      </c>
      <c r="V31" s="25" t="s">
        <v>3103</v>
      </c>
    </row>
    <row r="32" spans="1:22" ht="26.25">
      <c r="A32" s="67">
        <v>1918</v>
      </c>
      <c r="B32" s="15" t="s">
        <v>3103</v>
      </c>
      <c r="C32" s="16">
        <v>29</v>
      </c>
      <c r="D32" s="16">
        <v>29</v>
      </c>
      <c r="E32" s="16" t="s">
        <v>3109</v>
      </c>
      <c r="F32" s="17" t="s">
        <v>24</v>
      </c>
      <c r="G32" s="18">
        <v>1</v>
      </c>
      <c r="H32" s="19">
        <v>1</v>
      </c>
      <c r="I32" s="19"/>
      <c r="J32" s="19">
        <v>500</v>
      </c>
      <c r="K32" s="19"/>
      <c r="L32" s="20">
        <v>1</v>
      </c>
      <c r="M32" s="21">
        <v>1</v>
      </c>
      <c r="N32" s="22">
        <v>1</v>
      </c>
      <c r="O32" s="22">
        <v>0</v>
      </c>
      <c r="P32" s="20">
        <v>0</v>
      </c>
      <c r="Q32" s="23">
        <v>500</v>
      </c>
      <c r="R32" s="20">
        <v>500</v>
      </c>
      <c r="S32" s="20">
        <v>500</v>
      </c>
      <c r="T32" s="18">
        <v>500</v>
      </c>
      <c r="U32" s="24" t="s">
        <v>3101</v>
      </c>
      <c r="V32" s="25" t="s">
        <v>3103</v>
      </c>
    </row>
    <row r="33" spans="1:23" ht="26.25">
      <c r="A33" s="66">
        <v>1919</v>
      </c>
      <c r="B33" s="15" t="s">
        <v>3103</v>
      </c>
      <c r="C33" s="16">
        <v>30</v>
      </c>
      <c r="D33" s="16">
        <v>30</v>
      </c>
      <c r="E33" s="16" t="s">
        <v>3110</v>
      </c>
      <c r="F33" s="17" t="s">
        <v>24</v>
      </c>
      <c r="G33" s="18">
        <v>1</v>
      </c>
      <c r="H33" s="19">
        <v>2</v>
      </c>
      <c r="I33" s="19"/>
      <c r="J33" s="19">
        <v>500</v>
      </c>
      <c r="K33" s="19"/>
      <c r="L33" s="20">
        <v>2</v>
      </c>
      <c r="M33" s="21">
        <v>2</v>
      </c>
      <c r="N33" s="22">
        <v>2</v>
      </c>
      <c r="O33" s="22">
        <v>0</v>
      </c>
      <c r="P33" s="20">
        <v>0</v>
      </c>
      <c r="Q33" s="23">
        <v>500</v>
      </c>
      <c r="R33" s="20">
        <v>500</v>
      </c>
      <c r="S33" s="20">
        <v>500</v>
      </c>
      <c r="T33" s="18">
        <v>1000</v>
      </c>
      <c r="U33" s="24" t="s">
        <v>3101</v>
      </c>
      <c r="V33" s="25" t="s">
        <v>3103</v>
      </c>
    </row>
    <row r="34" spans="1:23" ht="26.25">
      <c r="A34" s="66">
        <v>1910</v>
      </c>
      <c r="B34" s="15" t="s">
        <v>3103</v>
      </c>
      <c r="C34" s="16">
        <v>31</v>
      </c>
      <c r="D34" s="16">
        <v>31</v>
      </c>
      <c r="E34" s="16" t="s">
        <v>3111</v>
      </c>
      <c r="F34" s="17" t="s">
        <v>24</v>
      </c>
      <c r="G34" s="18">
        <v>1</v>
      </c>
      <c r="H34" s="19">
        <v>1</v>
      </c>
      <c r="I34" s="19"/>
      <c r="J34" s="19">
        <v>600</v>
      </c>
      <c r="K34" s="19"/>
      <c r="L34" s="20">
        <v>1</v>
      </c>
      <c r="M34" s="21">
        <v>1</v>
      </c>
      <c r="N34" s="22">
        <v>1</v>
      </c>
      <c r="O34" s="22">
        <v>0</v>
      </c>
      <c r="P34" s="20">
        <v>0</v>
      </c>
      <c r="Q34" s="23">
        <v>600</v>
      </c>
      <c r="R34" s="20">
        <v>600</v>
      </c>
      <c r="S34" s="20">
        <v>600</v>
      </c>
      <c r="T34" s="18">
        <v>600</v>
      </c>
      <c r="U34" s="24" t="s">
        <v>3101</v>
      </c>
      <c r="V34" s="25" t="s">
        <v>3103</v>
      </c>
    </row>
    <row r="35" spans="1:23" ht="26.25">
      <c r="A35" s="66">
        <v>1911</v>
      </c>
      <c r="B35" s="15" t="s">
        <v>3103</v>
      </c>
      <c r="C35" s="16">
        <v>32</v>
      </c>
      <c r="D35" s="16">
        <v>32</v>
      </c>
      <c r="E35" s="16" t="s">
        <v>3112</v>
      </c>
      <c r="F35" s="17" t="s">
        <v>24</v>
      </c>
      <c r="G35" s="18">
        <v>1</v>
      </c>
      <c r="H35" s="19">
        <v>1</v>
      </c>
      <c r="I35" s="19"/>
      <c r="J35" s="19">
        <v>1200</v>
      </c>
      <c r="K35" s="19"/>
      <c r="L35" s="20">
        <v>1</v>
      </c>
      <c r="M35" s="21">
        <v>1</v>
      </c>
      <c r="N35" s="22">
        <v>1</v>
      </c>
      <c r="O35" s="22">
        <v>0</v>
      </c>
      <c r="P35" s="20">
        <v>0</v>
      </c>
      <c r="Q35" s="23">
        <v>1200</v>
      </c>
      <c r="R35" s="20">
        <v>1200</v>
      </c>
      <c r="S35" s="20">
        <v>1200</v>
      </c>
      <c r="T35" s="18">
        <v>1200</v>
      </c>
      <c r="U35" s="24" t="s">
        <v>3101</v>
      </c>
      <c r="V35" s="25" t="s">
        <v>3103</v>
      </c>
    </row>
    <row r="36" spans="1:23" ht="26.25">
      <c r="A36" s="67">
        <v>1906</v>
      </c>
      <c r="B36" s="15" t="s">
        <v>3103</v>
      </c>
      <c r="C36" s="16">
        <v>33</v>
      </c>
      <c r="D36" s="16">
        <v>33</v>
      </c>
      <c r="E36" s="16" t="s">
        <v>3113</v>
      </c>
      <c r="F36" s="17" t="s">
        <v>24</v>
      </c>
      <c r="G36" s="18">
        <v>1</v>
      </c>
      <c r="H36" s="19">
        <v>2</v>
      </c>
      <c r="I36" s="19"/>
      <c r="J36" s="19">
        <v>1100</v>
      </c>
      <c r="K36" s="19"/>
      <c r="L36" s="20">
        <v>2</v>
      </c>
      <c r="M36" s="21">
        <v>2</v>
      </c>
      <c r="N36" s="22">
        <v>2</v>
      </c>
      <c r="O36" s="22">
        <v>0</v>
      </c>
      <c r="P36" s="20">
        <v>0</v>
      </c>
      <c r="Q36" s="23">
        <v>1100</v>
      </c>
      <c r="R36" s="20">
        <v>1100</v>
      </c>
      <c r="S36" s="20">
        <v>1100</v>
      </c>
      <c r="T36" s="18">
        <v>2200</v>
      </c>
      <c r="U36" s="24" t="s">
        <v>3101</v>
      </c>
      <c r="V36" s="25" t="s">
        <v>3103</v>
      </c>
    </row>
    <row r="37" spans="1:23" ht="26.25">
      <c r="A37" s="67">
        <v>1930</v>
      </c>
      <c r="B37" s="15" t="s">
        <v>3103</v>
      </c>
      <c r="C37" s="16">
        <v>34</v>
      </c>
      <c r="D37" s="16">
        <v>34</v>
      </c>
      <c r="E37" s="16" t="s">
        <v>3114</v>
      </c>
      <c r="F37" s="17" t="s">
        <v>24</v>
      </c>
      <c r="G37" s="18">
        <v>1</v>
      </c>
      <c r="H37" s="19">
        <v>1</v>
      </c>
      <c r="I37" s="19"/>
      <c r="J37" s="19">
        <v>800</v>
      </c>
      <c r="K37" s="19"/>
      <c r="L37" s="20">
        <v>1</v>
      </c>
      <c r="M37" s="21">
        <v>1</v>
      </c>
      <c r="N37" s="22">
        <v>1</v>
      </c>
      <c r="O37" s="22">
        <v>0</v>
      </c>
      <c r="P37" s="20">
        <v>0</v>
      </c>
      <c r="Q37" s="23">
        <v>800</v>
      </c>
      <c r="R37" s="20">
        <v>800</v>
      </c>
      <c r="S37" s="20">
        <v>800</v>
      </c>
      <c r="T37" s="18">
        <v>800</v>
      </c>
      <c r="U37" s="24" t="s">
        <v>3101</v>
      </c>
      <c r="V37" s="25" t="s">
        <v>3103</v>
      </c>
    </row>
    <row r="38" spans="1:23" ht="26.25">
      <c r="A38" s="67">
        <v>1900</v>
      </c>
      <c r="B38" s="15" t="s">
        <v>3103</v>
      </c>
      <c r="C38" s="16">
        <v>35</v>
      </c>
      <c r="D38" s="16">
        <v>35</v>
      </c>
      <c r="E38" s="16" t="s">
        <v>3115</v>
      </c>
      <c r="F38" s="17" t="s">
        <v>24</v>
      </c>
      <c r="G38" s="18">
        <v>1</v>
      </c>
      <c r="H38" s="19">
        <v>4</v>
      </c>
      <c r="I38" s="19"/>
      <c r="J38" s="19">
        <v>650</v>
      </c>
      <c r="K38" s="19"/>
      <c r="L38" s="20">
        <v>4</v>
      </c>
      <c r="M38" s="21">
        <v>4</v>
      </c>
      <c r="N38" s="22">
        <v>4</v>
      </c>
      <c r="O38" s="22">
        <v>0</v>
      </c>
      <c r="P38" s="20">
        <v>0</v>
      </c>
      <c r="Q38" s="23">
        <v>650</v>
      </c>
      <c r="R38" s="20">
        <v>650</v>
      </c>
      <c r="S38" s="20">
        <v>650</v>
      </c>
      <c r="T38" s="18">
        <v>2600</v>
      </c>
      <c r="U38" s="24" t="s">
        <v>3101</v>
      </c>
      <c r="V38" s="25" t="s">
        <v>3103</v>
      </c>
    </row>
    <row r="39" spans="1:23" ht="26.25">
      <c r="A39" s="66">
        <v>1913</v>
      </c>
      <c r="B39" s="15" t="s">
        <v>3103</v>
      </c>
      <c r="C39" s="16">
        <v>36</v>
      </c>
      <c r="D39" s="16">
        <v>36</v>
      </c>
      <c r="E39" s="16" t="s">
        <v>3116</v>
      </c>
      <c r="F39" s="17" t="s">
        <v>24</v>
      </c>
      <c r="G39" s="18">
        <v>1</v>
      </c>
      <c r="H39" s="19">
        <v>2</v>
      </c>
      <c r="I39" s="19"/>
      <c r="J39" s="19">
        <v>600</v>
      </c>
      <c r="K39" s="19"/>
      <c r="L39" s="20">
        <v>2</v>
      </c>
      <c r="M39" s="21">
        <v>2</v>
      </c>
      <c r="N39" s="22">
        <v>2</v>
      </c>
      <c r="O39" s="22">
        <v>0</v>
      </c>
      <c r="P39" s="20">
        <v>0</v>
      </c>
      <c r="Q39" s="23">
        <v>600</v>
      </c>
      <c r="R39" s="20">
        <v>600</v>
      </c>
      <c r="S39" s="20">
        <v>600</v>
      </c>
      <c r="T39" s="18">
        <v>1200</v>
      </c>
      <c r="U39" s="24" t="s">
        <v>3101</v>
      </c>
      <c r="V39" s="25" t="s">
        <v>3103</v>
      </c>
    </row>
    <row r="40" spans="1:23" ht="26.25">
      <c r="A40" s="66">
        <v>1914</v>
      </c>
      <c r="B40" s="15" t="s">
        <v>3103</v>
      </c>
      <c r="C40" s="16">
        <v>37</v>
      </c>
      <c r="D40" s="16">
        <v>37</v>
      </c>
      <c r="E40" s="16" t="s">
        <v>3117</v>
      </c>
      <c r="F40" s="17" t="s">
        <v>24</v>
      </c>
      <c r="G40" s="18">
        <v>1</v>
      </c>
      <c r="H40" s="19">
        <v>2</v>
      </c>
      <c r="I40" s="19"/>
      <c r="J40" s="19">
        <v>850</v>
      </c>
      <c r="K40" s="19"/>
      <c r="L40" s="20">
        <v>2</v>
      </c>
      <c r="M40" s="21">
        <v>2</v>
      </c>
      <c r="N40" s="22">
        <v>2</v>
      </c>
      <c r="O40" s="22">
        <v>0</v>
      </c>
      <c r="P40" s="20">
        <v>0</v>
      </c>
      <c r="Q40" s="23">
        <v>850</v>
      </c>
      <c r="R40" s="20">
        <v>850</v>
      </c>
      <c r="S40" s="20">
        <v>850</v>
      </c>
      <c r="T40" s="18">
        <v>1700</v>
      </c>
      <c r="U40" s="24" t="s">
        <v>3101</v>
      </c>
      <c r="V40" s="25" t="s">
        <v>3103</v>
      </c>
    </row>
    <row r="41" spans="1:23" ht="26.25">
      <c r="A41" s="66">
        <v>1920</v>
      </c>
      <c r="B41" s="15" t="s">
        <v>3103</v>
      </c>
      <c r="C41" s="16">
        <v>38</v>
      </c>
      <c r="D41" s="16">
        <v>38</v>
      </c>
      <c r="E41" s="16" t="s">
        <v>3118</v>
      </c>
      <c r="F41" s="17" t="s">
        <v>24</v>
      </c>
      <c r="G41" s="18">
        <v>1</v>
      </c>
      <c r="H41" s="19">
        <v>8</v>
      </c>
      <c r="I41" s="19"/>
      <c r="J41" s="19">
        <v>1000</v>
      </c>
      <c r="K41" s="19"/>
      <c r="L41" s="20">
        <v>8</v>
      </c>
      <c r="M41" s="21">
        <v>8</v>
      </c>
      <c r="N41" s="22">
        <v>8</v>
      </c>
      <c r="O41" s="22">
        <v>0</v>
      </c>
      <c r="P41" s="20">
        <v>0</v>
      </c>
      <c r="Q41" s="23">
        <v>1000</v>
      </c>
      <c r="R41" s="20">
        <v>1000</v>
      </c>
      <c r="S41" s="20">
        <v>1000</v>
      </c>
      <c r="T41" s="18">
        <v>8000</v>
      </c>
      <c r="U41" s="24" t="s">
        <v>3119</v>
      </c>
      <c r="V41" s="25" t="s">
        <v>3103</v>
      </c>
    </row>
    <row r="42" spans="1:23" ht="26.25">
      <c r="A42" s="67">
        <v>1921</v>
      </c>
      <c r="B42" s="15" t="s">
        <v>3103</v>
      </c>
      <c r="C42" s="16">
        <v>39</v>
      </c>
      <c r="D42" s="16">
        <v>39</v>
      </c>
      <c r="E42" s="16" t="s">
        <v>3120</v>
      </c>
      <c r="F42" s="17" t="s">
        <v>24</v>
      </c>
      <c r="G42" s="18">
        <v>1</v>
      </c>
      <c r="H42" s="19">
        <v>4</v>
      </c>
      <c r="I42" s="19"/>
      <c r="J42" s="19">
        <v>1300</v>
      </c>
      <c r="K42" s="19"/>
      <c r="L42" s="20">
        <v>4</v>
      </c>
      <c r="M42" s="21">
        <v>4</v>
      </c>
      <c r="N42" s="22">
        <v>4</v>
      </c>
      <c r="O42" s="22">
        <v>0</v>
      </c>
      <c r="P42" s="20">
        <v>0</v>
      </c>
      <c r="Q42" s="23">
        <v>1300</v>
      </c>
      <c r="R42" s="20">
        <v>1300</v>
      </c>
      <c r="S42" s="20">
        <v>1300</v>
      </c>
      <c r="T42" s="18">
        <v>5200</v>
      </c>
      <c r="U42" s="24" t="s">
        <v>3101</v>
      </c>
      <c r="V42" s="25" t="s">
        <v>3103</v>
      </c>
      <c r="W42" s="3">
        <v>350</v>
      </c>
    </row>
    <row r="43" spans="1:23" ht="26.25">
      <c r="A43" s="67">
        <v>1471</v>
      </c>
      <c r="B43" s="15" t="s">
        <v>3121</v>
      </c>
      <c r="C43" s="16">
        <v>40</v>
      </c>
      <c r="D43" s="16">
        <v>40</v>
      </c>
      <c r="E43" s="16" t="s">
        <v>3122</v>
      </c>
      <c r="F43" s="17" t="s">
        <v>24</v>
      </c>
      <c r="G43" s="18">
        <v>1</v>
      </c>
      <c r="H43" s="19">
        <v>2</v>
      </c>
      <c r="I43" s="19"/>
      <c r="J43" s="19"/>
      <c r="K43" s="19"/>
      <c r="L43" s="20">
        <v>2</v>
      </c>
      <c r="M43" s="21">
        <v>2</v>
      </c>
      <c r="N43" s="22">
        <v>2</v>
      </c>
      <c r="O43" s="22">
        <v>0</v>
      </c>
      <c r="P43" s="20">
        <v>0</v>
      </c>
      <c r="Q43" s="23">
        <v>0</v>
      </c>
      <c r="R43" s="20">
        <v>0</v>
      </c>
      <c r="S43" s="20">
        <v>0</v>
      </c>
      <c r="T43" s="18">
        <v>0</v>
      </c>
      <c r="U43" s="24"/>
      <c r="V43" s="25" t="s">
        <v>3121</v>
      </c>
    </row>
    <row r="44" spans="1:23" ht="26.25">
      <c r="A44" s="66">
        <v>1295</v>
      </c>
      <c r="B44" s="15" t="s">
        <v>3123</v>
      </c>
      <c r="C44" s="16">
        <v>41</v>
      </c>
      <c r="D44" s="16">
        <v>41</v>
      </c>
      <c r="E44" s="16" t="s">
        <v>3124</v>
      </c>
      <c r="F44" s="17" t="s">
        <v>1198</v>
      </c>
      <c r="G44" s="18">
        <v>20</v>
      </c>
      <c r="H44" s="19"/>
      <c r="I44" s="19">
        <v>6</v>
      </c>
      <c r="J44" s="19"/>
      <c r="K44" s="19"/>
      <c r="L44" s="20">
        <v>120</v>
      </c>
      <c r="M44" s="21">
        <v>6</v>
      </c>
      <c r="N44" s="22">
        <v>0</v>
      </c>
      <c r="O44" s="22">
        <v>6</v>
      </c>
      <c r="P44" s="20">
        <v>0</v>
      </c>
      <c r="Q44" s="23">
        <v>0</v>
      </c>
      <c r="R44" s="20">
        <v>0</v>
      </c>
      <c r="S44" s="20">
        <v>0</v>
      </c>
      <c r="T44" s="18">
        <v>0</v>
      </c>
      <c r="U44" s="24"/>
      <c r="V44" s="25" t="s">
        <v>3123</v>
      </c>
    </row>
    <row r="45" spans="1:23" ht="26.25">
      <c r="A45" s="67">
        <v>1297</v>
      </c>
      <c r="B45" s="15" t="s">
        <v>3123</v>
      </c>
      <c r="C45" s="16">
        <v>42</v>
      </c>
      <c r="D45" s="16">
        <v>42</v>
      </c>
      <c r="E45" s="16" t="s">
        <v>3125</v>
      </c>
      <c r="F45" s="17" t="s">
        <v>1198</v>
      </c>
      <c r="G45" s="18">
        <v>100</v>
      </c>
      <c r="H45" s="19">
        <v>72</v>
      </c>
      <c r="I45" s="19"/>
      <c r="J45" s="19"/>
      <c r="K45" s="19">
        <v>700</v>
      </c>
      <c r="L45" s="20">
        <v>72</v>
      </c>
      <c r="M45" s="21">
        <v>0.72</v>
      </c>
      <c r="N45" s="22">
        <v>72</v>
      </c>
      <c r="O45" s="22">
        <v>0</v>
      </c>
      <c r="P45" s="20">
        <v>7</v>
      </c>
      <c r="Q45" s="23">
        <v>0</v>
      </c>
      <c r="R45" s="20">
        <v>7</v>
      </c>
      <c r="S45" s="20">
        <v>700</v>
      </c>
      <c r="T45" s="18">
        <v>504</v>
      </c>
      <c r="U45" s="24"/>
      <c r="V45" s="25" t="s">
        <v>3123</v>
      </c>
    </row>
    <row r="46" spans="1:23" ht="26.25">
      <c r="A46" s="66">
        <v>1298</v>
      </c>
      <c r="B46" s="15" t="s">
        <v>3123</v>
      </c>
      <c r="C46" s="16">
        <v>43</v>
      </c>
      <c r="D46" s="16">
        <v>43</v>
      </c>
      <c r="E46" s="16" t="s">
        <v>3126</v>
      </c>
      <c r="F46" s="17" t="s">
        <v>1198</v>
      </c>
      <c r="G46" s="18">
        <v>100</v>
      </c>
      <c r="H46" s="19">
        <v>73</v>
      </c>
      <c r="I46" s="19"/>
      <c r="J46" s="19"/>
      <c r="K46" s="19">
        <v>700</v>
      </c>
      <c r="L46" s="20">
        <v>73</v>
      </c>
      <c r="M46" s="21">
        <v>0.73</v>
      </c>
      <c r="N46" s="22">
        <v>73</v>
      </c>
      <c r="O46" s="22">
        <v>0</v>
      </c>
      <c r="P46" s="20">
        <v>7</v>
      </c>
      <c r="Q46" s="23">
        <v>0</v>
      </c>
      <c r="R46" s="20">
        <v>7</v>
      </c>
      <c r="S46" s="20">
        <v>700</v>
      </c>
      <c r="T46" s="18">
        <v>511</v>
      </c>
      <c r="U46" s="24"/>
      <c r="V46" s="25" t="s">
        <v>3123</v>
      </c>
    </row>
    <row r="47" spans="1:23" ht="26.25">
      <c r="A47" s="66">
        <v>1277</v>
      </c>
      <c r="B47" s="15" t="s">
        <v>3123</v>
      </c>
      <c r="C47" s="16">
        <v>45</v>
      </c>
      <c r="D47" s="16">
        <v>45</v>
      </c>
      <c r="E47" s="16" t="s">
        <v>3127</v>
      </c>
      <c r="F47" s="17" t="s">
        <v>1198</v>
      </c>
      <c r="G47" s="18">
        <v>20</v>
      </c>
      <c r="H47" s="19">
        <v>10</v>
      </c>
      <c r="I47" s="19">
        <v>4</v>
      </c>
      <c r="J47" s="19"/>
      <c r="K47" s="19">
        <v>700</v>
      </c>
      <c r="L47" s="20">
        <v>90</v>
      </c>
      <c r="M47" s="21">
        <v>4.5</v>
      </c>
      <c r="N47" s="22">
        <v>10</v>
      </c>
      <c r="O47" s="22">
        <v>4</v>
      </c>
      <c r="P47" s="20">
        <v>35</v>
      </c>
      <c r="Q47" s="23">
        <v>0</v>
      </c>
      <c r="R47" s="20">
        <v>35</v>
      </c>
      <c r="S47" s="20">
        <v>700</v>
      </c>
      <c r="T47" s="18">
        <v>3150</v>
      </c>
      <c r="U47" s="24"/>
      <c r="V47" s="25" t="s">
        <v>3123</v>
      </c>
    </row>
    <row r="48" spans="1:23" ht="26.25">
      <c r="A48" s="67">
        <v>1279</v>
      </c>
      <c r="B48" s="15" t="s">
        <v>3123</v>
      </c>
      <c r="C48" s="16">
        <v>46</v>
      </c>
      <c r="D48" s="16">
        <v>46</v>
      </c>
      <c r="E48" s="16" t="s">
        <v>3128</v>
      </c>
      <c r="F48" s="17" t="s">
        <v>1198</v>
      </c>
      <c r="G48" s="18">
        <v>20</v>
      </c>
      <c r="H48" s="19">
        <v>3</v>
      </c>
      <c r="I48" s="19">
        <v>5</v>
      </c>
      <c r="J48" s="19"/>
      <c r="K48" s="19">
        <v>700</v>
      </c>
      <c r="L48" s="20">
        <v>103</v>
      </c>
      <c r="M48" s="21">
        <v>5.15</v>
      </c>
      <c r="N48" s="22">
        <v>3.0000000000000071</v>
      </c>
      <c r="O48" s="22">
        <v>5</v>
      </c>
      <c r="P48" s="20">
        <v>35</v>
      </c>
      <c r="Q48" s="23">
        <v>0</v>
      </c>
      <c r="R48" s="20">
        <v>35</v>
      </c>
      <c r="S48" s="20">
        <v>700</v>
      </c>
      <c r="T48" s="18">
        <v>3605</v>
      </c>
      <c r="U48" s="24"/>
      <c r="V48" s="25" t="s">
        <v>3123</v>
      </c>
    </row>
    <row r="49" spans="1:22" ht="26.25">
      <c r="A49" s="66">
        <v>1281</v>
      </c>
      <c r="B49" s="15" t="s">
        <v>3123</v>
      </c>
      <c r="C49" s="16">
        <v>47</v>
      </c>
      <c r="D49" s="16">
        <v>47</v>
      </c>
      <c r="E49" s="16" t="s">
        <v>3129</v>
      </c>
      <c r="F49" s="17" t="s">
        <v>1198</v>
      </c>
      <c r="G49" s="18">
        <v>20</v>
      </c>
      <c r="H49" s="19">
        <v>1</v>
      </c>
      <c r="I49" s="19">
        <v>10</v>
      </c>
      <c r="J49" s="19"/>
      <c r="K49" s="19"/>
      <c r="L49" s="20">
        <v>201</v>
      </c>
      <c r="M49" s="21">
        <v>10.050000000000001</v>
      </c>
      <c r="N49" s="22">
        <v>1.0000000000000142</v>
      </c>
      <c r="O49" s="22">
        <v>10</v>
      </c>
      <c r="P49" s="20">
        <v>0</v>
      </c>
      <c r="Q49" s="23">
        <v>0</v>
      </c>
      <c r="R49" s="20">
        <v>0</v>
      </c>
      <c r="S49" s="20">
        <v>0</v>
      </c>
      <c r="T49" s="18">
        <v>0</v>
      </c>
      <c r="U49" s="24"/>
      <c r="V49" s="25" t="s">
        <v>3123</v>
      </c>
    </row>
    <row r="50" spans="1:22" ht="26.25">
      <c r="A50" s="66">
        <v>1283</v>
      </c>
      <c r="B50" s="15" t="s">
        <v>3123</v>
      </c>
      <c r="C50" s="16">
        <v>48</v>
      </c>
      <c r="D50" s="16">
        <v>48</v>
      </c>
      <c r="E50" s="16" t="s">
        <v>3130</v>
      </c>
      <c r="F50" s="17" t="s">
        <v>1198</v>
      </c>
      <c r="G50" s="18">
        <v>12</v>
      </c>
      <c r="H50" s="19">
        <v>5</v>
      </c>
      <c r="I50" s="19">
        <v>1</v>
      </c>
      <c r="J50" s="19"/>
      <c r="K50" s="19"/>
      <c r="L50" s="20">
        <v>17</v>
      </c>
      <c r="M50" s="21">
        <v>1.4166666666666667</v>
      </c>
      <c r="N50" s="22">
        <v>5.0000000000000009</v>
      </c>
      <c r="O50" s="22">
        <v>1</v>
      </c>
      <c r="P50" s="20">
        <v>0</v>
      </c>
      <c r="Q50" s="23">
        <v>0</v>
      </c>
      <c r="R50" s="20">
        <v>0</v>
      </c>
      <c r="S50" s="20">
        <v>0</v>
      </c>
      <c r="T50" s="18">
        <v>0</v>
      </c>
      <c r="U50" s="24"/>
      <c r="V50" s="25" t="s">
        <v>3123</v>
      </c>
    </row>
    <row r="51" spans="1:22" ht="26.25">
      <c r="A51" s="66">
        <v>1299</v>
      </c>
      <c r="B51" s="15" t="s">
        <v>3123</v>
      </c>
      <c r="C51" s="16">
        <v>49</v>
      </c>
      <c r="D51" s="16">
        <v>49</v>
      </c>
      <c r="E51" s="16" t="s">
        <v>3131</v>
      </c>
      <c r="F51" s="17" t="s">
        <v>1198</v>
      </c>
      <c r="G51" s="18">
        <v>100</v>
      </c>
      <c r="H51" s="19">
        <v>93</v>
      </c>
      <c r="I51" s="19">
        <v>7</v>
      </c>
      <c r="J51" s="19"/>
      <c r="K51" s="19"/>
      <c r="L51" s="20">
        <v>793</v>
      </c>
      <c r="M51" s="21">
        <v>7.93</v>
      </c>
      <c r="N51" s="22">
        <v>92.999999999999972</v>
      </c>
      <c r="O51" s="22">
        <v>7</v>
      </c>
      <c r="P51" s="20">
        <v>0</v>
      </c>
      <c r="Q51" s="23">
        <v>0</v>
      </c>
      <c r="R51" s="20">
        <v>0</v>
      </c>
      <c r="S51" s="20">
        <v>0</v>
      </c>
      <c r="T51" s="18">
        <v>0</v>
      </c>
      <c r="U51" s="24"/>
      <c r="V51" s="25" t="s">
        <v>3123</v>
      </c>
    </row>
    <row r="52" spans="1:22" ht="26.25">
      <c r="A52" s="67">
        <v>1306</v>
      </c>
      <c r="B52" s="15" t="s">
        <v>3132</v>
      </c>
      <c r="C52" s="16">
        <v>50</v>
      </c>
      <c r="D52" s="16">
        <v>50</v>
      </c>
      <c r="E52" s="16" t="s">
        <v>3133</v>
      </c>
      <c r="F52" s="17" t="s">
        <v>1198</v>
      </c>
      <c r="G52" s="18">
        <v>12</v>
      </c>
      <c r="H52" s="19">
        <v>5</v>
      </c>
      <c r="I52" s="19"/>
      <c r="J52" s="19"/>
      <c r="K52" s="19"/>
      <c r="L52" s="20">
        <v>5</v>
      </c>
      <c r="M52" s="21">
        <v>0.41666666666666669</v>
      </c>
      <c r="N52" s="22">
        <v>5</v>
      </c>
      <c r="O52" s="22">
        <v>0</v>
      </c>
      <c r="P52" s="20">
        <v>0</v>
      </c>
      <c r="Q52" s="23">
        <v>0</v>
      </c>
      <c r="R52" s="20">
        <v>0</v>
      </c>
      <c r="S52" s="20">
        <v>0</v>
      </c>
      <c r="T52" s="18">
        <v>0</v>
      </c>
      <c r="U52" s="24"/>
      <c r="V52" s="25" t="s">
        <v>3132</v>
      </c>
    </row>
    <row r="53" spans="1:22" ht="26.25">
      <c r="A53" s="66">
        <v>1293</v>
      </c>
      <c r="B53" s="15" t="s">
        <v>3123</v>
      </c>
      <c r="C53" s="16">
        <v>51</v>
      </c>
      <c r="D53" s="16">
        <v>51</v>
      </c>
      <c r="E53" s="16" t="s">
        <v>3134</v>
      </c>
      <c r="F53" s="17" t="s">
        <v>1198</v>
      </c>
      <c r="G53" s="18">
        <v>50</v>
      </c>
      <c r="H53" s="19"/>
      <c r="I53" s="19">
        <v>7</v>
      </c>
      <c r="J53" s="19"/>
      <c r="K53" s="19"/>
      <c r="L53" s="20">
        <v>350</v>
      </c>
      <c r="M53" s="21">
        <v>7</v>
      </c>
      <c r="N53" s="22">
        <v>0</v>
      </c>
      <c r="O53" s="22">
        <v>7</v>
      </c>
      <c r="P53" s="20">
        <v>0</v>
      </c>
      <c r="Q53" s="23">
        <v>0</v>
      </c>
      <c r="R53" s="20">
        <v>0</v>
      </c>
      <c r="S53" s="20">
        <v>0</v>
      </c>
      <c r="T53" s="18">
        <v>0</v>
      </c>
      <c r="U53" s="24"/>
      <c r="V53" s="25" t="s">
        <v>3123</v>
      </c>
    </row>
    <row r="54" spans="1:22" ht="26.25">
      <c r="A54" s="66">
        <v>1289</v>
      </c>
      <c r="B54" s="15" t="s">
        <v>3123</v>
      </c>
      <c r="C54" s="16">
        <v>52</v>
      </c>
      <c r="D54" s="16">
        <v>52</v>
      </c>
      <c r="E54" s="16" t="s">
        <v>3135</v>
      </c>
      <c r="F54" s="17" t="s">
        <v>1198</v>
      </c>
      <c r="G54" s="18">
        <v>100</v>
      </c>
      <c r="H54" s="19">
        <v>33</v>
      </c>
      <c r="I54" s="19">
        <v>5</v>
      </c>
      <c r="J54" s="19"/>
      <c r="K54" s="19"/>
      <c r="L54" s="20">
        <v>533</v>
      </c>
      <c r="M54" s="21">
        <v>5.33</v>
      </c>
      <c r="N54" s="22">
        <v>33.000000000000007</v>
      </c>
      <c r="O54" s="22">
        <v>5</v>
      </c>
      <c r="P54" s="20">
        <v>0</v>
      </c>
      <c r="Q54" s="23">
        <v>0</v>
      </c>
      <c r="R54" s="20">
        <v>0</v>
      </c>
      <c r="S54" s="20">
        <v>0</v>
      </c>
      <c r="T54" s="18">
        <v>0</v>
      </c>
      <c r="U54" s="24"/>
      <c r="V54" s="25" t="s">
        <v>3123</v>
      </c>
    </row>
    <row r="55" spans="1:22" ht="26.25">
      <c r="A55" s="67">
        <v>1291</v>
      </c>
      <c r="B55" s="15" t="s">
        <v>3123</v>
      </c>
      <c r="C55" s="16">
        <v>53</v>
      </c>
      <c r="D55" s="16">
        <v>53</v>
      </c>
      <c r="E55" s="16" t="s">
        <v>3136</v>
      </c>
      <c r="F55" s="17" t="s">
        <v>1198</v>
      </c>
      <c r="G55" s="18">
        <v>100</v>
      </c>
      <c r="H55" s="19">
        <v>48</v>
      </c>
      <c r="I55" s="19">
        <v>4</v>
      </c>
      <c r="J55" s="19"/>
      <c r="K55" s="19"/>
      <c r="L55" s="20">
        <v>448</v>
      </c>
      <c r="M55" s="21">
        <v>4.4800000000000004</v>
      </c>
      <c r="N55" s="22">
        <v>48.000000000000043</v>
      </c>
      <c r="O55" s="22">
        <v>4</v>
      </c>
      <c r="P55" s="20">
        <v>0</v>
      </c>
      <c r="Q55" s="23">
        <v>0</v>
      </c>
      <c r="R55" s="20">
        <v>0</v>
      </c>
      <c r="S55" s="20">
        <v>0</v>
      </c>
      <c r="T55" s="18">
        <v>0</v>
      </c>
      <c r="U55" s="24"/>
      <c r="V55" s="25" t="s">
        <v>3123</v>
      </c>
    </row>
    <row r="56" spans="1:22" ht="26.25">
      <c r="A56" s="67">
        <v>1276</v>
      </c>
      <c r="B56" s="15" t="s">
        <v>3123</v>
      </c>
      <c r="C56" s="16">
        <v>54</v>
      </c>
      <c r="D56" s="16">
        <v>54</v>
      </c>
      <c r="E56" s="16" t="s">
        <v>3137</v>
      </c>
      <c r="F56" s="17" t="s">
        <v>24</v>
      </c>
      <c r="G56" s="18">
        <v>1</v>
      </c>
      <c r="H56" s="19">
        <v>2</v>
      </c>
      <c r="I56" s="19"/>
      <c r="J56" s="19"/>
      <c r="K56" s="19"/>
      <c r="L56" s="20">
        <v>2</v>
      </c>
      <c r="M56" s="21">
        <v>2</v>
      </c>
      <c r="N56" s="22">
        <v>2</v>
      </c>
      <c r="O56" s="22">
        <v>0</v>
      </c>
      <c r="P56" s="20">
        <v>0</v>
      </c>
      <c r="Q56" s="23">
        <v>0</v>
      </c>
      <c r="R56" s="20">
        <v>0</v>
      </c>
      <c r="S56" s="20">
        <v>0</v>
      </c>
      <c r="T56" s="18">
        <v>0</v>
      </c>
      <c r="U56" s="24"/>
      <c r="V56" s="25" t="s">
        <v>3123</v>
      </c>
    </row>
    <row r="57" spans="1:22" ht="26.25">
      <c r="A57" s="66">
        <v>1274</v>
      </c>
      <c r="B57" s="15" t="s">
        <v>3123</v>
      </c>
      <c r="C57" s="16">
        <v>55</v>
      </c>
      <c r="D57" s="16">
        <v>55</v>
      </c>
      <c r="E57" s="16" t="s">
        <v>3138</v>
      </c>
      <c r="F57" s="17" t="s">
        <v>24</v>
      </c>
      <c r="G57" s="18">
        <v>1</v>
      </c>
      <c r="H57" s="19">
        <v>3</v>
      </c>
      <c r="I57" s="19"/>
      <c r="J57" s="19"/>
      <c r="K57" s="19"/>
      <c r="L57" s="20">
        <v>3</v>
      </c>
      <c r="M57" s="21">
        <v>3</v>
      </c>
      <c r="N57" s="22">
        <v>3</v>
      </c>
      <c r="O57" s="22">
        <v>0</v>
      </c>
      <c r="P57" s="20">
        <v>0</v>
      </c>
      <c r="Q57" s="23">
        <v>0</v>
      </c>
      <c r="R57" s="20">
        <v>0</v>
      </c>
      <c r="S57" s="20">
        <v>0</v>
      </c>
      <c r="T57" s="18">
        <v>0</v>
      </c>
      <c r="U57" s="24"/>
      <c r="V57" s="25" t="s">
        <v>3123</v>
      </c>
    </row>
    <row r="58" spans="1:22" ht="26.25">
      <c r="A58" s="66">
        <v>1275</v>
      </c>
      <c r="B58" s="15" t="s">
        <v>3123</v>
      </c>
      <c r="C58" s="16">
        <v>56</v>
      </c>
      <c r="D58" s="16">
        <v>56</v>
      </c>
      <c r="E58" s="16" t="s">
        <v>3139</v>
      </c>
      <c r="F58" s="17" t="s">
        <v>24</v>
      </c>
      <c r="G58" s="18">
        <v>1</v>
      </c>
      <c r="H58" s="19">
        <v>1</v>
      </c>
      <c r="I58" s="19"/>
      <c r="J58" s="19"/>
      <c r="K58" s="19"/>
      <c r="L58" s="20">
        <v>1</v>
      </c>
      <c r="M58" s="21">
        <v>1</v>
      </c>
      <c r="N58" s="22">
        <v>1</v>
      </c>
      <c r="O58" s="22">
        <v>0</v>
      </c>
      <c r="P58" s="20">
        <v>0</v>
      </c>
      <c r="Q58" s="23">
        <v>0</v>
      </c>
      <c r="R58" s="20">
        <v>0</v>
      </c>
      <c r="S58" s="20">
        <v>0</v>
      </c>
      <c r="T58" s="18">
        <v>0</v>
      </c>
      <c r="U58" s="24"/>
      <c r="V58" s="25" t="s">
        <v>3123</v>
      </c>
    </row>
    <row r="59" spans="1:22" ht="26.25">
      <c r="A59" s="67">
        <v>1273</v>
      </c>
      <c r="B59" s="15" t="s">
        <v>3123</v>
      </c>
      <c r="C59" s="16">
        <v>57</v>
      </c>
      <c r="D59" s="16">
        <v>57</v>
      </c>
      <c r="E59" s="16" t="s">
        <v>3140</v>
      </c>
      <c r="F59" s="17" t="s">
        <v>24</v>
      </c>
      <c r="G59" s="18">
        <v>1</v>
      </c>
      <c r="H59" s="19">
        <v>88</v>
      </c>
      <c r="I59" s="19"/>
      <c r="J59" s="19"/>
      <c r="K59" s="19"/>
      <c r="L59" s="20">
        <v>88</v>
      </c>
      <c r="M59" s="21">
        <v>88</v>
      </c>
      <c r="N59" s="22">
        <v>88</v>
      </c>
      <c r="O59" s="22">
        <v>0</v>
      </c>
      <c r="P59" s="20">
        <v>0</v>
      </c>
      <c r="Q59" s="23">
        <v>0</v>
      </c>
      <c r="R59" s="20">
        <v>0</v>
      </c>
      <c r="S59" s="20">
        <v>0</v>
      </c>
      <c r="T59" s="18">
        <v>0</v>
      </c>
      <c r="U59" s="24"/>
      <c r="V59" s="25" t="s">
        <v>3123</v>
      </c>
    </row>
    <row r="60" spans="1:22" ht="26.25">
      <c r="A60" s="66">
        <v>1434</v>
      </c>
      <c r="B60" s="15" t="s">
        <v>3141</v>
      </c>
      <c r="C60" s="16">
        <v>58</v>
      </c>
      <c r="D60" s="16">
        <v>58</v>
      </c>
      <c r="E60" s="16" t="s">
        <v>3142</v>
      </c>
      <c r="F60" s="17" t="s">
        <v>24</v>
      </c>
      <c r="G60" s="18">
        <v>1</v>
      </c>
      <c r="H60" s="19">
        <v>7</v>
      </c>
      <c r="I60" s="19"/>
      <c r="J60" s="19"/>
      <c r="K60" s="19"/>
      <c r="L60" s="20">
        <v>7</v>
      </c>
      <c r="M60" s="21">
        <v>7</v>
      </c>
      <c r="N60" s="22">
        <v>7</v>
      </c>
      <c r="O60" s="22">
        <v>0</v>
      </c>
      <c r="P60" s="20">
        <v>0</v>
      </c>
      <c r="Q60" s="23">
        <v>0</v>
      </c>
      <c r="R60" s="20">
        <v>0</v>
      </c>
      <c r="S60" s="20">
        <v>0</v>
      </c>
      <c r="T60" s="18">
        <v>0</v>
      </c>
      <c r="U60" s="24"/>
      <c r="V60" s="25" t="s">
        <v>3141</v>
      </c>
    </row>
    <row r="61" spans="1:22" ht="26.25">
      <c r="A61" s="67">
        <v>1435</v>
      </c>
      <c r="B61" s="15" t="s">
        <v>3141</v>
      </c>
      <c r="C61" s="16">
        <v>59</v>
      </c>
      <c r="D61" s="16">
        <v>59</v>
      </c>
      <c r="E61" s="16" t="s">
        <v>3143</v>
      </c>
      <c r="F61" s="17" t="s">
        <v>24</v>
      </c>
      <c r="G61" s="18">
        <v>1</v>
      </c>
      <c r="H61" s="19">
        <v>1</v>
      </c>
      <c r="I61" s="19"/>
      <c r="J61" s="19"/>
      <c r="K61" s="19"/>
      <c r="L61" s="20">
        <v>1</v>
      </c>
      <c r="M61" s="21">
        <v>1</v>
      </c>
      <c r="N61" s="22">
        <v>1</v>
      </c>
      <c r="O61" s="22">
        <v>0</v>
      </c>
      <c r="P61" s="20">
        <v>0</v>
      </c>
      <c r="Q61" s="23">
        <v>0</v>
      </c>
      <c r="R61" s="20">
        <v>0</v>
      </c>
      <c r="S61" s="20">
        <v>0</v>
      </c>
      <c r="T61" s="18">
        <v>0</v>
      </c>
      <c r="U61" s="24"/>
      <c r="V61" s="25" t="s">
        <v>3141</v>
      </c>
    </row>
    <row r="62" spans="1:22" ht="26.25">
      <c r="A62" s="66">
        <v>1455</v>
      </c>
      <c r="B62" s="15" t="s">
        <v>3141</v>
      </c>
      <c r="C62" s="16">
        <v>60</v>
      </c>
      <c r="D62" s="16">
        <v>60</v>
      </c>
      <c r="E62" s="16" t="s">
        <v>3144</v>
      </c>
      <c r="F62" s="17" t="s">
        <v>1183</v>
      </c>
      <c r="G62" s="18">
        <v>12</v>
      </c>
      <c r="H62" s="19">
        <v>9</v>
      </c>
      <c r="I62" s="19">
        <v>5</v>
      </c>
      <c r="J62" s="19"/>
      <c r="K62" s="19"/>
      <c r="L62" s="20">
        <v>69</v>
      </c>
      <c r="M62" s="21">
        <v>5.75</v>
      </c>
      <c r="N62" s="22">
        <v>9</v>
      </c>
      <c r="O62" s="22">
        <v>5</v>
      </c>
      <c r="P62" s="20">
        <v>0</v>
      </c>
      <c r="Q62" s="23">
        <v>0</v>
      </c>
      <c r="R62" s="20">
        <v>0</v>
      </c>
      <c r="S62" s="20">
        <v>0</v>
      </c>
      <c r="T62" s="18">
        <v>0</v>
      </c>
      <c r="U62" s="24"/>
      <c r="V62" s="25" t="s">
        <v>3141</v>
      </c>
    </row>
    <row r="63" spans="1:22" ht="26.25">
      <c r="A63" s="66">
        <v>1460</v>
      </c>
      <c r="B63" s="15" t="s">
        <v>3141</v>
      </c>
      <c r="C63" s="16">
        <v>61</v>
      </c>
      <c r="D63" s="16">
        <v>61</v>
      </c>
      <c r="E63" s="16" t="s">
        <v>3145</v>
      </c>
      <c r="F63" s="17" t="s">
        <v>1183</v>
      </c>
      <c r="G63" s="18">
        <v>12</v>
      </c>
      <c r="H63" s="19"/>
      <c r="I63" s="19"/>
      <c r="J63" s="19"/>
      <c r="K63" s="19"/>
      <c r="L63" s="20">
        <v>0</v>
      </c>
      <c r="M63" s="21">
        <v>0</v>
      </c>
      <c r="N63" s="22">
        <v>0</v>
      </c>
      <c r="O63" s="22">
        <v>0</v>
      </c>
      <c r="P63" s="20">
        <v>0</v>
      </c>
      <c r="Q63" s="23">
        <v>0</v>
      </c>
      <c r="R63" s="20">
        <v>0</v>
      </c>
      <c r="S63" s="20">
        <v>0</v>
      </c>
      <c r="T63" s="18">
        <v>0</v>
      </c>
      <c r="U63" s="24"/>
      <c r="V63" s="25" t="s">
        <v>3141</v>
      </c>
    </row>
    <row r="64" spans="1:22" ht="26.25">
      <c r="A64" s="67">
        <v>1426</v>
      </c>
      <c r="B64" s="15" t="s">
        <v>3146</v>
      </c>
      <c r="C64" s="16">
        <v>62</v>
      </c>
      <c r="D64" s="16">
        <v>62</v>
      </c>
      <c r="E64" s="16" t="s">
        <v>3147</v>
      </c>
      <c r="F64" s="17" t="s">
        <v>1198</v>
      </c>
      <c r="G64" s="18">
        <v>12</v>
      </c>
      <c r="H64" s="19">
        <v>6</v>
      </c>
      <c r="I64" s="19">
        <v>1</v>
      </c>
      <c r="J64" s="19"/>
      <c r="K64" s="19"/>
      <c r="L64" s="20">
        <v>18</v>
      </c>
      <c r="M64" s="21">
        <v>1.5</v>
      </c>
      <c r="N64" s="22">
        <v>6</v>
      </c>
      <c r="O64" s="22">
        <v>1</v>
      </c>
      <c r="P64" s="20">
        <v>0</v>
      </c>
      <c r="Q64" s="23">
        <v>0</v>
      </c>
      <c r="R64" s="20">
        <v>0</v>
      </c>
      <c r="S64" s="20">
        <v>0</v>
      </c>
      <c r="T64" s="18">
        <v>0</v>
      </c>
      <c r="U64" s="24"/>
      <c r="V64" s="25" t="s">
        <v>3146</v>
      </c>
    </row>
    <row r="65" spans="1:22" ht="26.25">
      <c r="A65" s="66">
        <v>1428</v>
      </c>
      <c r="B65" s="15" t="s">
        <v>3146</v>
      </c>
      <c r="C65" s="16">
        <v>63</v>
      </c>
      <c r="D65" s="16">
        <v>63</v>
      </c>
      <c r="E65" s="16" t="s">
        <v>3148</v>
      </c>
      <c r="F65" s="17" t="s">
        <v>1198</v>
      </c>
      <c r="G65" s="18">
        <v>12</v>
      </c>
      <c r="H65" s="19">
        <v>11</v>
      </c>
      <c r="I65" s="19"/>
      <c r="J65" s="19"/>
      <c r="K65" s="19"/>
      <c r="L65" s="20">
        <v>11</v>
      </c>
      <c r="M65" s="21">
        <v>0.91666666666666663</v>
      </c>
      <c r="N65" s="22">
        <v>11</v>
      </c>
      <c r="O65" s="22">
        <v>0</v>
      </c>
      <c r="P65" s="20">
        <v>0</v>
      </c>
      <c r="Q65" s="23">
        <v>0</v>
      </c>
      <c r="R65" s="20">
        <v>0</v>
      </c>
      <c r="S65" s="20">
        <v>0</v>
      </c>
      <c r="T65" s="18">
        <v>0</v>
      </c>
      <c r="U65" s="24"/>
      <c r="V65" s="25" t="s">
        <v>3146</v>
      </c>
    </row>
    <row r="66" spans="1:22" ht="26.25">
      <c r="A66" s="67">
        <v>682</v>
      </c>
      <c r="B66" s="15" t="s">
        <v>3146</v>
      </c>
      <c r="C66" s="16">
        <v>64</v>
      </c>
      <c r="D66" s="16">
        <v>64</v>
      </c>
      <c r="E66" s="16" t="s">
        <v>3149</v>
      </c>
      <c r="F66" s="17" t="s">
        <v>24</v>
      </c>
      <c r="G66" s="18">
        <v>1</v>
      </c>
      <c r="H66" s="19">
        <v>1</v>
      </c>
      <c r="I66" s="19"/>
      <c r="J66" s="19"/>
      <c r="K66" s="19"/>
      <c r="L66" s="20">
        <v>1</v>
      </c>
      <c r="M66" s="21">
        <v>1</v>
      </c>
      <c r="N66" s="22">
        <v>1</v>
      </c>
      <c r="O66" s="22">
        <v>0</v>
      </c>
      <c r="P66" s="20">
        <v>0</v>
      </c>
      <c r="Q66" s="23">
        <v>0</v>
      </c>
      <c r="R66" s="20">
        <v>0</v>
      </c>
      <c r="S66" s="20">
        <v>0</v>
      </c>
      <c r="T66" s="18">
        <v>0</v>
      </c>
      <c r="U66" s="24"/>
      <c r="V66" s="25" t="s">
        <v>3146</v>
      </c>
    </row>
    <row r="67" spans="1:22" ht="26.25">
      <c r="A67" s="66">
        <v>1272</v>
      </c>
      <c r="B67" s="15" t="s">
        <v>3123</v>
      </c>
      <c r="C67" s="16">
        <v>65</v>
      </c>
      <c r="D67" s="16">
        <v>65</v>
      </c>
      <c r="E67" s="16" t="s">
        <v>3150</v>
      </c>
      <c r="F67" s="17" t="s">
        <v>24</v>
      </c>
      <c r="G67" s="18">
        <v>1</v>
      </c>
      <c r="H67" s="19">
        <v>2</v>
      </c>
      <c r="I67" s="19"/>
      <c r="J67" s="19"/>
      <c r="K67" s="19"/>
      <c r="L67" s="20">
        <v>2</v>
      </c>
      <c r="M67" s="21">
        <v>2</v>
      </c>
      <c r="N67" s="22">
        <v>2</v>
      </c>
      <c r="O67" s="22">
        <v>0</v>
      </c>
      <c r="P67" s="20">
        <v>0</v>
      </c>
      <c r="Q67" s="23">
        <v>0</v>
      </c>
      <c r="R67" s="20">
        <v>0</v>
      </c>
      <c r="S67" s="20">
        <v>0</v>
      </c>
      <c r="T67" s="18">
        <v>0</v>
      </c>
      <c r="U67" s="24"/>
      <c r="V67" s="25" t="s">
        <v>3123</v>
      </c>
    </row>
    <row r="68" spans="1:22" ht="26.25">
      <c r="A68" s="67">
        <v>1372</v>
      </c>
      <c r="B68" s="15" t="s">
        <v>3146</v>
      </c>
      <c r="C68" s="16">
        <v>66</v>
      </c>
      <c r="D68" s="16">
        <v>66</v>
      </c>
      <c r="E68" s="16" t="s">
        <v>3151</v>
      </c>
      <c r="F68" s="17" t="s">
        <v>24</v>
      </c>
      <c r="G68" s="18">
        <v>1</v>
      </c>
      <c r="H68" s="19"/>
      <c r="I68" s="19">
        <v>1</v>
      </c>
      <c r="J68" s="19"/>
      <c r="K68" s="19"/>
      <c r="L68" s="20">
        <v>1</v>
      </c>
      <c r="M68" s="21">
        <v>1</v>
      </c>
      <c r="N68" s="22">
        <v>1</v>
      </c>
      <c r="O68" s="22">
        <v>0</v>
      </c>
      <c r="P68" s="20">
        <v>0</v>
      </c>
      <c r="Q68" s="23">
        <v>0</v>
      </c>
      <c r="R68" s="20">
        <v>0</v>
      </c>
      <c r="S68" s="20">
        <v>0</v>
      </c>
      <c r="T68" s="18">
        <v>0</v>
      </c>
      <c r="U68" s="24"/>
      <c r="V68" s="25" t="s">
        <v>3146</v>
      </c>
    </row>
    <row r="69" spans="1:22" ht="26.25">
      <c r="A69" s="66">
        <v>1430</v>
      </c>
      <c r="B69" s="15" t="s">
        <v>3146</v>
      </c>
      <c r="C69" s="16">
        <v>67</v>
      </c>
      <c r="D69" s="16">
        <v>67</v>
      </c>
      <c r="E69" s="16" t="s">
        <v>3152</v>
      </c>
      <c r="F69" s="17" t="s">
        <v>1190</v>
      </c>
      <c r="G69" s="18">
        <v>1</v>
      </c>
      <c r="H69" s="19">
        <v>2</v>
      </c>
      <c r="I69" s="19"/>
      <c r="J69" s="19"/>
      <c r="K69" s="19"/>
      <c r="L69" s="20">
        <v>2</v>
      </c>
      <c r="M69" s="21">
        <v>2</v>
      </c>
      <c r="N69" s="22">
        <v>2</v>
      </c>
      <c r="O69" s="22">
        <v>0</v>
      </c>
      <c r="P69" s="20">
        <v>0</v>
      </c>
      <c r="Q69" s="23">
        <v>0</v>
      </c>
      <c r="R69" s="20">
        <v>0</v>
      </c>
      <c r="S69" s="20">
        <v>0</v>
      </c>
      <c r="T69" s="18">
        <v>0</v>
      </c>
      <c r="U69" s="24"/>
      <c r="V69" s="25" t="s">
        <v>3146</v>
      </c>
    </row>
    <row r="70" spans="1:22" ht="26.25">
      <c r="A70" s="66">
        <v>1457</v>
      </c>
      <c r="B70" s="15" t="s">
        <v>3141</v>
      </c>
      <c r="C70" s="16">
        <v>68</v>
      </c>
      <c r="D70" s="16">
        <v>68</v>
      </c>
      <c r="E70" s="16" t="s">
        <v>3153</v>
      </c>
      <c r="F70" s="17" t="s">
        <v>24</v>
      </c>
      <c r="G70" s="18">
        <v>1</v>
      </c>
      <c r="H70" s="19">
        <v>2</v>
      </c>
      <c r="I70" s="19"/>
      <c r="J70" s="19"/>
      <c r="K70" s="19"/>
      <c r="L70" s="20">
        <v>2</v>
      </c>
      <c r="M70" s="21">
        <v>2</v>
      </c>
      <c r="N70" s="22">
        <v>2</v>
      </c>
      <c r="O70" s="22">
        <v>0</v>
      </c>
      <c r="P70" s="20">
        <v>0</v>
      </c>
      <c r="Q70" s="23">
        <v>0</v>
      </c>
      <c r="R70" s="20">
        <v>0</v>
      </c>
      <c r="S70" s="20">
        <v>0</v>
      </c>
      <c r="T70" s="18">
        <v>0</v>
      </c>
      <c r="U70" s="24"/>
      <c r="V70" s="25" t="s">
        <v>3141</v>
      </c>
    </row>
    <row r="71" spans="1:22" ht="26.25">
      <c r="A71" s="66">
        <v>1466</v>
      </c>
      <c r="B71" s="15" t="s">
        <v>3141</v>
      </c>
      <c r="C71" s="16">
        <v>69</v>
      </c>
      <c r="D71" s="16">
        <v>69</v>
      </c>
      <c r="E71" s="16" t="s">
        <v>3154</v>
      </c>
      <c r="F71" s="17" t="s">
        <v>1183</v>
      </c>
      <c r="G71" s="18">
        <v>12</v>
      </c>
      <c r="H71" s="19">
        <v>4</v>
      </c>
      <c r="I71" s="19"/>
      <c r="J71" s="19"/>
      <c r="K71" s="19"/>
      <c r="L71" s="20">
        <v>4</v>
      </c>
      <c r="M71" s="21">
        <v>0.33333333333333331</v>
      </c>
      <c r="N71" s="22">
        <v>4</v>
      </c>
      <c r="O71" s="22">
        <v>0</v>
      </c>
      <c r="P71" s="20">
        <v>0</v>
      </c>
      <c r="Q71" s="23">
        <v>0</v>
      </c>
      <c r="R71" s="20">
        <v>0</v>
      </c>
      <c r="S71" s="20">
        <v>0</v>
      </c>
      <c r="T71" s="18">
        <v>0</v>
      </c>
      <c r="U71" s="24"/>
      <c r="V71" s="25" t="s">
        <v>3141</v>
      </c>
    </row>
    <row r="72" spans="1:22" ht="26.25">
      <c r="A72" s="66">
        <v>1467</v>
      </c>
      <c r="B72" s="15" t="s">
        <v>3141</v>
      </c>
      <c r="C72" s="16">
        <v>70</v>
      </c>
      <c r="D72" s="16">
        <v>70</v>
      </c>
      <c r="E72" s="16" t="s">
        <v>3155</v>
      </c>
      <c r="F72" s="17" t="s">
        <v>24</v>
      </c>
      <c r="G72" s="18">
        <v>1</v>
      </c>
      <c r="H72" s="19">
        <v>7</v>
      </c>
      <c r="I72" s="19"/>
      <c r="J72" s="19"/>
      <c r="K72" s="19"/>
      <c r="L72" s="20">
        <v>7</v>
      </c>
      <c r="M72" s="21">
        <v>7</v>
      </c>
      <c r="N72" s="22">
        <v>7</v>
      </c>
      <c r="O72" s="22">
        <v>0</v>
      </c>
      <c r="P72" s="20">
        <v>0</v>
      </c>
      <c r="Q72" s="23">
        <v>0</v>
      </c>
      <c r="R72" s="20">
        <v>0</v>
      </c>
      <c r="S72" s="20">
        <v>0</v>
      </c>
      <c r="T72" s="18">
        <v>0</v>
      </c>
      <c r="U72" s="24"/>
      <c r="V72" s="25" t="s">
        <v>3141</v>
      </c>
    </row>
    <row r="73" spans="1:22" ht="26.25">
      <c r="A73" s="66">
        <v>1458</v>
      </c>
      <c r="B73" s="15" t="s">
        <v>3141</v>
      </c>
      <c r="C73" s="16">
        <v>71</v>
      </c>
      <c r="D73" s="16">
        <v>71</v>
      </c>
      <c r="E73" s="16" t="s">
        <v>3156</v>
      </c>
      <c r="F73" s="17" t="s">
        <v>1198</v>
      </c>
      <c r="G73" s="18">
        <v>10</v>
      </c>
      <c r="H73" s="19">
        <v>2</v>
      </c>
      <c r="I73" s="19">
        <v>1</v>
      </c>
      <c r="J73" s="19"/>
      <c r="K73" s="19"/>
      <c r="L73" s="20">
        <v>12</v>
      </c>
      <c r="M73" s="21">
        <v>1.2</v>
      </c>
      <c r="N73" s="22">
        <v>1.9999999999999996</v>
      </c>
      <c r="O73" s="22">
        <v>1</v>
      </c>
      <c r="P73" s="20">
        <v>0</v>
      </c>
      <c r="Q73" s="23">
        <v>0</v>
      </c>
      <c r="R73" s="20">
        <v>0</v>
      </c>
      <c r="S73" s="20">
        <v>0</v>
      </c>
      <c r="T73" s="18">
        <v>0</v>
      </c>
      <c r="U73" s="24"/>
      <c r="V73" s="25" t="s">
        <v>3141</v>
      </c>
    </row>
    <row r="74" spans="1:22" ht="26.25">
      <c r="A74" s="67">
        <v>1459</v>
      </c>
      <c r="B74" s="15" t="s">
        <v>3141</v>
      </c>
      <c r="C74" s="16">
        <v>72</v>
      </c>
      <c r="D74" s="16">
        <v>72</v>
      </c>
      <c r="E74" s="16" t="s">
        <v>3157</v>
      </c>
      <c r="F74" s="17" t="s">
        <v>24</v>
      </c>
      <c r="G74" s="18">
        <v>1</v>
      </c>
      <c r="H74" s="19">
        <v>4</v>
      </c>
      <c r="I74" s="19"/>
      <c r="J74" s="19"/>
      <c r="K74" s="19"/>
      <c r="L74" s="20">
        <v>4</v>
      </c>
      <c r="M74" s="21">
        <v>4</v>
      </c>
      <c r="N74" s="22">
        <v>4</v>
      </c>
      <c r="O74" s="22">
        <v>0</v>
      </c>
      <c r="P74" s="20">
        <v>0</v>
      </c>
      <c r="Q74" s="23">
        <v>0</v>
      </c>
      <c r="R74" s="20">
        <v>0</v>
      </c>
      <c r="S74" s="20">
        <v>0</v>
      </c>
      <c r="T74" s="18">
        <v>0</v>
      </c>
      <c r="U74" s="24"/>
      <c r="V74" s="25" t="s">
        <v>3141</v>
      </c>
    </row>
    <row r="75" spans="1:22" ht="26.25">
      <c r="A75" s="67">
        <v>1459</v>
      </c>
      <c r="B75" s="15" t="s">
        <v>3141</v>
      </c>
      <c r="C75" s="16">
        <v>73</v>
      </c>
      <c r="D75" s="16">
        <v>73</v>
      </c>
      <c r="E75" s="16" t="s">
        <v>3158</v>
      </c>
      <c r="F75" s="17" t="s">
        <v>1198</v>
      </c>
      <c r="G75" s="18">
        <v>50</v>
      </c>
      <c r="H75" s="19">
        <v>12</v>
      </c>
      <c r="I75" s="19">
        <v>1</v>
      </c>
      <c r="J75" s="19"/>
      <c r="K75" s="19"/>
      <c r="L75" s="20">
        <v>62</v>
      </c>
      <c r="M75" s="21">
        <v>1.24</v>
      </c>
      <c r="N75" s="22">
        <v>12</v>
      </c>
      <c r="O75" s="22">
        <v>1</v>
      </c>
      <c r="P75" s="20">
        <v>0</v>
      </c>
      <c r="Q75" s="23">
        <v>0</v>
      </c>
      <c r="R75" s="20">
        <v>0</v>
      </c>
      <c r="S75" s="20">
        <v>0</v>
      </c>
      <c r="T75" s="18">
        <v>0</v>
      </c>
      <c r="U75" s="24"/>
      <c r="V75" s="25" t="s">
        <v>3141</v>
      </c>
    </row>
    <row r="76" spans="1:22" ht="26.25">
      <c r="A76" s="66">
        <v>1566</v>
      </c>
      <c r="B76" s="15" t="s">
        <v>3123</v>
      </c>
      <c r="C76" s="16">
        <v>74</v>
      </c>
      <c r="D76" s="16">
        <v>74</v>
      </c>
      <c r="E76" s="16" t="s">
        <v>3159</v>
      </c>
      <c r="F76" s="17" t="s">
        <v>1198</v>
      </c>
      <c r="G76" s="18">
        <v>50</v>
      </c>
      <c r="H76" s="19"/>
      <c r="I76" s="19">
        <v>1</v>
      </c>
      <c r="J76" s="19"/>
      <c r="K76" s="19"/>
      <c r="L76" s="20">
        <v>50</v>
      </c>
      <c r="M76" s="21">
        <v>1</v>
      </c>
      <c r="N76" s="22">
        <v>0</v>
      </c>
      <c r="O76" s="22">
        <v>1</v>
      </c>
      <c r="P76" s="20">
        <v>0</v>
      </c>
      <c r="Q76" s="23">
        <v>0</v>
      </c>
      <c r="R76" s="20">
        <v>0</v>
      </c>
      <c r="S76" s="20">
        <v>0</v>
      </c>
      <c r="T76" s="18">
        <v>0</v>
      </c>
      <c r="U76" s="24"/>
      <c r="V76" s="25" t="s">
        <v>3123</v>
      </c>
    </row>
    <row r="77" spans="1:22" ht="26.25">
      <c r="A77" s="66">
        <v>1569</v>
      </c>
      <c r="B77" s="15" t="s">
        <v>3123</v>
      </c>
      <c r="C77" s="16">
        <v>75</v>
      </c>
      <c r="D77" s="16">
        <v>75</v>
      </c>
      <c r="E77" s="16" t="s">
        <v>3160</v>
      </c>
      <c r="F77" s="17" t="s">
        <v>1201</v>
      </c>
      <c r="G77" s="18">
        <v>1</v>
      </c>
      <c r="H77" s="19"/>
      <c r="I77" s="19">
        <v>1</v>
      </c>
      <c r="J77" s="19"/>
      <c r="K77" s="19"/>
      <c r="L77" s="20">
        <v>1</v>
      </c>
      <c r="M77" s="21">
        <v>1</v>
      </c>
      <c r="N77" s="22">
        <v>1</v>
      </c>
      <c r="O77" s="22">
        <v>0</v>
      </c>
      <c r="P77" s="20">
        <v>0</v>
      </c>
      <c r="Q77" s="23">
        <v>0</v>
      </c>
      <c r="R77" s="20">
        <v>0</v>
      </c>
      <c r="S77" s="20">
        <v>0</v>
      </c>
      <c r="T77" s="18">
        <v>0</v>
      </c>
      <c r="U77" s="24"/>
      <c r="V77" s="25" t="s">
        <v>3123</v>
      </c>
    </row>
    <row r="78" spans="1:22" ht="26.25">
      <c r="A78" s="66">
        <v>1568</v>
      </c>
      <c r="B78" s="15" t="s">
        <v>3123</v>
      </c>
      <c r="C78" s="16">
        <v>76</v>
      </c>
      <c r="D78" s="16">
        <v>76</v>
      </c>
      <c r="E78" s="16" t="s">
        <v>3161</v>
      </c>
      <c r="F78" s="17" t="s">
        <v>1198</v>
      </c>
      <c r="G78" s="18">
        <v>50</v>
      </c>
      <c r="H78" s="19"/>
      <c r="I78" s="19">
        <v>1</v>
      </c>
      <c r="J78" s="19"/>
      <c r="K78" s="19"/>
      <c r="L78" s="20">
        <v>50</v>
      </c>
      <c r="M78" s="21">
        <v>1</v>
      </c>
      <c r="N78" s="22">
        <v>0</v>
      </c>
      <c r="O78" s="22">
        <v>1</v>
      </c>
      <c r="P78" s="20">
        <v>0</v>
      </c>
      <c r="Q78" s="23">
        <v>0</v>
      </c>
      <c r="R78" s="20">
        <v>0</v>
      </c>
      <c r="S78" s="20">
        <v>0</v>
      </c>
      <c r="T78" s="18">
        <v>0</v>
      </c>
      <c r="U78" s="24"/>
      <c r="V78" s="25" t="s">
        <v>3123</v>
      </c>
    </row>
    <row r="79" spans="1:22" ht="26.25">
      <c r="A79" s="66">
        <v>1572</v>
      </c>
      <c r="B79" s="15" t="s">
        <v>3123</v>
      </c>
      <c r="C79" s="16">
        <v>77</v>
      </c>
      <c r="D79" s="16">
        <v>77</v>
      </c>
      <c r="E79" s="16" t="s">
        <v>3162</v>
      </c>
      <c r="F79" s="17" t="s">
        <v>1198</v>
      </c>
      <c r="G79" s="18">
        <v>50</v>
      </c>
      <c r="H79" s="19">
        <v>12</v>
      </c>
      <c r="I79" s="19">
        <v>1</v>
      </c>
      <c r="J79" s="19"/>
      <c r="K79" s="19"/>
      <c r="L79" s="20">
        <v>62</v>
      </c>
      <c r="M79" s="21">
        <v>1.24</v>
      </c>
      <c r="N79" s="22">
        <v>12</v>
      </c>
      <c r="O79" s="22">
        <v>1</v>
      </c>
      <c r="P79" s="20">
        <v>0</v>
      </c>
      <c r="Q79" s="23">
        <v>0</v>
      </c>
      <c r="R79" s="20">
        <v>0</v>
      </c>
      <c r="S79" s="20">
        <v>0</v>
      </c>
      <c r="T79" s="18">
        <v>0</v>
      </c>
      <c r="U79" s="24"/>
      <c r="V79" s="25" t="s">
        <v>3123</v>
      </c>
    </row>
    <row r="80" spans="1:22" ht="26.25">
      <c r="A80" s="66">
        <v>1446</v>
      </c>
      <c r="B80" s="15" t="s">
        <v>3163</v>
      </c>
      <c r="C80" s="16">
        <v>78</v>
      </c>
      <c r="D80" s="16">
        <v>78</v>
      </c>
      <c r="E80" s="16" t="s">
        <v>2424</v>
      </c>
      <c r="F80" s="17" t="s">
        <v>1198</v>
      </c>
      <c r="G80" s="18">
        <v>100</v>
      </c>
      <c r="H80" s="19"/>
      <c r="I80" s="19">
        <v>1</v>
      </c>
      <c r="J80" s="19"/>
      <c r="K80" s="19"/>
      <c r="L80" s="20">
        <v>100</v>
      </c>
      <c r="M80" s="21">
        <v>1</v>
      </c>
      <c r="N80" s="22">
        <v>0</v>
      </c>
      <c r="O80" s="22">
        <v>1</v>
      </c>
      <c r="P80" s="20">
        <v>0</v>
      </c>
      <c r="Q80" s="23">
        <v>0</v>
      </c>
      <c r="R80" s="20">
        <v>0</v>
      </c>
      <c r="S80" s="20">
        <v>0</v>
      </c>
      <c r="T80" s="18">
        <v>0</v>
      </c>
      <c r="U80" s="24"/>
      <c r="V80" s="25" t="s">
        <v>3163</v>
      </c>
    </row>
    <row r="81" spans="1:22" ht="26.25">
      <c r="A81" s="66">
        <v>1266</v>
      </c>
      <c r="B81" s="15" t="s">
        <v>3146</v>
      </c>
      <c r="C81" s="16">
        <v>79</v>
      </c>
      <c r="D81" s="16">
        <v>79</v>
      </c>
      <c r="E81" s="16" t="s">
        <v>3164</v>
      </c>
      <c r="F81" s="17" t="s">
        <v>24</v>
      </c>
      <c r="G81" s="18">
        <v>1</v>
      </c>
      <c r="H81" s="19">
        <v>2</v>
      </c>
      <c r="I81" s="19"/>
      <c r="J81" s="19"/>
      <c r="K81" s="19"/>
      <c r="L81" s="20">
        <v>2</v>
      </c>
      <c r="M81" s="21">
        <v>2</v>
      </c>
      <c r="N81" s="22">
        <v>2</v>
      </c>
      <c r="O81" s="22">
        <v>0</v>
      </c>
      <c r="P81" s="20">
        <v>0</v>
      </c>
      <c r="Q81" s="23">
        <v>0</v>
      </c>
      <c r="R81" s="20">
        <v>0</v>
      </c>
      <c r="S81" s="20">
        <v>0</v>
      </c>
      <c r="T81" s="18">
        <v>0</v>
      </c>
      <c r="U81" s="24"/>
      <c r="V81" s="25" t="s">
        <v>3146</v>
      </c>
    </row>
    <row r="82" spans="1:22" ht="26.25">
      <c r="A82" s="66">
        <v>1373</v>
      </c>
      <c r="B82" s="15" t="s">
        <v>3146</v>
      </c>
      <c r="C82" s="16">
        <v>80</v>
      </c>
      <c r="D82" s="16">
        <v>80</v>
      </c>
      <c r="E82" s="16" t="s">
        <v>3165</v>
      </c>
      <c r="F82" s="17" t="s">
        <v>1190</v>
      </c>
      <c r="G82" s="18">
        <v>50</v>
      </c>
      <c r="H82" s="19">
        <v>38</v>
      </c>
      <c r="I82" s="19"/>
      <c r="J82" s="19"/>
      <c r="K82" s="19"/>
      <c r="L82" s="20">
        <v>38</v>
      </c>
      <c r="M82" s="21">
        <v>0.76</v>
      </c>
      <c r="N82" s="22">
        <v>38</v>
      </c>
      <c r="O82" s="22">
        <v>0</v>
      </c>
      <c r="P82" s="20">
        <v>0</v>
      </c>
      <c r="Q82" s="23">
        <v>0</v>
      </c>
      <c r="R82" s="20">
        <v>0</v>
      </c>
      <c r="S82" s="20">
        <v>0</v>
      </c>
      <c r="T82" s="18">
        <v>0</v>
      </c>
      <c r="U82" s="24"/>
      <c r="V82" s="25" t="s">
        <v>3146</v>
      </c>
    </row>
    <row r="83" spans="1:22" ht="26.25">
      <c r="A83" s="66">
        <v>251</v>
      </c>
      <c r="B83" s="15" t="s">
        <v>3166</v>
      </c>
      <c r="C83" s="16">
        <v>81</v>
      </c>
      <c r="D83" s="16">
        <v>81</v>
      </c>
      <c r="E83" s="16" t="s">
        <v>3167</v>
      </c>
      <c r="F83" s="17" t="s">
        <v>24</v>
      </c>
      <c r="G83" s="18">
        <v>1</v>
      </c>
      <c r="H83" s="19">
        <v>2</v>
      </c>
      <c r="I83" s="19"/>
      <c r="J83" s="19"/>
      <c r="K83" s="19"/>
      <c r="L83" s="20">
        <v>2</v>
      </c>
      <c r="M83" s="21">
        <v>2</v>
      </c>
      <c r="N83" s="22">
        <v>2</v>
      </c>
      <c r="O83" s="22">
        <v>0</v>
      </c>
      <c r="P83" s="20">
        <v>0</v>
      </c>
      <c r="Q83" s="23">
        <v>0</v>
      </c>
      <c r="R83" s="20">
        <v>0</v>
      </c>
      <c r="S83" s="20">
        <v>0</v>
      </c>
      <c r="T83" s="18">
        <v>0</v>
      </c>
      <c r="U83" s="24"/>
      <c r="V83" s="25" t="s">
        <v>3166</v>
      </c>
    </row>
    <row r="84" spans="1:22" ht="26.25">
      <c r="A84" s="66">
        <v>252</v>
      </c>
      <c r="B84" s="15" t="s">
        <v>3166</v>
      </c>
      <c r="C84" s="16">
        <v>82</v>
      </c>
      <c r="D84" s="16">
        <v>82</v>
      </c>
      <c r="E84" s="16" t="s">
        <v>3168</v>
      </c>
      <c r="F84" s="17" t="s">
        <v>24</v>
      </c>
      <c r="G84" s="18">
        <v>1</v>
      </c>
      <c r="H84" s="19">
        <v>1</v>
      </c>
      <c r="I84" s="19"/>
      <c r="J84" s="19"/>
      <c r="K84" s="19"/>
      <c r="L84" s="20">
        <v>1</v>
      </c>
      <c r="M84" s="21">
        <v>1</v>
      </c>
      <c r="N84" s="22">
        <v>1</v>
      </c>
      <c r="O84" s="22">
        <v>0</v>
      </c>
      <c r="P84" s="20">
        <v>0</v>
      </c>
      <c r="Q84" s="23">
        <v>0</v>
      </c>
      <c r="R84" s="20">
        <v>0</v>
      </c>
      <c r="S84" s="20">
        <v>0</v>
      </c>
      <c r="T84" s="18">
        <v>0</v>
      </c>
      <c r="U84" s="24"/>
      <c r="V84" s="25" t="s">
        <v>3166</v>
      </c>
    </row>
    <row r="85" spans="1:22" ht="26.25">
      <c r="A85" s="67">
        <v>253</v>
      </c>
      <c r="B85" s="15" t="s">
        <v>3166</v>
      </c>
      <c r="C85" s="16">
        <v>83</v>
      </c>
      <c r="D85" s="16">
        <v>83</v>
      </c>
      <c r="E85" s="16" t="s">
        <v>3169</v>
      </c>
      <c r="F85" s="17" t="s">
        <v>24</v>
      </c>
      <c r="G85" s="18">
        <v>1</v>
      </c>
      <c r="H85" s="19">
        <v>1</v>
      </c>
      <c r="I85" s="19"/>
      <c r="J85" s="19"/>
      <c r="K85" s="19"/>
      <c r="L85" s="20">
        <v>1</v>
      </c>
      <c r="M85" s="21">
        <v>1</v>
      </c>
      <c r="N85" s="22">
        <v>1</v>
      </c>
      <c r="O85" s="22">
        <v>0</v>
      </c>
      <c r="P85" s="20">
        <v>0</v>
      </c>
      <c r="Q85" s="23">
        <v>0</v>
      </c>
      <c r="R85" s="20">
        <v>0</v>
      </c>
      <c r="S85" s="20">
        <v>0</v>
      </c>
      <c r="T85" s="18">
        <v>0</v>
      </c>
      <c r="U85" s="24"/>
      <c r="V85" s="25" t="s">
        <v>3166</v>
      </c>
    </row>
    <row r="86" spans="1:22" ht="26.25">
      <c r="A86" s="66">
        <v>254</v>
      </c>
      <c r="B86" s="15" t="s">
        <v>3166</v>
      </c>
      <c r="C86" s="16">
        <v>84</v>
      </c>
      <c r="D86" s="16">
        <v>84</v>
      </c>
      <c r="E86" s="16" t="s">
        <v>3170</v>
      </c>
      <c r="F86" s="17" t="s">
        <v>24</v>
      </c>
      <c r="G86" s="18">
        <v>1</v>
      </c>
      <c r="H86" s="19">
        <v>4</v>
      </c>
      <c r="I86" s="19"/>
      <c r="J86" s="19"/>
      <c r="K86" s="19"/>
      <c r="L86" s="20">
        <v>4</v>
      </c>
      <c r="M86" s="21">
        <v>4</v>
      </c>
      <c r="N86" s="22">
        <v>4</v>
      </c>
      <c r="O86" s="22">
        <v>0</v>
      </c>
      <c r="P86" s="20">
        <v>0</v>
      </c>
      <c r="Q86" s="23">
        <v>0</v>
      </c>
      <c r="R86" s="20">
        <v>0</v>
      </c>
      <c r="S86" s="20">
        <v>0</v>
      </c>
      <c r="T86" s="18">
        <v>0</v>
      </c>
      <c r="U86" s="24"/>
      <c r="V86" s="25" t="s">
        <v>3166</v>
      </c>
    </row>
    <row r="87" spans="1:22" ht="26.25">
      <c r="A87" s="66">
        <v>255</v>
      </c>
      <c r="B87" s="15" t="s">
        <v>3166</v>
      </c>
      <c r="C87" s="16">
        <v>85</v>
      </c>
      <c r="D87" s="16">
        <v>85</v>
      </c>
      <c r="E87" s="16" t="s">
        <v>3171</v>
      </c>
      <c r="F87" s="17" t="s">
        <v>24</v>
      </c>
      <c r="G87" s="18">
        <v>1</v>
      </c>
      <c r="H87" s="19">
        <v>2</v>
      </c>
      <c r="I87" s="19"/>
      <c r="J87" s="19"/>
      <c r="K87" s="19"/>
      <c r="L87" s="20">
        <v>2</v>
      </c>
      <c r="M87" s="21">
        <v>2</v>
      </c>
      <c r="N87" s="22">
        <v>2</v>
      </c>
      <c r="O87" s="22">
        <v>0</v>
      </c>
      <c r="P87" s="20">
        <v>0</v>
      </c>
      <c r="Q87" s="23">
        <v>0</v>
      </c>
      <c r="R87" s="20">
        <v>0</v>
      </c>
      <c r="S87" s="20">
        <v>0</v>
      </c>
      <c r="T87" s="18">
        <v>0</v>
      </c>
      <c r="U87" s="24"/>
      <c r="V87" s="25" t="s">
        <v>3166</v>
      </c>
    </row>
    <row r="88" spans="1:22" ht="26.25">
      <c r="A88" s="67">
        <v>256</v>
      </c>
      <c r="B88" s="15" t="s">
        <v>3166</v>
      </c>
      <c r="C88" s="16">
        <v>86</v>
      </c>
      <c r="D88" s="16">
        <v>86</v>
      </c>
      <c r="E88" s="16" t="s">
        <v>3172</v>
      </c>
      <c r="F88" s="17" t="s">
        <v>24</v>
      </c>
      <c r="G88" s="18">
        <v>1</v>
      </c>
      <c r="H88" s="19">
        <v>7</v>
      </c>
      <c r="I88" s="19"/>
      <c r="J88" s="19"/>
      <c r="K88" s="19"/>
      <c r="L88" s="20">
        <v>7</v>
      </c>
      <c r="M88" s="21">
        <v>7</v>
      </c>
      <c r="N88" s="22">
        <v>7</v>
      </c>
      <c r="O88" s="22">
        <v>0</v>
      </c>
      <c r="P88" s="20">
        <v>0</v>
      </c>
      <c r="Q88" s="23">
        <v>0</v>
      </c>
      <c r="R88" s="20">
        <v>0</v>
      </c>
      <c r="S88" s="20">
        <v>0</v>
      </c>
      <c r="T88" s="18">
        <v>0</v>
      </c>
      <c r="U88" s="24"/>
      <c r="V88" s="25" t="s">
        <v>3166</v>
      </c>
    </row>
    <row r="89" spans="1:22" ht="26.25">
      <c r="A89" s="66">
        <v>257</v>
      </c>
      <c r="B89" s="15" t="s">
        <v>3166</v>
      </c>
      <c r="C89" s="16">
        <v>87</v>
      </c>
      <c r="D89" s="16">
        <v>87</v>
      </c>
      <c r="E89" s="16" t="s">
        <v>3170</v>
      </c>
      <c r="F89" s="17" t="s">
        <v>24</v>
      </c>
      <c r="G89" s="18">
        <v>1</v>
      </c>
      <c r="H89" s="19">
        <v>5</v>
      </c>
      <c r="I89" s="19"/>
      <c r="J89" s="19"/>
      <c r="K89" s="19"/>
      <c r="L89" s="20">
        <v>5</v>
      </c>
      <c r="M89" s="21">
        <v>5</v>
      </c>
      <c r="N89" s="22">
        <v>5</v>
      </c>
      <c r="O89" s="22">
        <v>0</v>
      </c>
      <c r="P89" s="20">
        <v>0</v>
      </c>
      <c r="Q89" s="23">
        <v>0</v>
      </c>
      <c r="R89" s="20">
        <v>0</v>
      </c>
      <c r="S89" s="20">
        <v>0</v>
      </c>
      <c r="T89" s="18">
        <v>0</v>
      </c>
      <c r="U89" s="24"/>
      <c r="V89" s="25" t="s">
        <v>3166</v>
      </c>
    </row>
    <row r="90" spans="1:22" ht="26.25">
      <c r="A90" s="66">
        <v>258</v>
      </c>
      <c r="B90" s="15" t="s">
        <v>3173</v>
      </c>
      <c r="C90" s="16">
        <v>88</v>
      </c>
      <c r="D90" s="16">
        <v>88</v>
      </c>
      <c r="E90" s="16" t="s">
        <v>3174</v>
      </c>
      <c r="F90" s="17" t="s">
        <v>24</v>
      </c>
      <c r="G90" s="18">
        <v>1</v>
      </c>
      <c r="H90" s="19">
        <v>1</v>
      </c>
      <c r="I90" s="19"/>
      <c r="J90" s="19"/>
      <c r="K90" s="19"/>
      <c r="L90" s="20">
        <v>1</v>
      </c>
      <c r="M90" s="21">
        <v>1</v>
      </c>
      <c r="N90" s="22">
        <v>1</v>
      </c>
      <c r="O90" s="22">
        <v>0</v>
      </c>
      <c r="P90" s="20">
        <v>0</v>
      </c>
      <c r="Q90" s="23">
        <v>0</v>
      </c>
      <c r="R90" s="20">
        <v>0</v>
      </c>
      <c r="S90" s="20">
        <v>0</v>
      </c>
      <c r="T90" s="18">
        <v>0</v>
      </c>
      <c r="U90" s="24"/>
      <c r="V90" s="25" t="s">
        <v>3173</v>
      </c>
    </row>
    <row r="91" spans="1:22" ht="26.25">
      <c r="A91" s="67">
        <v>259</v>
      </c>
      <c r="B91" s="15" t="s">
        <v>3166</v>
      </c>
      <c r="C91" s="16">
        <v>89</v>
      </c>
      <c r="D91" s="16">
        <v>89</v>
      </c>
      <c r="E91" s="16" t="s">
        <v>3175</v>
      </c>
      <c r="F91" s="17"/>
      <c r="G91" s="18"/>
      <c r="H91" s="19"/>
      <c r="I91" s="19"/>
      <c r="J91" s="19"/>
      <c r="K91" s="19"/>
      <c r="L91" s="20">
        <v>0</v>
      </c>
      <c r="M91" s="21" t="s">
        <v>3105</v>
      </c>
      <c r="N91" s="22" t="s">
        <v>3105</v>
      </c>
      <c r="O91" s="22" t="b">
        <v>0</v>
      </c>
      <c r="P91" s="20" t="s">
        <v>3105</v>
      </c>
      <c r="Q91" s="23">
        <v>0</v>
      </c>
      <c r="R91" s="20" t="s">
        <v>3105</v>
      </c>
      <c r="S91" s="20">
        <v>0</v>
      </c>
      <c r="T91" s="18" t="s">
        <v>3105</v>
      </c>
      <c r="U91" s="24"/>
      <c r="V91" s="25" t="s">
        <v>3166</v>
      </c>
    </row>
    <row r="92" spans="1:22" ht="26.25">
      <c r="A92" s="66">
        <v>260</v>
      </c>
      <c r="B92" s="15" t="s">
        <v>3166</v>
      </c>
      <c r="C92" s="16">
        <v>90</v>
      </c>
      <c r="D92" s="16">
        <v>90</v>
      </c>
      <c r="E92" s="16" t="s">
        <v>3176</v>
      </c>
      <c r="F92" s="17"/>
      <c r="G92" s="18"/>
      <c r="H92" s="19"/>
      <c r="I92" s="19"/>
      <c r="J92" s="19"/>
      <c r="K92" s="19"/>
      <c r="L92" s="20">
        <v>0</v>
      </c>
      <c r="M92" s="21" t="s">
        <v>3105</v>
      </c>
      <c r="N92" s="22" t="s">
        <v>3105</v>
      </c>
      <c r="O92" s="22" t="b">
        <v>0</v>
      </c>
      <c r="P92" s="20" t="s">
        <v>3105</v>
      </c>
      <c r="Q92" s="23">
        <v>0</v>
      </c>
      <c r="R92" s="20" t="s">
        <v>3105</v>
      </c>
      <c r="S92" s="20">
        <v>0</v>
      </c>
      <c r="T92" s="18" t="s">
        <v>3105</v>
      </c>
      <c r="U92" s="24"/>
      <c r="V92" s="25" t="s">
        <v>3166</v>
      </c>
    </row>
    <row r="93" spans="1:22" ht="26.25">
      <c r="A93" s="66">
        <v>261</v>
      </c>
      <c r="B93" s="15" t="s">
        <v>3166</v>
      </c>
      <c r="C93" s="16">
        <v>91</v>
      </c>
      <c r="D93" s="16">
        <v>91</v>
      </c>
      <c r="E93" s="16" t="s">
        <v>3177</v>
      </c>
      <c r="F93" s="17"/>
      <c r="G93" s="18"/>
      <c r="H93" s="19"/>
      <c r="I93" s="19"/>
      <c r="J93" s="19"/>
      <c r="K93" s="19"/>
      <c r="L93" s="20">
        <v>0</v>
      </c>
      <c r="M93" s="21" t="s">
        <v>3105</v>
      </c>
      <c r="N93" s="22" t="s">
        <v>3105</v>
      </c>
      <c r="O93" s="22" t="b">
        <v>0</v>
      </c>
      <c r="P93" s="20" t="s">
        <v>3105</v>
      </c>
      <c r="Q93" s="23">
        <v>0</v>
      </c>
      <c r="R93" s="20" t="s">
        <v>3105</v>
      </c>
      <c r="S93" s="20">
        <v>0</v>
      </c>
      <c r="T93" s="18" t="s">
        <v>3105</v>
      </c>
      <c r="U93" s="24"/>
      <c r="V93" s="25" t="s">
        <v>3166</v>
      </c>
    </row>
    <row r="94" spans="1:22" ht="26.25">
      <c r="A94" s="67">
        <v>262</v>
      </c>
      <c r="B94" s="15" t="s">
        <v>3166</v>
      </c>
      <c r="C94" s="16">
        <v>92</v>
      </c>
      <c r="D94" s="16">
        <v>92</v>
      </c>
      <c r="E94" s="16" t="s">
        <v>3178</v>
      </c>
      <c r="F94" s="17"/>
      <c r="G94" s="18"/>
      <c r="H94" s="19"/>
      <c r="I94" s="19"/>
      <c r="J94" s="19"/>
      <c r="K94" s="19"/>
      <c r="L94" s="20">
        <v>0</v>
      </c>
      <c r="M94" s="21" t="s">
        <v>3105</v>
      </c>
      <c r="N94" s="22" t="s">
        <v>3105</v>
      </c>
      <c r="O94" s="22" t="b">
        <v>0</v>
      </c>
      <c r="P94" s="20" t="s">
        <v>3105</v>
      </c>
      <c r="Q94" s="23">
        <v>0</v>
      </c>
      <c r="R94" s="20" t="s">
        <v>3105</v>
      </c>
      <c r="S94" s="20">
        <v>0</v>
      </c>
      <c r="T94" s="18" t="s">
        <v>3105</v>
      </c>
      <c r="U94" s="24"/>
      <c r="V94" s="25" t="s">
        <v>3166</v>
      </c>
    </row>
    <row r="95" spans="1:22" ht="26.25">
      <c r="A95" s="66">
        <v>263</v>
      </c>
      <c r="B95" s="15" t="s">
        <v>3166</v>
      </c>
      <c r="C95" s="16">
        <v>93</v>
      </c>
      <c r="D95" s="16">
        <v>93</v>
      </c>
      <c r="E95" s="16" t="s">
        <v>3179</v>
      </c>
      <c r="F95" s="17"/>
      <c r="G95" s="18"/>
      <c r="H95" s="19"/>
      <c r="I95" s="19"/>
      <c r="J95" s="19"/>
      <c r="K95" s="19"/>
      <c r="L95" s="20">
        <v>0</v>
      </c>
      <c r="M95" s="21" t="s">
        <v>3105</v>
      </c>
      <c r="N95" s="22" t="s">
        <v>3105</v>
      </c>
      <c r="O95" s="22" t="b">
        <v>0</v>
      </c>
      <c r="P95" s="20" t="s">
        <v>3105</v>
      </c>
      <c r="Q95" s="23">
        <v>0</v>
      </c>
      <c r="R95" s="20" t="s">
        <v>3105</v>
      </c>
      <c r="S95" s="20">
        <v>0</v>
      </c>
      <c r="T95" s="18" t="s">
        <v>3105</v>
      </c>
      <c r="U95" s="24"/>
      <c r="V95" s="25" t="s">
        <v>3166</v>
      </c>
    </row>
    <row r="96" spans="1:22" ht="26.25">
      <c r="A96" s="66">
        <v>264</v>
      </c>
      <c r="B96" s="15" t="s">
        <v>3166</v>
      </c>
      <c r="C96" s="16">
        <v>94</v>
      </c>
      <c r="D96" s="16">
        <v>94</v>
      </c>
      <c r="E96" s="16" t="s">
        <v>3180</v>
      </c>
      <c r="F96" s="17"/>
      <c r="G96" s="18"/>
      <c r="H96" s="19"/>
      <c r="I96" s="19"/>
      <c r="J96" s="19"/>
      <c r="K96" s="19"/>
      <c r="L96" s="20">
        <v>0</v>
      </c>
      <c r="M96" s="21" t="s">
        <v>3105</v>
      </c>
      <c r="N96" s="22" t="s">
        <v>3105</v>
      </c>
      <c r="O96" s="22" t="b">
        <v>0</v>
      </c>
      <c r="P96" s="20" t="s">
        <v>3105</v>
      </c>
      <c r="Q96" s="23">
        <v>0</v>
      </c>
      <c r="R96" s="20" t="s">
        <v>3105</v>
      </c>
      <c r="S96" s="20">
        <v>0</v>
      </c>
      <c r="T96" s="18" t="s">
        <v>3105</v>
      </c>
      <c r="U96" s="24"/>
      <c r="V96" s="25" t="s">
        <v>3166</v>
      </c>
    </row>
    <row r="97" spans="1:22" ht="26.25">
      <c r="A97" s="67">
        <v>265</v>
      </c>
      <c r="B97" s="15" t="s">
        <v>3166</v>
      </c>
      <c r="C97" s="16">
        <v>95</v>
      </c>
      <c r="D97" s="16">
        <v>95</v>
      </c>
      <c r="E97" s="16" t="s">
        <v>3181</v>
      </c>
      <c r="F97" s="17"/>
      <c r="G97" s="18"/>
      <c r="H97" s="19"/>
      <c r="I97" s="19"/>
      <c r="J97" s="19"/>
      <c r="K97" s="19"/>
      <c r="L97" s="20">
        <v>0</v>
      </c>
      <c r="M97" s="21" t="s">
        <v>3105</v>
      </c>
      <c r="N97" s="22" t="s">
        <v>3105</v>
      </c>
      <c r="O97" s="22" t="b">
        <v>0</v>
      </c>
      <c r="P97" s="20" t="s">
        <v>3105</v>
      </c>
      <c r="Q97" s="23">
        <v>0</v>
      </c>
      <c r="R97" s="20" t="s">
        <v>3105</v>
      </c>
      <c r="S97" s="20">
        <v>0</v>
      </c>
      <c r="T97" s="18" t="s">
        <v>3105</v>
      </c>
      <c r="U97" s="24"/>
      <c r="V97" s="25" t="s">
        <v>3166</v>
      </c>
    </row>
    <row r="98" spans="1:22" ht="26.25">
      <c r="A98" s="66">
        <v>266</v>
      </c>
      <c r="B98" s="15" t="s">
        <v>3166</v>
      </c>
      <c r="C98" s="16">
        <v>96</v>
      </c>
      <c r="D98" s="16">
        <v>96</v>
      </c>
      <c r="E98" s="16" t="s">
        <v>3182</v>
      </c>
      <c r="F98" s="17"/>
      <c r="G98" s="18"/>
      <c r="H98" s="19">
        <v>1</v>
      </c>
      <c r="I98" s="19"/>
      <c r="J98" s="19"/>
      <c r="K98" s="19"/>
      <c r="L98" s="20">
        <v>1</v>
      </c>
      <c r="M98" s="21" t="s">
        <v>3105</v>
      </c>
      <c r="N98" s="22" t="s">
        <v>3105</v>
      </c>
      <c r="O98" s="22" t="b">
        <v>0</v>
      </c>
      <c r="P98" s="20" t="s">
        <v>3105</v>
      </c>
      <c r="Q98" s="23">
        <v>0</v>
      </c>
      <c r="R98" s="20" t="s">
        <v>3105</v>
      </c>
      <c r="S98" s="20">
        <v>0</v>
      </c>
      <c r="T98" s="18" t="s">
        <v>3105</v>
      </c>
      <c r="U98" s="24"/>
      <c r="V98" s="25" t="s">
        <v>3166</v>
      </c>
    </row>
    <row r="99" spans="1:22" ht="26.25">
      <c r="A99" s="66">
        <v>267</v>
      </c>
      <c r="B99" s="15" t="s">
        <v>3166</v>
      </c>
      <c r="C99" s="16">
        <v>97</v>
      </c>
      <c r="D99" s="16">
        <v>97</v>
      </c>
      <c r="E99" s="16" t="s">
        <v>3183</v>
      </c>
      <c r="F99" s="17"/>
      <c r="G99" s="18"/>
      <c r="H99" s="19"/>
      <c r="I99" s="19"/>
      <c r="J99" s="19"/>
      <c r="K99" s="19"/>
      <c r="L99" s="20">
        <v>0</v>
      </c>
      <c r="M99" s="21" t="s">
        <v>3105</v>
      </c>
      <c r="N99" s="22" t="s">
        <v>3105</v>
      </c>
      <c r="O99" s="22" t="b">
        <v>0</v>
      </c>
      <c r="P99" s="20" t="s">
        <v>3105</v>
      </c>
      <c r="Q99" s="23">
        <v>0</v>
      </c>
      <c r="R99" s="20" t="s">
        <v>3105</v>
      </c>
      <c r="S99" s="20">
        <v>0</v>
      </c>
      <c r="T99" s="18" t="s">
        <v>3105</v>
      </c>
      <c r="U99" s="24"/>
      <c r="V99" s="25" t="s">
        <v>3166</v>
      </c>
    </row>
    <row r="100" spans="1:22" ht="26.25">
      <c r="A100" s="66">
        <v>678</v>
      </c>
      <c r="B100" s="15" t="s">
        <v>3184</v>
      </c>
      <c r="C100" s="16">
        <v>98</v>
      </c>
      <c r="D100" s="16">
        <v>98</v>
      </c>
      <c r="E100" s="16" t="s">
        <v>3185</v>
      </c>
      <c r="F100" s="17" t="s">
        <v>24</v>
      </c>
      <c r="G100" s="18">
        <v>1</v>
      </c>
      <c r="H100" s="19">
        <v>5</v>
      </c>
      <c r="I100" s="19"/>
      <c r="J100" s="19"/>
      <c r="K100" s="19"/>
      <c r="L100" s="20">
        <v>5</v>
      </c>
      <c r="M100" s="21">
        <v>5</v>
      </c>
      <c r="N100" s="22">
        <v>5</v>
      </c>
      <c r="O100" s="22">
        <v>0</v>
      </c>
      <c r="P100" s="20">
        <v>0</v>
      </c>
      <c r="Q100" s="23">
        <v>0</v>
      </c>
      <c r="R100" s="20">
        <v>0</v>
      </c>
      <c r="S100" s="20">
        <v>0</v>
      </c>
      <c r="T100" s="18">
        <v>0</v>
      </c>
      <c r="U100" s="24"/>
      <c r="V100" s="25" t="s">
        <v>3184</v>
      </c>
    </row>
    <row r="101" spans="1:22" ht="26.25">
      <c r="A101" s="67">
        <v>679</v>
      </c>
      <c r="B101" s="15" t="s">
        <v>3184</v>
      </c>
      <c r="C101" s="16">
        <v>99</v>
      </c>
      <c r="D101" s="16">
        <v>99</v>
      </c>
      <c r="E101" s="16" t="s">
        <v>3186</v>
      </c>
      <c r="F101" s="17" t="s">
        <v>24</v>
      </c>
      <c r="G101" s="18">
        <v>1</v>
      </c>
      <c r="H101" s="19">
        <v>6</v>
      </c>
      <c r="I101" s="19"/>
      <c r="J101" s="19"/>
      <c r="K101" s="19"/>
      <c r="L101" s="20">
        <v>6</v>
      </c>
      <c r="M101" s="21">
        <v>6</v>
      </c>
      <c r="N101" s="22">
        <v>6</v>
      </c>
      <c r="O101" s="22">
        <v>0</v>
      </c>
      <c r="P101" s="20">
        <v>0</v>
      </c>
      <c r="Q101" s="23">
        <v>0</v>
      </c>
      <c r="R101" s="20">
        <v>0</v>
      </c>
      <c r="S101" s="20">
        <v>0</v>
      </c>
      <c r="T101" s="18">
        <v>0</v>
      </c>
      <c r="U101" s="24"/>
      <c r="V101" s="25" t="s">
        <v>3184</v>
      </c>
    </row>
    <row r="102" spans="1:22" ht="26.25">
      <c r="A102" s="66">
        <v>680</v>
      </c>
      <c r="B102" s="15" t="s">
        <v>3184</v>
      </c>
      <c r="C102" s="16">
        <v>100</v>
      </c>
      <c r="D102" s="16">
        <v>100</v>
      </c>
      <c r="E102" s="16" t="s">
        <v>3187</v>
      </c>
      <c r="F102" s="17" t="s">
        <v>24</v>
      </c>
      <c r="G102" s="18">
        <v>1</v>
      </c>
      <c r="H102" s="19">
        <v>3</v>
      </c>
      <c r="I102" s="19"/>
      <c r="J102" s="19"/>
      <c r="K102" s="19"/>
      <c r="L102" s="20">
        <v>3</v>
      </c>
      <c r="M102" s="21">
        <v>3</v>
      </c>
      <c r="N102" s="22">
        <v>3</v>
      </c>
      <c r="O102" s="22">
        <v>0</v>
      </c>
      <c r="P102" s="20">
        <v>0</v>
      </c>
      <c r="Q102" s="23">
        <v>0</v>
      </c>
      <c r="R102" s="20">
        <v>0</v>
      </c>
      <c r="S102" s="20">
        <v>0</v>
      </c>
      <c r="T102" s="18">
        <v>0</v>
      </c>
      <c r="U102" s="24"/>
      <c r="V102" s="25" t="s">
        <v>3184</v>
      </c>
    </row>
    <row r="103" spans="1:22" ht="26.25">
      <c r="A103" s="66">
        <v>1472</v>
      </c>
      <c r="B103" s="15" t="s">
        <v>3146</v>
      </c>
      <c r="C103" s="16">
        <v>101</v>
      </c>
      <c r="D103" s="16">
        <v>101</v>
      </c>
      <c r="E103" s="16" t="s">
        <v>3188</v>
      </c>
      <c r="F103" s="17" t="s">
        <v>24</v>
      </c>
      <c r="G103" s="18">
        <v>1</v>
      </c>
      <c r="H103" s="19">
        <v>1</v>
      </c>
      <c r="I103" s="19"/>
      <c r="J103" s="19"/>
      <c r="K103" s="19"/>
      <c r="L103" s="20">
        <v>1</v>
      </c>
      <c r="M103" s="21">
        <v>1</v>
      </c>
      <c r="N103" s="22">
        <v>1</v>
      </c>
      <c r="O103" s="22">
        <v>0</v>
      </c>
      <c r="P103" s="20">
        <v>0</v>
      </c>
      <c r="Q103" s="23">
        <v>0</v>
      </c>
      <c r="R103" s="20">
        <v>0</v>
      </c>
      <c r="S103" s="20">
        <v>0</v>
      </c>
      <c r="T103" s="18">
        <v>0</v>
      </c>
      <c r="U103" s="24"/>
      <c r="V103" s="25" t="s">
        <v>3146</v>
      </c>
    </row>
    <row r="104" spans="1:22" ht="26.25">
      <c r="A104" s="66">
        <v>1473</v>
      </c>
      <c r="B104" s="15" t="s">
        <v>3146</v>
      </c>
      <c r="C104" s="16">
        <v>102</v>
      </c>
      <c r="D104" s="16">
        <v>102</v>
      </c>
      <c r="E104" s="16" t="s">
        <v>3189</v>
      </c>
      <c r="F104" s="17" t="s">
        <v>24</v>
      </c>
      <c r="G104" s="18">
        <v>1</v>
      </c>
      <c r="H104" s="19">
        <v>1</v>
      </c>
      <c r="I104" s="19"/>
      <c r="J104" s="19"/>
      <c r="K104" s="19"/>
      <c r="L104" s="20">
        <v>1</v>
      </c>
      <c r="M104" s="21">
        <v>1</v>
      </c>
      <c r="N104" s="22">
        <v>1</v>
      </c>
      <c r="O104" s="22">
        <v>0</v>
      </c>
      <c r="P104" s="20">
        <v>0</v>
      </c>
      <c r="Q104" s="23">
        <v>0</v>
      </c>
      <c r="R104" s="20">
        <v>0</v>
      </c>
      <c r="S104" s="20">
        <v>0</v>
      </c>
      <c r="T104" s="18">
        <v>0</v>
      </c>
      <c r="U104" s="24"/>
      <c r="V104" s="25" t="s">
        <v>3146</v>
      </c>
    </row>
    <row r="105" spans="1:22" ht="26.25">
      <c r="A105" s="66">
        <v>1475</v>
      </c>
      <c r="B105" s="15" t="s">
        <v>3146</v>
      </c>
      <c r="C105" s="16">
        <v>103</v>
      </c>
      <c r="D105" s="16">
        <v>103</v>
      </c>
      <c r="E105" s="16" t="s">
        <v>3190</v>
      </c>
      <c r="F105" s="17" t="s">
        <v>24</v>
      </c>
      <c r="G105" s="18">
        <v>1</v>
      </c>
      <c r="H105" s="19">
        <v>2</v>
      </c>
      <c r="I105" s="19"/>
      <c r="J105" s="19"/>
      <c r="K105" s="19"/>
      <c r="L105" s="20">
        <v>2</v>
      </c>
      <c r="M105" s="21">
        <v>2</v>
      </c>
      <c r="N105" s="22">
        <v>2</v>
      </c>
      <c r="O105" s="22">
        <v>0</v>
      </c>
      <c r="P105" s="20">
        <v>0</v>
      </c>
      <c r="Q105" s="23">
        <v>0</v>
      </c>
      <c r="R105" s="20">
        <v>0</v>
      </c>
      <c r="S105" s="20">
        <v>0</v>
      </c>
      <c r="T105" s="18">
        <v>0</v>
      </c>
      <c r="U105" s="24"/>
      <c r="V105" s="25" t="s">
        <v>3146</v>
      </c>
    </row>
    <row r="106" spans="1:22" ht="26.25">
      <c r="A106" s="66">
        <v>1470</v>
      </c>
      <c r="B106" s="15" t="s">
        <v>3146</v>
      </c>
      <c r="C106" s="16">
        <v>104</v>
      </c>
      <c r="D106" s="16">
        <v>104</v>
      </c>
      <c r="E106" s="16" t="s">
        <v>3191</v>
      </c>
      <c r="F106" s="17" t="s">
        <v>24</v>
      </c>
      <c r="G106" s="18">
        <v>1</v>
      </c>
      <c r="H106" s="19">
        <v>1</v>
      </c>
      <c r="I106" s="19"/>
      <c r="J106" s="19"/>
      <c r="K106" s="19"/>
      <c r="L106" s="20">
        <v>1</v>
      </c>
      <c r="M106" s="21">
        <v>1</v>
      </c>
      <c r="N106" s="22">
        <v>1</v>
      </c>
      <c r="O106" s="22">
        <v>0</v>
      </c>
      <c r="P106" s="20">
        <v>0</v>
      </c>
      <c r="Q106" s="23">
        <v>0</v>
      </c>
      <c r="R106" s="20">
        <v>0</v>
      </c>
      <c r="S106" s="20">
        <v>0</v>
      </c>
      <c r="T106" s="18">
        <v>0</v>
      </c>
      <c r="U106" s="24"/>
      <c r="V106" s="25" t="s">
        <v>3146</v>
      </c>
    </row>
    <row r="107" spans="1:22" ht="26.25">
      <c r="A107" s="66">
        <v>1499</v>
      </c>
      <c r="B107" s="15" t="s">
        <v>3081</v>
      </c>
      <c r="C107" s="16">
        <v>105</v>
      </c>
      <c r="D107" s="16">
        <v>105</v>
      </c>
      <c r="E107" s="16" t="s">
        <v>3192</v>
      </c>
      <c r="F107" s="17" t="s">
        <v>24</v>
      </c>
      <c r="G107" s="18">
        <v>1</v>
      </c>
      <c r="H107" s="19">
        <v>7</v>
      </c>
      <c r="I107" s="19"/>
      <c r="J107" s="19"/>
      <c r="K107" s="19"/>
      <c r="L107" s="20">
        <v>7</v>
      </c>
      <c r="M107" s="21">
        <v>7</v>
      </c>
      <c r="N107" s="22">
        <v>7</v>
      </c>
      <c r="O107" s="22">
        <v>0</v>
      </c>
      <c r="P107" s="20">
        <v>0</v>
      </c>
      <c r="Q107" s="23">
        <v>0</v>
      </c>
      <c r="R107" s="20">
        <v>0</v>
      </c>
      <c r="S107" s="20">
        <v>0</v>
      </c>
      <c r="T107" s="18">
        <v>0</v>
      </c>
      <c r="U107" s="24"/>
      <c r="V107" s="25" t="s">
        <v>3081</v>
      </c>
    </row>
    <row r="108" spans="1:22" ht="26.25">
      <c r="A108" s="66">
        <v>1497</v>
      </c>
      <c r="B108" s="15" t="s">
        <v>3081</v>
      </c>
      <c r="C108" s="16">
        <v>106</v>
      </c>
      <c r="D108" s="16">
        <v>106</v>
      </c>
      <c r="E108" s="16" t="s">
        <v>2452</v>
      </c>
      <c r="F108" s="17" t="s">
        <v>24</v>
      </c>
      <c r="G108" s="18">
        <v>1</v>
      </c>
      <c r="H108" s="19">
        <v>16</v>
      </c>
      <c r="I108" s="19"/>
      <c r="J108" s="19"/>
      <c r="K108" s="19"/>
      <c r="L108" s="20">
        <v>16</v>
      </c>
      <c r="M108" s="21">
        <v>16</v>
      </c>
      <c r="N108" s="22">
        <v>16</v>
      </c>
      <c r="O108" s="22">
        <v>0</v>
      </c>
      <c r="P108" s="20">
        <v>0</v>
      </c>
      <c r="Q108" s="23">
        <v>0</v>
      </c>
      <c r="R108" s="20">
        <v>0</v>
      </c>
      <c r="S108" s="20">
        <v>0</v>
      </c>
      <c r="T108" s="18">
        <v>0</v>
      </c>
      <c r="U108" s="24"/>
      <c r="V108" s="25" t="s">
        <v>3081</v>
      </c>
    </row>
    <row r="109" spans="1:22" ht="26.25">
      <c r="A109" s="66">
        <v>1502</v>
      </c>
      <c r="B109" s="15" t="s">
        <v>3081</v>
      </c>
      <c r="C109" s="16">
        <v>107</v>
      </c>
      <c r="D109" s="16">
        <v>107</v>
      </c>
      <c r="E109" s="16" t="s">
        <v>3193</v>
      </c>
      <c r="F109" s="17" t="s">
        <v>24</v>
      </c>
      <c r="G109" s="18">
        <v>1</v>
      </c>
      <c r="H109" s="19">
        <v>1</v>
      </c>
      <c r="I109" s="19"/>
      <c r="J109" s="19"/>
      <c r="K109" s="19"/>
      <c r="L109" s="20">
        <v>1</v>
      </c>
      <c r="M109" s="21">
        <v>1</v>
      </c>
      <c r="N109" s="22">
        <v>1</v>
      </c>
      <c r="O109" s="22">
        <v>0</v>
      </c>
      <c r="P109" s="20">
        <v>0</v>
      </c>
      <c r="Q109" s="23">
        <v>0</v>
      </c>
      <c r="R109" s="20">
        <v>0</v>
      </c>
      <c r="S109" s="20">
        <v>0</v>
      </c>
      <c r="T109" s="18">
        <v>0</v>
      </c>
      <c r="U109" s="24"/>
      <c r="V109" s="25" t="s">
        <v>3081</v>
      </c>
    </row>
    <row r="110" spans="1:22" ht="26.25">
      <c r="A110" s="66">
        <v>1500</v>
      </c>
      <c r="B110" s="15" t="s">
        <v>3081</v>
      </c>
      <c r="C110" s="16">
        <v>108</v>
      </c>
      <c r="D110" s="16">
        <v>108</v>
      </c>
      <c r="E110" s="16" t="s">
        <v>3194</v>
      </c>
      <c r="F110" s="17" t="s">
        <v>24</v>
      </c>
      <c r="G110" s="18">
        <v>1</v>
      </c>
      <c r="H110" s="19">
        <v>6</v>
      </c>
      <c r="I110" s="19"/>
      <c r="J110" s="19"/>
      <c r="K110" s="19"/>
      <c r="L110" s="20">
        <v>6</v>
      </c>
      <c r="M110" s="21">
        <v>6</v>
      </c>
      <c r="N110" s="22">
        <v>6</v>
      </c>
      <c r="O110" s="22">
        <v>0</v>
      </c>
      <c r="P110" s="20">
        <v>0</v>
      </c>
      <c r="Q110" s="23">
        <v>0</v>
      </c>
      <c r="R110" s="20">
        <v>0</v>
      </c>
      <c r="S110" s="20">
        <v>0</v>
      </c>
      <c r="T110" s="18">
        <v>0</v>
      </c>
      <c r="U110" s="24"/>
      <c r="V110" s="25" t="s">
        <v>3081</v>
      </c>
    </row>
    <row r="111" spans="1:22" ht="26.25">
      <c r="A111" s="66">
        <v>1374</v>
      </c>
      <c r="B111" s="15"/>
      <c r="C111" s="16">
        <v>109</v>
      </c>
      <c r="D111" s="16">
        <v>109</v>
      </c>
      <c r="E111" s="16" t="s">
        <v>3195</v>
      </c>
      <c r="F111" s="17" t="s">
        <v>1198</v>
      </c>
      <c r="G111" s="18">
        <v>10</v>
      </c>
      <c r="H111" s="19"/>
      <c r="I111" s="19">
        <v>1</v>
      </c>
      <c r="J111" s="19"/>
      <c r="K111" s="19"/>
      <c r="L111" s="20">
        <v>10</v>
      </c>
      <c r="M111" s="21">
        <v>1</v>
      </c>
      <c r="N111" s="22">
        <v>0</v>
      </c>
      <c r="O111" s="22">
        <v>1</v>
      </c>
      <c r="P111" s="20">
        <v>0</v>
      </c>
      <c r="Q111" s="23">
        <v>0</v>
      </c>
      <c r="R111" s="20">
        <v>0</v>
      </c>
      <c r="S111" s="20">
        <v>0</v>
      </c>
      <c r="T111" s="18">
        <v>0</v>
      </c>
      <c r="U111" s="24"/>
      <c r="V111" s="25">
        <v>0</v>
      </c>
    </row>
    <row r="112" spans="1:22" ht="26.25">
      <c r="A112" s="67">
        <v>1375</v>
      </c>
      <c r="B112" s="15"/>
      <c r="C112" s="16">
        <v>110</v>
      </c>
      <c r="D112" s="16">
        <v>110</v>
      </c>
      <c r="E112" s="16" t="s">
        <v>3196</v>
      </c>
      <c r="F112" s="17" t="s">
        <v>1198</v>
      </c>
      <c r="G112" s="18">
        <v>10</v>
      </c>
      <c r="H112" s="19"/>
      <c r="I112" s="19">
        <v>7</v>
      </c>
      <c r="J112" s="19"/>
      <c r="K112" s="19"/>
      <c r="L112" s="20">
        <v>70</v>
      </c>
      <c r="M112" s="21">
        <v>7</v>
      </c>
      <c r="N112" s="22">
        <v>0</v>
      </c>
      <c r="O112" s="22">
        <v>7</v>
      </c>
      <c r="P112" s="20">
        <v>0</v>
      </c>
      <c r="Q112" s="23">
        <v>0</v>
      </c>
      <c r="R112" s="20">
        <v>0</v>
      </c>
      <c r="S112" s="20">
        <v>0</v>
      </c>
      <c r="T112" s="18">
        <v>0</v>
      </c>
      <c r="U112" s="24"/>
      <c r="V112" s="25">
        <v>0</v>
      </c>
    </row>
    <row r="113" spans="1:22" ht="26.25">
      <c r="A113" s="66">
        <v>1895</v>
      </c>
      <c r="B113" s="15" t="s">
        <v>3103</v>
      </c>
      <c r="C113" s="16">
        <v>111</v>
      </c>
      <c r="D113" s="16">
        <v>111</v>
      </c>
      <c r="E113" s="16" t="s">
        <v>3197</v>
      </c>
      <c r="F113" s="17" t="s">
        <v>24</v>
      </c>
      <c r="G113" s="18">
        <v>1</v>
      </c>
      <c r="H113" s="19">
        <v>4</v>
      </c>
      <c r="I113" s="19"/>
      <c r="J113" s="19"/>
      <c r="K113" s="19"/>
      <c r="L113" s="20">
        <v>4</v>
      </c>
      <c r="M113" s="21">
        <v>4</v>
      </c>
      <c r="N113" s="22">
        <v>4</v>
      </c>
      <c r="O113" s="22">
        <v>0</v>
      </c>
      <c r="P113" s="20">
        <v>0</v>
      </c>
      <c r="Q113" s="23">
        <v>0</v>
      </c>
      <c r="R113" s="20">
        <v>0</v>
      </c>
      <c r="S113" s="20">
        <v>0</v>
      </c>
      <c r="T113" s="18">
        <v>0</v>
      </c>
      <c r="U113" s="24"/>
      <c r="V113" s="25" t="s">
        <v>3103</v>
      </c>
    </row>
    <row r="114" spans="1:22" ht="26.25">
      <c r="A114" s="66">
        <v>1931</v>
      </c>
      <c r="B114" s="15" t="s">
        <v>3103</v>
      </c>
      <c r="C114" s="16">
        <v>112</v>
      </c>
      <c r="D114" s="16">
        <v>112</v>
      </c>
      <c r="E114" s="16" t="s">
        <v>3198</v>
      </c>
      <c r="F114" s="17" t="s">
        <v>24</v>
      </c>
      <c r="G114" s="18">
        <v>1</v>
      </c>
      <c r="H114" s="19">
        <v>1</v>
      </c>
      <c r="I114" s="19"/>
      <c r="J114" s="19">
        <v>800</v>
      </c>
      <c r="K114" s="19"/>
      <c r="L114" s="20">
        <v>1</v>
      </c>
      <c r="M114" s="21">
        <v>1</v>
      </c>
      <c r="N114" s="22">
        <v>1</v>
      </c>
      <c r="O114" s="22">
        <v>0</v>
      </c>
      <c r="P114" s="20">
        <v>0</v>
      </c>
      <c r="Q114" s="23">
        <v>800</v>
      </c>
      <c r="R114" s="20">
        <v>800</v>
      </c>
      <c r="S114" s="20">
        <v>800</v>
      </c>
      <c r="T114" s="18">
        <v>800</v>
      </c>
      <c r="U114" s="24" t="s">
        <v>3101</v>
      </c>
      <c r="V114" s="25" t="s">
        <v>3103</v>
      </c>
    </row>
    <row r="115" spans="1:22" ht="26.25">
      <c r="A115" s="67">
        <v>1867</v>
      </c>
      <c r="B115" s="15" t="s">
        <v>3103</v>
      </c>
      <c r="C115" s="16">
        <v>113</v>
      </c>
      <c r="D115" s="16">
        <v>113</v>
      </c>
      <c r="E115" s="16" t="s">
        <v>3199</v>
      </c>
      <c r="F115" s="17" t="s">
        <v>24</v>
      </c>
      <c r="G115" s="18">
        <v>1</v>
      </c>
      <c r="H115" s="19">
        <v>2</v>
      </c>
      <c r="I115" s="19"/>
      <c r="J115" s="19">
        <v>600</v>
      </c>
      <c r="K115" s="19"/>
      <c r="L115" s="20">
        <v>2</v>
      </c>
      <c r="M115" s="21">
        <v>2</v>
      </c>
      <c r="N115" s="22">
        <v>2</v>
      </c>
      <c r="O115" s="22">
        <v>0</v>
      </c>
      <c r="P115" s="20">
        <v>0</v>
      </c>
      <c r="Q115" s="23">
        <v>600</v>
      </c>
      <c r="R115" s="20">
        <v>600</v>
      </c>
      <c r="S115" s="20">
        <v>600</v>
      </c>
      <c r="T115" s="18">
        <v>1200</v>
      </c>
      <c r="U115" s="24" t="s">
        <v>3101</v>
      </c>
      <c r="V115" s="25" t="s">
        <v>3103</v>
      </c>
    </row>
    <row r="116" spans="1:22" ht="26.25">
      <c r="A116" s="66">
        <v>1866</v>
      </c>
      <c r="B116" s="15" t="s">
        <v>3103</v>
      </c>
      <c r="C116" s="16">
        <v>114</v>
      </c>
      <c r="D116" s="16">
        <v>114</v>
      </c>
      <c r="E116" s="16" t="s">
        <v>3200</v>
      </c>
      <c r="F116" s="17" t="s">
        <v>24</v>
      </c>
      <c r="G116" s="18">
        <v>1</v>
      </c>
      <c r="H116" s="19">
        <v>1</v>
      </c>
      <c r="I116" s="19"/>
      <c r="J116" s="19">
        <v>600</v>
      </c>
      <c r="K116" s="19"/>
      <c r="L116" s="20">
        <v>1</v>
      </c>
      <c r="M116" s="21">
        <v>1</v>
      </c>
      <c r="N116" s="22">
        <v>1</v>
      </c>
      <c r="O116" s="22">
        <v>0</v>
      </c>
      <c r="P116" s="20">
        <v>0</v>
      </c>
      <c r="Q116" s="23">
        <v>600</v>
      </c>
      <c r="R116" s="20">
        <v>600</v>
      </c>
      <c r="S116" s="20">
        <v>600</v>
      </c>
      <c r="T116" s="18">
        <v>600</v>
      </c>
      <c r="U116" s="24" t="s">
        <v>3101</v>
      </c>
      <c r="V116" s="25" t="s">
        <v>3103</v>
      </c>
    </row>
    <row r="117" spans="1:22" ht="26.25">
      <c r="A117" s="66">
        <v>1871</v>
      </c>
      <c r="B117" s="15" t="s">
        <v>3103</v>
      </c>
      <c r="C117" s="16">
        <v>115</v>
      </c>
      <c r="D117" s="16">
        <v>115</v>
      </c>
      <c r="E117" s="16" t="s">
        <v>3201</v>
      </c>
      <c r="F117" s="17" t="s">
        <v>24</v>
      </c>
      <c r="G117" s="18">
        <v>1</v>
      </c>
      <c r="H117" s="19">
        <v>2</v>
      </c>
      <c r="I117" s="19"/>
      <c r="J117" s="19"/>
      <c r="K117" s="19"/>
      <c r="L117" s="20">
        <v>2</v>
      </c>
      <c r="M117" s="21">
        <v>2</v>
      </c>
      <c r="N117" s="22">
        <v>2</v>
      </c>
      <c r="O117" s="22">
        <v>0</v>
      </c>
      <c r="P117" s="20">
        <v>0</v>
      </c>
      <c r="Q117" s="23">
        <v>0</v>
      </c>
      <c r="R117" s="20">
        <v>0</v>
      </c>
      <c r="S117" s="20">
        <v>0</v>
      </c>
      <c r="T117" s="18">
        <v>0</v>
      </c>
      <c r="U117" s="24"/>
      <c r="V117" s="25" t="s">
        <v>3103</v>
      </c>
    </row>
    <row r="118" spans="1:22" ht="26.25">
      <c r="A118" s="67">
        <v>1870</v>
      </c>
      <c r="B118" s="15" t="s">
        <v>3103</v>
      </c>
      <c r="C118" s="16">
        <v>116</v>
      </c>
      <c r="D118" s="16">
        <v>116</v>
      </c>
      <c r="E118" s="16" t="s">
        <v>3202</v>
      </c>
      <c r="F118" s="17" t="s">
        <v>24</v>
      </c>
      <c r="G118" s="18">
        <v>1</v>
      </c>
      <c r="H118" s="19">
        <v>1</v>
      </c>
      <c r="I118" s="19"/>
      <c r="J118" s="19">
        <v>500</v>
      </c>
      <c r="K118" s="19"/>
      <c r="L118" s="20">
        <v>1</v>
      </c>
      <c r="M118" s="21">
        <v>1</v>
      </c>
      <c r="N118" s="22">
        <v>1</v>
      </c>
      <c r="O118" s="22">
        <v>0</v>
      </c>
      <c r="P118" s="20">
        <v>0</v>
      </c>
      <c r="Q118" s="23">
        <v>500</v>
      </c>
      <c r="R118" s="20">
        <v>500</v>
      </c>
      <c r="S118" s="20">
        <v>500</v>
      </c>
      <c r="T118" s="18">
        <v>500</v>
      </c>
      <c r="U118" s="24" t="s">
        <v>3101</v>
      </c>
      <c r="V118" s="25" t="s">
        <v>3103</v>
      </c>
    </row>
    <row r="119" spans="1:22" ht="26.25">
      <c r="A119" s="66">
        <v>1928</v>
      </c>
      <c r="B119" s="15" t="s">
        <v>3103</v>
      </c>
      <c r="C119" s="16">
        <v>117</v>
      </c>
      <c r="D119" s="16">
        <v>117</v>
      </c>
      <c r="E119" s="16" t="s">
        <v>3203</v>
      </c>
      <c r="F119" s="17" t="s">
        <v>24</v>
      </c>
      <c r="G119" s="18">
        <v>1</v>
      </c>
      <c r="H119" s="19">
        <v>1</v>
      </c>
      <c r="I119" s="19"/>
      <c r="J119" s="19">
        <v>800</v>
      </c>
      <c r="K119" s="19"/>
      <c r="L119" s="20">
        <v>1</v>
      </c>
      <c r="M119" s="21">
        <v>1</v>
      </c>
      <c r="N119" s="22">
        <v>1</v>
      </c>
      <c r="O119" s="22">
        <v>0</v>
      </c>
      <c r="P119" s="20">
        <v>0</v>
      </c>
      <c r="Q119" s="23">
        <v>800</v>
      </c>
      <c r="R119" s="20">
        <v>800</v>
      </c>
      <c r="S119" s="20">
        <v>800</v>
      </c>
      <c r="T119" s="18">
        <v>800</v>
      </c>
      <c r="U119" s="24" t="s">
        <v>3101</v>
      </c>
      <c r="V119" s="25" t="s">
        <v>3103</v>
      </c>
    </row>
    <row r="120" spans="1:22" ht="26.25">
      <c r="A120" s="67">
        <v>1876</v>
      </c>
      <c r="B120" s="15" t="s">
        <v>3103</v>
      </c>
      <c r="C120" s="16">
        <v>118</v>
      </c>
      <c r="D120" s="16">
        <v>118</v>
      </c>
      <c r="E120" s="16" t="s">
        <v>3204</v>
      </c>
      <c r="F120" s="17" t="s">
        <v>24</v>
      </c>
      <c r="G120" s="18">
        <v>1</v>
      </c>
      <c r="H120" s="19">
        <v>0</v>
      </c>
      <c r="I120" s="19"/>
      <c r="J120" s="19"/>
      <c r="K120" s="19"/>
      <c r="L120" s="20">
        <v>0</v>
      </c>
      <c r="M120" s="21">
        <v>0</v>
      </c>
      <c r="N120" s="22">
        <v>0</v>
      </c>
      <c r="O120" s="22">
        <v>0</v>
      </c>
      <c r="P120" s="20">
        <v>0</v>
      </c>
      <c r="Q120" s="23">
        <v>0</v>
      </c>
      <c r="R120" s="20">
        <v>0</v>
      </c>
      <c r="S120" s="20">
        <v>0</v>
      </c>
      <c r="T120" s="18">
        <v>0</v>
      </c>
      <c r="U120" s="24" t="s">
        <v>3205</v>
      </c>
      <c r="V120" s="25" t="s">
        <v>3103</v>
      </c>
    </row>
    <row r="121" spans="1:22" ht="26.25">
      <c r="A121" s="66">
        <v>1868</v>
      </c>
      <c r="B121" s="15" t="s">
        <v>3103</v>
      </c>
      <c r="C121" s="16">
        <v>119</v>
      </c>
      <c r="D121" s="16">
        <v>119</v>
      </c>
      <c r="E121" s="16" t="s">
        <v>3206</v>
      </c>
      <c r="F121" s="17" t="s">
        <v>24</v>
      </c>
      <c r="G121" s="18">
        <v>1</v>
      </c>
      <c r="H121" s="19">
        <v>1</v>
      </c>
      <c r="I121" s="19"/>
      <c r="J121" s="19">
        <v>600</v>
      </c>
      <c r="K121" s="19"/>
      <c r="L121" s="20">
        <v>1</v>
      </c>
      <c r="M121" s="21">
        <v>1</v>
      </c>
      <c r="N121" s="22">
        <v>1</v>
      </c>
      <c r="O121" s="22">
        <v>0</v>
      </c>
      <c r="P121" s="20">
        <v>0</v>
      </c>
      <c r="Q121" s="23">
        <v>600</v>
      </c>
      <c r="R121" s="20">
        <v>600</v>
      </c>
      <c r="S121" s="20">
        <v>600</v>
      </c>
      <c r="T121" s="18">
        <v>600</v>
      </c>
      <c r="U121" s="24" t="s">
        <v>3101</v>
      </c>
      <c r="V121" s="25" t="s">
        <v>3103</v>
      </c>
    </row>
    <row r="122" spans="1:22" ht="26.25">
      <c r="A122" s="66">
        <v>1863</v>
      </c>
      <c r="B122" s="15" t="s">
        <v>3103</v>
      </c>
      <c r="C122" s="16">
        <v>120</v>
      </c>
      <c r="D122" s="16">
        <v>120</v>
      </c>
      <c r="E122" s="16" t="s">
        <v>3207</v>
      </c>
      <c r="F122" s="17" t="s">
        <v>24</v>
      </c>
      <c r="G122" s="18">
        <v>1</v>
      </c>
      <c r="H122" s="19">
        <v>1</v>
      </c>
      <c r="I122" s="19"/>
      <c r="J122" s="19">
        <v>600</v>
      </c>
      <c r="K122" s="19"/>
      <c r="L122" s="20">
        <v>1</v>
      </c>
      <c r="M122" s="21">
        <v>1</v>
      </c>
      <c r="N122" s="22">
        <v>1</v>
      </c>
      <c r="O122" s="22">
        <v>0</v>
      </c>
      <c r="P122" s="20">
        <v>0</v>
      </c>
      <c r="Q122" s="23">
        <v>600</v>
      </c>
      <c r="R122" s="20">
        <v>600</v>
      </c>
      <c r="S122" s="20">
        <v>600</v>
      </c>
      <c r="T122" s="18">
        <v>600</v>
      </c>
      <c r="U122" s="24" t="s">
        <v>3101</v>
      </c>
      <c r="V122" s="25" t="s">
        <v>3103</v>
      </c>
    </row>
    <row r="123" spans="1:22" ht="26.25">
      <c r="A123" s="66">
        <v>1877</v>
      </c>
      <c r="B123" s="15" t="s">
        <v>3103</v>
      </c>
      <c r="C123" s="16">
        <v>127</v>
      </c>
      <c r="D123" s="16">
        <v>121</v>
      </c>
      <c r="E123" s="16" t="s">
        <v>3208</v>
      </c>
      <c r="F123" s="17" t="s">
        <v>24</v>
      </c>
      <c r="G123" s="18">
        <v>1</v>
      </c>
      <c r="H123" s="19">
        <v>1</v>
      </c>
      <c r="I123" s="19"/>
      <c r="J123" s="19">
        <v>500</v>
      </c>
      <c r="K123" s="19"/>
      <c r="L123" s="20">
        <v>1</v>
      </c>
      <c r="M123" s="21">
        <v>1</v>
      </c>
      <c r="N123" s="22">
        <v>1</v>
      </c>
      <c r="O123" s="22">
        <v>0</v>
      </c>
      <c r="P123" s="20">
        <v>0</v>
      </c>
      <c r="Q123" s="23">
        <v>500</v>
      </c>
      <c r="R123" s="20">
        <v>500</v>
      </c>
      <c r="S123" s="20">
        <v>500</v>
      </c>
      <c r="T123" s="18">
        <v>500</v>
      </c>
      <c r="U123" s="24" t="s">
        <v>3101</v>
      </c>
      <c r="V123" s="25" t="s">
        <v>3103</v>
      </c>
    </row>
    <row r="124" spans="1:22" ht="26.25">
      <c r="A124" s="67">
        <v>1897</v>
      </c>
      <c r="B124" s="15" t="s">
        <v>3103</v>
      </c>
      <c r="C124" s="16">
        <v>122</v>
      </c>
      <c r="D124" s="16">
        <v>122</v>
      </c>
      <c r="E124" s="16" t="s">
        <v>3209</v>
      </c>
      <c r="F124" s="17" t="s">
        <v>24</v>
      </c>
      <c r="G124" s="18">
        <v>1</v>
      </c>
      <c r="H124" s="19">
        <v>1</v>
      </c>
      <c r="I124" s="19"/>
      <c r="J124" s="19">
        <v>500</v>
      </c>
      <c r="K124" s="19"/>
      <c r="L124" s="20">
        <v>1</v>
      </c>
      <c r="M124" s="21">
        <v>1</v>
      </c>
      <c r="N124" s="22">
        <v>1</v>
      </c>
      <c r="O124" s="22">
        <v>0</v>
      </c>
      <c r="P124" s="20">
        <v>0</v>
      </c>
      <c r="Q124" s="23">
        <v>500</v>
      </c>
      <c r="R124" s="20">
        <v>500</v>
      </c>
      <c r="S124" s="20">
        <v>500</v>
      </c>
      <c r="T124" s="18">
        <v>500</v>
      </c>
      <c r="U124" s="24" t="s">
        <v>3101</v>
      </c>
      <c r="V124" s="25" t="s">
        <v>3103</v>
      </c>
    </row>
    <row r="125" spans="1:22" ht="26.25">
      <c r="A125" s="66">
        <v>1929</v>
      </c>
      <c r="B125" s="15" t="s">
        <v>3103</v>
      </c>
      <c r="C125" s="16">
        <v>123</v>
      </c>
      <c r="D125" s="16">
        <v>123</v>
      </c>
      <c r="E125" s="16" t="s">
        <v>3210</v>
      </c>
      <c r="F125" s="17" t="s">
        <v>24</v>
      </c>
      <c r="G125" s="18">
        <v>1</v>
      </c>
      <c r="H125" s="19">
        <v>1</v>
      </c>
      <c r="I125" s="19"/>
      <c r="J125" s="19">
        <v>800</v>
      </c>
      <c r="K125" s="19"/>
      <c r="L125" s="20">
        <v>1</v>
      </c>
      <c r="M125" s="21">
        <v>1</v>
      </c>
      <c r="N125" s="22">
        <v>1</v>
      </c>
      <c r="O125" s="22">
        <v>0</v>
      </c>
      <c r="P125" s="20">
        <v>0</v>
      </c>
      <c r="Q125" s="23">
        <v>800</v>
      </c>
      <c r="R125" s="20">
        <v>800</v>
      </c>
      <c r="S125" s="20">
        <v>800</v>
      </c>
      <c r="T125" s="18">
        <v>800</v>
      </c>
      <c r="U125" s="24" t="s">
        <v>3101</v>
      </c>
      <c r="V125" s="25" t="s">
        <v>3103</v>
      </c>
    </row>
    <row r="126" spans="1:22" ht="26.25">
      <c r="A126" s="67">
        <v>1516</v>
      </c>
      <c r="B126" s="15" t="s">
        <v>3081</v>
      </c>
      <c r="C126" s="16">
        <v>124</v>
      </c>
      <c r="D126" s="16">
        <v>124</v>
      </c>
      <c r="E126" s="16" t="s">
        <v>3211</v>
      </c>
      <c r="F126" s="17" t="s">
        <v>24</v>
      </c>
      <c r="G126" s="18">
        <v>1</v>
      </c>
      <c r="H126" s="19">
        <v>2</v>
      </c>
      <c r="I126" s="19"/>
      <c r="J126" s="19">
        <v>1600</v>
      </c>
      <c r="K126" s="19"/>
      <c r="L126" s="20">
        <v>2</v>
      </c>
      <c r="M126" s="21">
        <v>2</v>
      </c>
      <c r="N126" s="22">
        <v>2</v>
      </c>
      <c r="O126" s="22">
        <v>0</v>
      </c>
      <c r="P126" s="20">
        <v>0</v>
      </c>
      <c r="Q126" s="23">
        <v>1600</v>
      </c>
      <c r="R126" s="20">
        <v>1600</v>
      </c>
      <c r="S126" s="20">
        <v>1600</v>
      </c>
      <c r="T126" s="18">
        <v>3200</v>
      </c>
      <c r="U126" s="24" t="s">
        <v>3101</v>
      </c>
      <c r="V126" s="25" t="s">
        <v>3081</v>
      </c>
    </row>
    <row r="127" spans="1:22" ht="26.25">
      <c r="A127" s="67">
        <v>1513</v>
      </c>
      <c r="B127" s="15" t="s">
        <v>3081</v>
      </c>
      <c r="C127" s="16">
        <v>125</v>
      </c>
      <c r="D127" s="16">
        <v>125</v>
      </c>
      <c r="E127" s="16" t="s">
        <v>2466</v>
      </c>
      <c r="F127" s="17" t="s">
        <v>24</v>
      </c>
      <c r="G127" s="18">
        <v>1</v>
      </c>
      <c r="H127" s="19">
        <v>1</v>
      </c>
      <c r="I127" s="19"/>
      <c r="J127" s="19"/>
      <c r="K127" s="19"/>
      <c r="L127" s="20">
        <v>1</v>
      </c>
      <c r="M127" s="21">
        <v>1</v>
      </c>
      <c r="N127" s="22">
        <v>1</v>
      </c>
      <c r="O127" s="22">
        <v>0</v>
      </c>
      <c r="P127" s="20">
        <v>0</v>
      </c>
      <c r="Q127" s="23">
        <v>0</v>
      </c>
      <c r="R127" s="20">
        <v>0</v>
      </c>
      <c r="S127" s="20">
        <v>0</v>
      </c>
      <c r="T127" s="18">
        <v>0</v>
      </c>
      <c r="U127" s="24"/>
      <c r="V127" s="25" t="s">
        <v>3081</v>
      </c>
    </row>
    <row r="128" spans="1:22" ht="26.25">
      <c r="A128" s="66">
        <v>1916</v>
      </c>
      <c r="B128" s="15" t="s">
        <v>3103</v>
      </c>
      <c r="C128" s="16">
        <v>126</v>
      </c>
      <c r="D128" s="16">
        <v>126</v>
      </c>
      <c r="E128" s="16" t="s">
        <v>3212</v>
      </c>
      <c r="F128" s="17" t="s">
        <v>24</v>
      </c>
      <c r="G128" s="18">
        <v>1</v>
      </c>
      <c r="H128" s="19">
        <v>1</v>
      </c>
      <c r="I128" s="19"/>
      <c r="J128" s="19">
        <v>1700</v>
      </c>
      <c r="K128" s="19"/>
      <c r="L128" s="20">
        <v>1</v>
      </c>
      <c r="M128" s="21">
        <v>1</v>
      </c>
      <c r="N128" s="22">
        <v>1</v>
      </c>
      <c r="O128" s="22">
        <v>0</v>
      </c>
      <c r="P128" s="20">
        <v>0</v>
      </c>
      <c r="Q128" s="23">
        <v>1700</v>
      </c>
      <c r="R128" s="20">
        <v>1700</v>
      </c>
      <c r="S128" s="20">
        <v>1700</v>
      </c>
      <c r="T128" s="18">
        <v>1700</v>
      </c>
      <c r="U128" s="24" t="s">
        <v>3101</v>
      </c>
      <c r="V128" s="25" t="s">
        <v>3103</v>
      </c>
    </row>
    <row r="129" spans="1:22" ht="26.25">
      <c r="A129" s="66">
        <v>1877</v>
      </c>
      <c r="B129" s="15" t="s">
        <v>3103</v>
      </c>
      <c r="C129" s="16">
        <v>127</v>
      </c>
      <c r="D129" s="16">
        <v>127</v>
      </c>
      <c r="E129" s="16" t="s">
        <v>3213</v>
      </c>
      <c r="F129" s="17" t="s">
        <v>24</v>
      </c>
      <c r="G129" s="18">
        <v>1</v>
      </c>
      <c r="H129" s="19">
        <v>2</v>
      </c>
      <c r="I129" s="19"/>
      <c r="J129" s="19">
        <v>500</v>
      </c>
      <c r="K129" s="19"/>
      <c r="L129" s="20">
        <v>2</v>
      </c>
      <c r="M129" s="21">
        <v>2</v>
      </c>
      <c r="N129" s="22">
        <v>2</v>
      </c>
      <c r="O129" s="22">
        <v>0</v>
      </c>
      <c r="P129" s="20">
        <v>0</v>
      </c>
      <c r="Q129" s="23">
        <v>500</v>
      </c>
      <c r="R129" s="20">
        <v>500</v>
      </c>
      <c r="S129" s="20">
        <v>500</v>
      </c>
      <c r="T129" s="18">
        <v>1000</v>
      </c>
      <c r="U129" s="24"/>
      <c r="V129" s="25" t="s">
        <v>3103</v>
      </c>
    </row>
    <row r="130" spans="1:22" ht="26.25">
      <c r="A130" s="66">
        <v>1884</v>
      </c>
      <c r="B130" s="15" t="s">
        <v>3103</v>
      </c>
      <c r="C130" s="16">
        <v>128</v>
      </c>
      <c r="D130" s="16">
        <v>128</v>
      </c>
      <c r="E130" s="16" t="s">
        <v>3214</v>
      </c>
      <c r="F130" s="17" t="s">
        <v>24</v>
      </c>
      <c r="G130" s="18">
        <v>1</v>
      </c>
      <c r="H130" s="19">
        <v>2</v>
      </c>
      <c r="I130" s="19"/>
      <c r="J130" s="19"/>
      <c r="K130" s="19"/>
      <c r="L130" s="20">
        <v>2</v>
      </c>
      <c r="M130" s="21">
        <v>2</v>
      </c>
      <c r="N130" s="22">
        <v>2</v>
      </c>
      <c r="O130" s="22">
        <v>0</v>
      </c>
      <c r="P130" s="20">
        <v>0</v>
      </c>
      <c r="Q130" s="23">
        <v>0</v>
      </c>
      <c r="R130" s="20">
        <v>0</v>
      </c>
      <c r="S130" s="20">
        <v>0</v>
      </c>
      <c r="T130" s="18">
        <v>0</v>
      </c>
      <c r="U130" s="24"/>
      <c r="V130" s="25" t="s">
        <v>3103</v>
      </c>
    </row>
    <row r="131" spans="1:22" ht="26.25">
      <c r="A131" s="66">
        <v>1893</v>
      </c>
      <c r="B131" s="15" t="s">
        <v>3103</v>
      </c>
      <c r="C131" s="16">
        <v>129</v>
      </c>
      <c r="D131" s="16">
        <v>129</v>
      </c>
      <c r="E131" s="16" t="s">
        <v>3215</v>
      </c>
      <c r="F131" s="17" t="s">
        <v>24</v>
      </c>
      <c r="G131" s="18">
        <v>1</v>
      </c>
      <c r="H131" s="19">
        <v>6</v>
      </c>
      <c r="I131" s="19"/>
      <c r="J131" s="19"/>
      <c r="K131" s="19"/>
      <c r="L131" s="20">
        <v>6</v>
      </c>
      <c r="M131" s="21">
        <v>6</v>
      </c>
      <c r="N131" s="22">
        <v>6</v>
      </c>
      <c r="O131" s="22">
        <v>0</v>
      </c>
      <c r="P131" s="20">
        <v>0</v>
      </c>
      <c r="Q131" s="23">
        <v>0</v>
      </c>
      <c r="R131" s="20">
        <v>0</v>
      </c>
      <c r="S131" s="20">
        <v>0</v>
      </c>
      <c r="T131" s="18">
        <v>0</v>
      </c>
      <c r="U131" s="24"/>
      <c r="V131" s="25" t="s">
        <v>3103</v>
      </c>
    </row>
    <row r="132" spans="1:22" ht="26.25">
      <c r="A132" s="66">
        <v>1889</v>
      </c>
      <c r="B132" s="15" t="s">
        <v>3103</v>
      </c>
      <c r="C132" s="16">
        <v>130</v>
      </c>
      <c r="D132" s="16">
        <v>130</v>
      </c>
      <c r="E132" s="16" t="s">
        <v>3216</v>
      </c>
      <c r="F132" s="17" t="s">
        <v>24</v>
      </c>
      <c r="G132" s="18">
        <v>1</v>
      </c>
      <c r="H132" s="19">
        <v>2</v>
      </c>
      <c r="I132" s="19"/>
      <c r="J132" s="19"/>
      <c r="K132" s="19"/>
      <c r="L132" s="20">
        <v>2</v>
      </c>
      <c r="M132" s="21">
        <v>2</v>
      </c>
      <c r="N132" s="22">
        <v>2</v>
      </c>
      <c r="O132" s="22">
        <v>0</v>
      </c>
      <c r="P132" s="20">
        <v>0</v>
      </c>
      <c r="Q132" s="23">
        <v>0</v>
      </c>
      <c r="R132" s="20">
        <v>0</v>
      </c>
      <c r="S132" s="20">
        <v>0</v>
      </c>
      <c r="T132" s="18">
        <v>0</v>
      </c>
      <c r="U132" s="24"/>
      <c r="V132" s="25" t="s">
        <v>3103</v>
      </c>
    </row>
    <row r="133" spans="1:22" ht="26.25">
      <c r="A133" s="66">
        <v>1878</v>
      </c>
      <c r="B133" s="15" t="s">
        <v>3103</v>
      </c>
      <c r="C133" s="16">
        <v>131</v>
      </c>
      <c r="D133" s="16">
        <v>131</v>
      </c>
      <c r="E133" s="16" t="s">
        <v>3217</v>
      </c>
      <c r="F133" s="17" t="s">
        <v>24</v>
      </c>
      <c r="G133" s="18">
        <v>1</v>
      </c>
      <c r="H133" s="19">
        <v>1</v>
      </c>
      <c r="I133" s="19"/>
      <c r="J133" s="19">
        <v>350</v>
      </c>
      <c r="K133" s="19"/>
      <c r="L133" s="20">
        <v>1</v>
      </c>
      <c r="M133" s="21">
        <v>1</v>
      </c>
      <c r="N133" s="22">
        <v>1</v>
      </c>
      <c r="O133" s="22">
        <v>0</v>
      </c>
      <c r="P133" s="20">
        <v>0</v>
      </c>
      <c r="Q133" s="23">
        <v>350</v>
      </c>
      <c r="R133" s="20">
        <v>350</v>
      </c>
      <c r="S133" s="20">
        <v>350</v>
      </c>
      <c r="T133" s="18">
        <v>350</v>
      </c>
      <c r="U133" s="24" t="s">
        <v>3101</v>
      </c>
      <c r="V133" s="25" t="s">
        <v>3103</v>
      </c>
    </row>
    <row r="134" spans="1:22" ht="26.25">
      <c r="A134" s="67">
        <v>1885</v>
      </c>
      <c r="B134" s="15" t="s">
        <v>3103</v>
      </c>
      <c r="C134" s="16">
        <v>132</v>
      </c>
      <c r="D134" s="16">
        <v>132</v>
      </c>
      <c r="E134" s="68" t="s">
        <v>3214</v>
      </c>
      <c r="F134" s="17" t="s">
        <v>24</v>
      </c>
      <c r="G134" s="18">
        <v>1</v>
      </c>
      <c r="H134" s="19"/>
      <c r="I134" s="19"/>
      <c r="J134" s="19"/>
      <c r="K134" s="19"/>
      <c r="L134" s="20">
        <v>0</v>
      </c>
      <c r="M134" s="21">
        <v>0</v>
      </c>
      <c r="N134" s="22">
        <v>0</v>
      </c>
      <c r="O134" s="22">
        <v>0</v>
      </c>
      <c r="P134" s="20">
        <v>0</v>
      </c>
      <c r="Q134" s="23">
        <v>0</v>
      </c>
      <c r="R134" s="20">
        <v>0</v>
      </c>
      <c r="S134" s="20">
        <v>0</v>
      </c>
      <c r="T134" s="18">
        <v>0</v>
      </c>
      <c r="U134" s="24" t="s">
        <v>3218</v>
      </c>
      <c r="V134" s="25" t="s">
        <v>3103</v>
      </c>
    </row>
    <row r="135" spans="1:22" ht="26.25">
      <c r="A135" s="66">
        <v>1887</v>
      </c>
      <c r="B135" s="15" t="s">
        <v>3103</v>
      </c>
      <c r="C135" s="16">
        <v>133</v>
      </c>
      <c r="D135" s="16">
        <v>133</v>
      </c>
      <c r="E135" s="16" t="s">
        <v>3219</v>
      </c>
      <c r="F135" s="17" t="s">
        <v>24</v>
      </c>
      <c r="G135" s="18">
        <v>1</v>
      </c>
      <c r="H135" s="19">
        <v>1</v>
      </c>
      <c r="I135" s="19"/>
      <c r="J135" s="19"/>
      <c r="K135" s="19"/>
      <c r="L135" s="20">
        <v>1</v>
      </c>
      <c r="M135" s="21">
        <v>1</v>
      </c>
      <c r="N135" s="22">
        <v>1</v>
      </c>
      <c r="O135" s="22">
        <v>0</v>
      </c>
      <c r="P135" s="20">
        <v>0</v>
      </c>
      <c r="Q135" s="23">
        <v>0</v>
      </c>
      <c r="R135" s="20">
        <v>0</v>
      </c>
      <c r="S135" s="20">
        <v>0</v>
      </c>
      <c r="T135" s="18">
        <v>0</v>
      </c>
      <c r="U135" s="24"/>
      <c r="V135" s="25" t="s">
        <v>3103</v>
      </c>
    </row>
    <row r="136" spans="1:22" ht="26.25">
      <c r="A136" s="66">
        <v>1875</v>
      </c>
      <c r="B136" s="15" t="s">
        <v>3103</v>
      </c>
      <c r="C136" s="16">
        <v>134</v>
      </c>
      <c r="D136" s="16">
        <v>134</v>
      </c>
      <c r="E136" s="16" t="s">
        <v>3220</v>
      </c>
      <c r="F136" s="17" t="s">
        <v>24</v>
      </c>
      <c r="G136" s="18">
        <v>1</v>
      </c>
      <c r="H136" s="19">
        <v>7</v>
      </c>
      <c r="I136" s="19"/>
      <c r="J136" s="19"/>
      <c r="K136" s="19"/>
      <c r="L136" s="20">
        <v>7</v>
      </c>
      <c r="M136" s="21">
        <v>7</v>
      </c>
      <c r="N136" s="22">
        <v>7</v>
      </c>
      <c r="O136" s="22">
        <v>0</v>
      </c>
      <c r="P136" s="20">
        <v>0</v>
      </c>
      <c r="Q136" s="23">
        <v>0</v>
      </c>
      <c r="R136" s="20">
        <v>0</v>
      </c>
      <c r="S136" s="20">
        <v>0</v>
      </c>
      <c r="T136" s="18">
        <v>0</v>
      </c>
      <c r="U136" s="24"/>
      <c r="V136" s="25" t="s">
        <v>3103</v>
      </c>
    </row>
    <row r="137" spans="1:22" ht="26.25">
      <c r="A137" s="66">
        <v>1872</v>
      </c>
      <c r="B137" s="15" t="s">
        <v>3103</v>
      </c>
      <c r="C137" s="16">
        <v>135</v>
      </c>
      <c r="D137" s="16">
        <v>135</v>
      </c>
      <c r="E137" s="16" t="s">
        <v>3201</v>
      </c>
      <c r="F137" s="17" t="s">
        <v>24</v>
      </c>
      <c r="G137" s="18">
        <v>1</v>
      </c>
      <c r="H137" s="19"/>
      <c r="I137" s="19"/>
      <c r="J137" s="19"/>
      <c r="K137" s="19"/>
      <c r="L137" s="20">
        <v>0</v>
      </c>
      <c r="M137" s="21">
        <v>0</v>
      </c>
      <c r="N137" s="22">
        <v>0</v>
      </c>
      <c r="O137" s="22">
        <v>0</v>
      </c>
      <c r="P137" s="20">
        <v>0</v>
      </c>
      <c r="Q137" s="23">
        <v>0</v>
      </c>
      <c r="R137" s="20">
        <v>0</v>
      </c>
      <c r="S137" s="20">
        <v>0</v>
      </c>
      <c r="T137" s="18">
        <v>0</v>
      </c>
      <c r="U137" s="24" t="s">
        <v>3221</v>
      </c>
      <c r="V137" s="25" t="s">
        <v>3103</v>
      </c>
    </row>
    <row r="138" spans="1:22" ht="26.25">
      <c r="A138" s="67">
        <v>1864</v>
      </c>
      <c r="B138" s="15" t="s">
        <v>3103</v>
      </c>
      <c r="C138" s="16">
        <v>136</v>
      </c>
      <c r="D138" s="16">
        <v>136</v>
      </c>
      <c r="E138" s="16" t="s">
        <v>3207</v>
      </c>
      <c r="F138" s="17" t="s">
        <v>24</v>
      </c>
      <c r="G138" s="18">
        <v>1</v>
      </c>
      <c r="H138" s="19">
        <v>1</v>
      </c>
      <c r="I138" s="19"/>
      <c r="J138" s="19"/>
      <c r="K138" s="19"/>
      <c r="L138" s="20">
        <v>1</v>
      </c>
      <c r="M138" s="21">
        <v>1</v>
      </c>
      <c r="N138" s="22">
        <v>1</v>
      </c>
      <c r="O138" s="22">
        <v>0</v>
      </c>
      <c r="P138" s="20">
        <v>0</v>
      </c>
      <c r="Q138" s="23">
        <v>0</v>
      </c>
      <c r="R138" s="20">
        <v>0</v>
      </c>
      <c r="S138" s="20">
        <v>0</v>
      </c>
      <c r="T138" s="18">
        <v>0</v>
      </c>
      <c r="U138" s="24"/>
      <c r="V138" s="25" t="s">
        <v>3103</v>
      </c>
    </row>
    <row r="139" spans="1:22" ht="26.25">
      <c r="A139" s="66">
        <v>1874</v>
      </c>
      <c r="B139" s="15" t="s">
        <v>3103</v>
      </c>
      <c r="C139" s="16">
        <v>137</v>
      </c>
      <c r="D139" s="16">
        <v>137</v>
      </c>
      <c r="E139" s="16" t="s">
        <v>3222</v>
      </c>
      <c r="F139" s="17" t="s">
        <v>24</v>
      </c>
      <c r="G139" s="18">
        <v>1</v>
      </c>
      <c r="H139" s="19">
        <v>1</v>
      </c>
      <c r="I139" s="19"/>
      <c r="J139" s="19"/>
      <c r="K139" s="19"/>
      <c r="L139" s="20">
        <v>1</v>
      </c>
      <c r="M139" s="21">
        <v>1</v>
      </c>
      <c r="N139" s="22">
        <v>1</v>
      </c>
      <c r="O139" s="22">
        <v>0</v>
      </c>
      <c r="P139" s="20">
        <v>0</v>
      </c>
      <c r="Q139" s="23">
        <v>0</v>
      </c>
      <c r="R139" s="20">
        <v>0</v>
      </c>
      <c r="S139" s="20">
        <v>0</v>
      </c>
      <c r="T139" s="18">
        <v>0</v>
      </c>
      <c r="U139" s="24"/>
      <c r="V139" s="25" t="s">
        <v>3103</v>
      </c>
    </row>
    <row r="140" spans="1:22" ht="26.25">
      <c r="A140" s="67">
        <v>1894</v>
      </c>
      <c r="B140" s="15" t="s">
        <v>3103</v>
      </c>
      <c r="C140" s="16">
        <v>138</v>
      </c>
      <c r="D140" s="16">
        <v>138</v>
      </c>
      <c r="E140" s="16" t="s">
        <v>3215</v>
      </c>
      <c r="F140" s="17" t="s">
        <v>24</v>
      </c>
      <c r="G140" s="18">
        <v>1</v>
      </c>
      <c r="H140" s="19"/>
      <c r="I140" s="19"/>
      <c r="J140" s="19"/>
      <c r="K140" s="19"/>
      <c r="L140" s="20">
        <v>0</v>
      </c>
      <c r="M140" s="21">
        <v>0</v>
      </c>
      <c r="N140" s="22">
        <v>0</v>
      </c>
      <c r="O140" s="22">
        <v>0</v>
      </c>
      <c r="P140" s="20">
        <v>0</v>
      </c>
      <c r="Q140" s="23">
        <v>0</v>
      </c>
      <c r="R140" s="20">
        <v>0</v>
      </c>
      <c r="S140" s="20">
        <v>0</v>
      </c>
      <c r="T140" s="18">
        <v>0</v>
      </c>
      <c r="U140" s="24" t="s">
        <v>3223</v>
      </c>
      <c r="V140" s="25" t="s">
        <v>3103</v>
      </c>
    </row>
    <row r="141" spans="1:22" ht="26.25">
      <c r="A141" s="66">
        <v>1391</v>
      </c>
      <c r="B141" s="15" t="s">
        <v>3146</v>
      </c>
      <c r="C141" s="16">
        <v>139</v>
      </c>
      <c r="D141" s="16">
        <v>139</v>
      </c>
      <c r="E141" s="16" t="s">
        <v>3224</v>
      </c>
      <c r="F141" s="17" t="s">
        <v>24</v>
      </c>
      <c r="G141" s="18">
        <v>1</v>
      </c>
      <c r="H141" s="19">
        <v>11</v>
      </c>
      <c r="I141" s="19"/>
      <c r="J141" s="19"/>
      <c r="K141" s="19"/>
      <c r="L141" s="20">
        <v>11</v>
      </c>
      <c r="M141" s="21">
        <v>11</v>
      </c>
      <c r="N141" s="22">
        <v>11</v>
      </c>
      <c r="O141" s="22">
        <v>0</v>
      </c>
      <c r="P141" s="20">
        <v>0</v>
      </c>
      <c r="Q141" s="23">
        <v>0</v>
      </c>
      <c r="R141" s="20">
        <v>0</v>
      </c>
      <c r="S141" s="20">
        <v>0</v>
      </c>
      <c r="T141" s="18">
        <v>0</v>
      </c>
      <c r="U141" s="24"/>
      <c r="V141" s="25" t="s">
        <v>3146</v>
      </c>
    </row>
    <row r="142" spans="1:22" ht="26.25">
      <c r="A142" s="66">
        <v>1391</v>
      </c>
      <c r="B142" s="15" t="s">
        <v>3146</v>
      </c>
      <c r="C142" s="16">
        <v>140</v>
      </c>
      <c r="D142" s="16">
        <v>140</v>
      </c>
      <c r="E142" s="16" t="s">
        <v>3225</v>
      </c>
      <c r="F142" s="17" t="s">
        <v>24</v>
      </c>
      <c r="G142" s="18">
        <v>1</v>
      </c>
      <c r="H142" s="19">
        <v>2</v>
      </c>
      <c r="I142" s="19"/>
      <c r="J142" s="19"/>
      <c r="K142" s="19"/>
      <c r="L142" s="20">
        <v>2</v>
      </c>
      <c r="M142" s="21">
        <v>2</v>
      </c>
      <c r="N142" s="22">
        <v>2</v>
      </c>
      <c r="O142" s="22">
        <v>0</v>
      </c>
      <c r="P142" s="20">
        <v>0</v>
      </c>
      <c r="Q142" s="23">
        <v>0</v>
      </c>
      <c r="R142" s="20">
        <v>0</v>
      </c>
      <c r="S142" s="20">
        <v>0</v>
      </c>
      <c r="T142" s="18">
        <v>0</v>
      </c>
      <c r="U142" s="24"/>
      <c r="V142" s="25" t="s">
        <v>3146</v>
      </c>
    </row>
    <row r="143" spans="1:22" ht="26.25">
      <c r="A143" s="66">
        <v>1391</v>
      </c>
      <c r="B143" s="15" t="s">
        <v>3146</v>
      </c>
      <c r="C143" s="16">
        <v>141</v>
      </c>
      <c r="D143" s="16">
        <v>141</v>
      </c>
      <c r="E143" s="16" t="s">
        <v>3226</v>
      </c>
      <c r="F143" s="17" t="s">
        <v>24</v>
      </c>
      <c r="G143" s="18">
        <v>1</v>
      </c>
      <c r="H143" s="19">
        <v>12</v>
      </c>
      <c r="I143" s="19"/>
      <c r="J143" s="19"/>
      <c r="K143" s="19"/>
      <c r="L143" s="20">
        <v>12</v>
      </c>
      <c r="M143" s="21">
        <v>12</v>
      </c>
      <c r="N143" s="22">
        <v>12</v>
      </c>
      <c r="O143" s="22">
        <v>0</v>
      </c>
      <c r="P143" s="20">
        <v>0</v>
      </c>
      <c r="Q143" s="23">
        <v>0</v>
      </c>
      <c r="R143" s="20">
        <v>0</v>
      </c>
      <c r="S143" s="20">
        <v>0</v>
      </c>
      <c r="T143" s="18">
        <v>0</v>
      </c>
      <c r="U143" s="24"/>
      <c r="V143" s="25" t="s">
        <v>3146</v>
      </c>
    </row>
    <row r="144" spans="1:22" ht="26.25">
      <c r="A144" s="66">
        <v>1392</v>
      </c>
      <c r="B144" s="15" t="s">
        <v>3146</v>
      </c>
      <c r="C144" s="16">
        <v>142</v>
      </c>
      <c r="D144" s="16">
        <v>142</v>
      </c>
      <c r="E144" s="16" t="s">
        <v>3227</v>
      </c>
      <c r="F144" s="17" t="s">
        <v>24</v>
      </c>
      <c r="G144" s="18">
        <v>1</v>
      </c>
      <c r="H144" s="19">
        <v>3</v>
      </c>
      <c r="I144" s="19"/>
      <c r="J144" s="19"/>
      <c r="K144" s="19"/>
      <c r="L144" s="20">
        <v>3</v>
      </c>
      <c r="M144" s="21">
        <v>3</v>
      </c>
      <c r="N144" s="22">
        <v>3</v>
      </c>
      <c r="O144" s="22">
        <v>0</v>
      </c>
      <c r="P144" s="20">
        <v>0</v>
      </c>
      <c r="Q144" s="23">
        <v>0</v>
      </c>
      <c r="R144" s="20">
        <v>0</v>
      </c>
      <c r="S144" s="20">
        <v>0</v>
      </c>
      <c r="T144" s="18">
        <v>0</v>
      </c>
      <c r="U144" s="24"/>
      <c r="V144" s="25" t="s">
        <v>3146</v>
      </c>
    </row>
    <row r="145" spans="1:22" ht="26.25">
      <c r="A145" s="67">
        <v>1381</v>
      </c>
      <c r="B145" s="15" t="s">
        <v>3146</v>
      </c>
      <c r="C145" s="16">
        <v>143</v>
      </c>
      <c r="D145" s="16">
        <v>143</v>
      </c>
      <c r="E145" s="16" t="s">
        <v>3228</v>
      </c>
      <c r="F145" s="17" t="s">
        <v>24</v>
      </c>
      <c r="G145" s="18">
        <v>1</v>
      </c>
      <c r="H145" s="19">
        <v>1</v>
      </c>
      <c r="I145" s="19"/>
      <c r="J145" s="19"/>
      <c r="K145" s="19"/>
      <c r="L145" s="20">
        <v>1</v>
      </c>
      <c r="M145" s="21">
        <v>1</v>
      </c>
      <c r="N145" s="22">
        <v>1</v>
      </c>
      <c r="O145" s="22">
        <v>0</v>
      </c>
      <c r="P145" s="20">
        <v>0</v>
      </c>
      <c r="Q145" s="23">
        <v>0</v>
      </c>
      <c r="R145" s="20">
        <v>0</v>
      </c>
      <c r="S145" s="20">
        <v>0</v>
      </c>
      <c r="T145" s="18">
        <v>0</v>
      </c>
      <c r="U145" s="24"/>
      <c r="V145" s="25" t="s">
        <v>3146</v>
      </c>
    </row>
    <row r="146" spans="1:22" ht="26.25">
      <c r="A146" s="66">
        <v>1413</v>
      </c>
      <c r="B146" s="15" t="s">
        <v>3146</v>
      </c>
      <c r="C146" s="16">
        <v>144</v>
      </c>
      <c r="D146" s="16">
        <v>144</v>
      </c>
      <c r="E146" s="16" t="s">
        <v>3229</v>
      </c>
      <c r="F146" s="17" t="s">
        <v>24</v>
      </c>
      <c r="G146" s="18">
        <v>1</v>
      </c>
      <c r="H146" s="19">
        <v>1</v>
      </c>
      <c r="I146" s="19"/>
      <c r="J146" s="19"/>
      <c r="K146" s="19"/>
      <c r="L146" s="20">
        <v>1</v>
      </c>
      <c r="M146" s="21">
        <v>1</v>
      </c>
      <c r="N146" s="22">
        <v>1</v>
      </c>
      <c r="O146" s="22">
        <v>0</v>
      </c>
      <c r="P146" s="20">
        <v>0</v>
      </c>
      <c r="Q146" s="23">
        <v>0</v>
      </c>
      <c r="R146" s="20">
        <v>0</v>
      </c>
      <c r="S146" s="20">
        <v>0</v>
      </c>
      <c r="T146" s="18">
        <v>0</v>
      </c>
      <c r="U146" s="24"/>
      <c r="V146" s="25" t="s">
        <v>3146</v>
      </c>
    </row>
    <row r="147" spans="1:22" ht="26.25">
      <c r="A147" s="67">
        <v>1411</v>
      </c>
      <c r="B147" s="15" t="s">
        <v>3146</v>
      </c>
      <c r="C147" s="16">
        <v>145</v>
      </c>
      <c r="D147" s="16">
        <v>145</v>
      </c>
      <c r="E147" s="16" t="s">
        <v>3230</v>
      </c>
      <c r="F147" s="17" t="s">
        <v>24</v>
      </c>
      <c r="G147" s="18">
        <v>1</v>
      </c>
      <c r="H147" s="19">
        <v>1</v>
      </c>
      <c r="I147" s="19"/>
      <c r="J147" s="19"/>
      <c r="K147" s="19"/>
      <c r="L147" s="20">
        <v>1</v>
      </c>
      <c r="M147" s="21">
        <v>1</v>
      </c>
      <c r="N147" s="22">
        <v>1</v>
      </c>
      <c r="O147" s="22">
        <v>0</v>
      </c>
      <c r="P147" s="20">
        <v>0</v>
      </c>
      <c r="Q147" s="23">
        <v>0</v>
      </c>
      <c r="R147" s="20">
        <v>0</v>
      </c>
      <c r="S147" s="20">
        <v>0</v>
      </c>
      <c r="T147" s="18">
        <v>0</v>
      </c>
      <c r="U147" s="24"/>
      <c r="V147" s="25" t="s">
        <v>3146</v>
      </c>
    </row>
    <row r="148" spans="1:22" ht="26.25">
      <c r="A148" s="67">
        <v>1417</v>
      </c>
      <c r="B148" s="15" t="s">
        <v>3146</v>
      </c>
      <c r="C148" s="16">
        <v>146</v>
      </c>
      <c r="D148" s="16">
        <v>146</v>
      </c>
      <c r="E148" s="16" t="s">
        <v>2408</v>
      </c>
      <c r="F148" s="17" t="s">
        <v>24</v>
      </c>
      <c r="G148" s="18">
        <v>1</v>
      </c>
      <c r="H148" s="19">
        <v>1</v>
      </c>
      <c r="I148" s="19"/>
      <c r="J148" s="19"/>
      <c r="K148" s="19"/>
      <c r="L148" s="20">
        <v>1</v>
      </c>
      <c r="M148" s="21">
        <v>1</v>
      </c>
      <c r="N148" s="22">
        <v>1</v>
      </c>
      <c r="O148" s="22">
        <v>0</v>
      </c>
      <c r="P148" s="20">
        <v>0</v>
      </c>
      <c r="Q148" s="23">
        <v>0</v>
      </c>
      <c r="R148" s="20">
        <v>0</v>
      </c>
      <c r="S148" s="20">
        <v>0</v>
      </c>
      <c r="T148" s="18">
        <v>0</v>
      </c>
      <c r="U148" s="24"/>
      <c r="V148" s="25" t="s">
        <v>3146</v>
      </c>
    </row>
    <row r="149" spans="1:22" ht="26.25">
      <c r="A149" s="66">
        <v>1394</v>
      </c>
      <c r="B149" s="15" t="s">
        <v>3146</v>
      </c>
      <c r="C149" s="16">
        <v>147</v>
      </c>
      <c r="D149" s="16">
        <v>147</v>
      </c>
      <c r="E149" s="16" t="s">
        <v>3231</v>
      </c>
      <c r="F149" s="17" t="s">
        <v>24</v>
      </c>
      <c r="G149" s="18">
        <v>1</v>
      </c>
      <c r="H149" s="19">
        <v>2</v>
      </c>
      <c r="I149" s="19"/>
      <c r="J149" s="19"/>
      <c r="K149" s="19"/>
      <c r="L149" s="20">
        <v>2</v>
      </c>
      <c r="M149" s="21">
        <v>2</v>
      </c>
      <c r="N149" s="22">
        <v>2</v>
      </c>
      <c r="O149" s="22">
        <v>0</v>
      </c>
      <c r="P149" s="20">
        <v>0</v>
      </c>
      <c r="Q149" s="23">
        <v>0</v>
      </c>
      <c r="R149" s="20">
        <v>0</v>
      </c>
      <c r="S149" s="20">
        <v>0</v>
      </c>
      <c r="T149" s="18">
        <v>0</v>
      </c>
      <c r="U149" s="24"/>
      <c r="V149" s="25" t="s">
        <v>3146</v>
      </c>
    </row>
    <row r="150" spans="1:22" ht="26.25">
      <c r="A150" s="66">
        <v>1395</v>
      </c>
      <c r="B150" s="15" t="s">
        <v>3146</v>
      </c>
      <c r="C150" s="16">
        <v>148</v>
      </c>
      <c r="D150" s="16">
        <v>148</v>
      </c>
      <c r="E150" s="16" t="s">
        <v>3232</v>
      </c>
      <c r="F150" s="17" t="s">
        <v>24</v>
      </c>
      <c r="G150" s="18">
        <v>1</v>
      </c>
      <c r="H150" s="19">
        <v>1</v>
      </c>
      <c r="I150" s="19"/>
      <c r="J150" s="19"/>
      <c r="K150" s="19"/>
      <c r="L150" s="20">
        <v>1</v>
      </c>
      <c r="M150" s="21">
        <v>1</v>
      </c>
      <c r="N150" s="22">
        <v>1</v>
      </c>
      <c r="O150" s="22">
        <v>0</v>
      </c>
      <c r="P150" s="20">
        <v>0</v>
      </c>
      <c r="Q150" s="23">
        <v>0</v>
      </c>
      <c r="R150" s="20">
        <v>0</v>
      </c>
      <c r="S150" s="20">
        <v>0</v>
      </c>
      <c r="T150" s="18">
        <v>0</v>
      </c>
      <c r="U150" s="24"/>
      <c r="V150" s="25" t="s">
        <v>3146</v>
      </c>
    </row>
    <row r="151" spans="1:22" ht="26.25">
      <c r="A151" s="66">
        <v>1416</v>
      </c>
      <c r="B151" s="15" t="s">
        <v>3146</v>
      </c>
      <c r="C151" s="16">
        <v>149</v>
      </c>
      <c r="D151" s="16">
        <v>149</v>
      </c>
      <c r="E151" s="16" t="s">
        <v>3233</v>
      </c>
      <c r="F151" s="17" t="s">
        <v>24</v>
      </c>
      <c r="G151" s="18">
        <v>1</v>
      </c>
      <c r="H151" s="19">
        <v>4</v>
      </c>
      <c r="I151" s="19"/>
      <c r="J151" s="19"/>
      <c r="K151" s="19"/>
      <c r="L151" s="20">
        <v>4</v>
      </c>
      <c r="M151" s="21">
        <v>4</v>
      </c>
      <c r="N151" s="22">
        <v>4</v>
      </c>
      <c r="O151" s="22">
        <v>0</v>
      </c>
      <c r="P151" s="20">
        <v>0</v>
      </c>
      <c r="Q151" s="23">
        <v>0</v>
      </c>
      <c r="R151" s="20">
        <v>0</v>
      </c>
      <c r="S151" s="20">
        <v>0</v>
      </c>
      <c r="T151" s="18">
        <v>0</v>
      </c>
      <c r="U151" s="24"/>
      <c r="V151" s="25" t="s">
        <v>3146</v>
      </c>
    </row>
    <row r="152" spans="1:22" ht="26.25">
      <c r="A152" s="66">
        <v>1397</v>
      </c>
      <c r="B152" s="15" t="s">
        <v>3146</v>
      </c>
      <c r="C152" s="16">
        <v>150</v>
      </c>
      <c r="D152" s="16">
        <v>150</v>
      </c>
      <c r="E152" s="16" t="s">
        <v>3234</v>
      </c>
      <c r="F152" s="17" t="s">
        <v>24</v>
      </c>
      <c r="G152" s="18">
        <v>1</v>
      </c>
      <c r="H152" s="19">
        <v>5</v>
      </c>
      <c r="I152" s="19"/>
      <c r="J152" s="19"/>
      <c r="K152" s="19"/>
      <c r="L152" s="20">
        <v>5</v>
      </c>
      <c r="M152" s="21">
        <v>5</v>
      </c>
      <c r="N152" s="22">
        <v>5</v>
      </c>
      <c r="O152" s="22">
        <v>0</v>
      </c>
      <c r="P152" s="20">
        <v>0</v>
      </c>
      <c r="Q152" s="23">
        <v>0</v>
      </c>
      <c r="R152" s="20">
        <v>0</v>
      </c>
      <c r="S152" s="20">
        <v>0</v>
      </c>
      <c r="T152" s="18">
        <v>0</v>
      </c>
      <c r="U152" s="24"/>
      <c r="V152" s="25" t="s">
        <v>3146</v>
      </c>
    </row>
    <row r="153" spans="1:22" ht="26.25">
      <c r="A153" s="66">
        <v>1412</v>
      </c>
      <c r="B153" s="15" t="s">
        <v>3146</v>
      </c>
      <c r="C153" s="16">
        <v>151</v>
      </c>
      <c r="D153" s="16">
        <v>151</v>
      </c>
      <c r="E153" s="16" t="s">
        <v>3235</v>
      </c>
      <c r="F153" s="17" t="s">
        <v>24</v>
      </c>
      <c r="G153" s="18">
        <v>1</v>
      </c>
      <c r="H153" s="19">
        <v>4</v>
      </c>
      <c r="I153" s="19"/>
      <c r="J153" s="19"/>
      <c r="K153" s="19"/>
      <c r="L153" s="20">
        <v>4</v>
      </c>
      <c r="M153" s="21">
        <v>4</v>
      </c>
      <c r="N153" s="22">
        <v>4</v>
      </c>
      <c r="O153" s="22">
        <v>0</v>
      </c>
      <c r="P153" s="20">
        <v>0</v>
      </c>
      <c r="Q153" s="23">
        <v>0</v>
      </c>
      <c r="R153" s="20">
        <v>0</v>
      </c>
      <c r="S153" s="20">
        <v>0</v>
      </c>
      <c r="T153" s="18">
        <v>0</v>
      </c>
      <c r="U153" s="24"/>
      <c r="V153" s="25" t="s">
        <v>3146</v>
      </c>
    </row>
    <row r="154" spans="1:22" ht="26.25">
      <c r="A154" s="66">
        <v>726</v>
      </c>
      <c r="B154" s="15" t="s">
        <v>3236</v>
      </c>
      <c r="C154" s="16">
        <v>152</v>
      </c>
      <c r="D154" s="16">
        <v>152</v>
      </c>
      <c r="E154" s="16" t="s">
        <v>3237</v>
      </c>
      <c r="F154" s="17" t="s">
        <v>24</v>
      </c>
      <c r="G154" s="18">
        <v>1</v>
      </c>
      <c r="H154" s="19">
        <v>10</v>
      </c>
      <c r="I154" s="19"/>
      <c r="J154" s="19"/>
      <c r="K154" s="19"/>
      <c r="L154" s="20">
        <v>10</v>
      </c>
      <c r="M154" s="21">
        <v>10</v>
      </c>
      <c r="N154" s="22">
        <v>10</v>
      </c>
      <c r="O154" s="22">
        <v>0</v>
      </c>
      <c r="P154" s="20">
        <v>0</v>
      </c>
      <c r="Q154" s="23">
        <v>0</v>
      </c>
      <c r="R154" s="20">
        <v>0</v>
      </c>
      <c r="S154" s="20">
        <v>0</v>
      </c>
      <c r="T154" s="18">
        <v>0</v>
      </c>
      <c r="U154" s="24"/>
      <c r="V154" s="25" t="s">
        <v>3236</v>
      </c>
    </row>
    <row r="155" spans="1:22" ht="26.25">
      <c r="A155" s="66">
        <v>728</v>
      </c>
      <c r="B155" s="15" t="s">
        <v>3236</v>
      </c>
      <c r="C155" s="16">
        <v>153</v>
      </c>
      <c r="D155" s="16">
        <v>153</v>
      </c>
      <c r="E155" s="16" t="s">
        <v>3238</v>
      </c>
      <c r="F155" s="17" t="s">
        <v>24</v>
      </c>
      <c r="G155" s="18">
        <v>1</v>
      </c>
      <c r="H155" s="19">
        <v>2</v>
      </c>
      <c r="I155" s="19"/>
      <c r="J155" s="19"/>
      <c r="K155" s="19"/>
      <c r="L155" s="20">
        <v>2</v>
      </c>
      <c r="M155" s="21">
        <v>2</v>
      </c>
      <c r="N155" s="22">
        <v>2</v>
      </c>
      <c r="O155" s="22">
        <v>0</v>
      </c>
      <c r="P155" s="20">
        <v>0</v>
      </c>
      <c r="Q155" s="23">
        <v>0</v>
      </c>
      <c r="R155" s="20">
        <v>0</v>
      </c>
      <c r="S155" s="20">
        <v>0</v>
      </c>
      <c r="T155" s="18">
        <v>0</v>
      </c>
      <c r="U155" s="24"/>
      <c r="V155" s="25" t="s">
        <v>3236</v>
      </c>
    </row>
    <row r="156" spans="1:22" ht="26.25">
      <c r="A156" s="67">
        <v>727</v>
      </c>
      <c r="B156" s="15" t="s">
        <v>3236</v>
      </c>
      <c r="C156" s="16">
        <v>154</v>
      </c>
      <c r="D156" s="16">
        <v>154</v>
      </c>
      <c r="E156" s="16" t="s">
        <v>3239</v>
      </c>
      <c r="F156" s="17" t="s">
        <v>24</v>
      </c>
      <c r="G156" s="18">
        <v>1</v>
      </c>
      <c r="H156" s="19">
        <v>3</v>
      </c>
      <c r="I156" s="19"/>
      <c r="J156" s="19"/>
      <c r="K156" s="19"/>
      <c r="L156" s="20">
        <v>3</v>
      </c>
      <c r="M156" s="21">
        <v>3</v>
      </c>
      <c r="N156" s="22">
        <v>3</v>
      </c>
      <c r="O156" s="22">
        <v>0</v>
      </c>
      <c r="P156" s="20">
        <v>0</v>
      </c>
      <c r="Q156" s="23">
        <v>0</v>
      </c>
      <c r="R156" s="20">
        <v>0</v>
      </c>
      <c r="S156" s="20">
        <v>0</v>
      </c>
      <c r="T156" s="18">
        <v>0</v>
      </c>
      <c r="U156" s="24"/>
      <c r="V156" s="25" t="s">
        <v>3236</v>
      </c>
    </row>
    <row r="157" spans="1:22" ht="26.25">
      <c r="A157" s="67">
        <v>727</v>
      </c>
      <c r="B157" s="15" t="s">
        <v>3236</v>
      </c>
      <c r="C157" s="16">
        <v>155</v>
      </c>
      <c r="D157" s="16">
        <v>155</v>
      </c>
      <c r="E157" s="16" t="s">
        <v>3240</v>
      </c>
      <c r="F157" s="17" t="s">
        <v>24</v>
      </c>
      <c r="G157" s="18">
        <v>1</v>
      </c>
      <c r="H157" s="19">
        <v>1</v>
      </c>
      <c r="I157" s="19"/>
      <c r="J157" s="19"/>
      <c r="K157" s="19"/>
      <c r="L157" s="20">
        <v>1</v>
      </c>
      <c r="M157" s="21">
        <v>1</v>
      </c>
      <c r="N157" s="22">
        <v>1</v>
      </c>
      <c r="O157" s="22">
        <v>0</v>
      </c>
      <c r="P157" s="20">
        <v>0</v>
      </c>
      <c r="Q157" s="23">
        <v>0</v>
      </c>
      <c r="R157" s="20">
        <v>0</v>
      </c>
      <c r="S157" s="20">
        <v>0</v>
      </c>
      <c r="T157" s="18">
        <v>0</v>
      </c>
      <c r="U157" s="24"/>
      <c r="V157" s="25" t="s">
        <v>3236</v>
      </c>
    </row>
    <row r="158" spans="1:22" ht="26.25">
      <c r="A158" s="66">
        <v>729</v>
      </c>
      <c r="B158" s="15" t="s">
        <v>3236</v>
      </c>
      <c r="C158" s="16">
        <v>156</v>
      </c>
      <c r="D158" s="16">
        <v>156</v>
      </c>
      <c r="E158" s="16" t="s">
        <v>3241</v>
      </c>
      <c r="F158" s="17" t="s">
        <v>24</v>
      </c>
      <c r="G158" s="18">
        <v>1</v>
      </c>
      <c r="H158" s="19">
        <v>2</v>
      </c>
      <c r="I158" s="19"/>
      <c r="J158" s="19"/>
      <c r="K158" s="19"/>
      <c r="L158" s="20">
        <v>2</v>
      </c>
      <c r="M158" s="21">
        <v>2</v>
      </c>
      <c r="N158" s="22">
        <v>2</v>
      </c>
      <c r="O158" s="22">
        <v>0</v>
      </c>
      <c r="P158" s="20">
        <v>0</v>
      </c>
      <c r="Q158" s="23">
        <v>0</v>
      </c>
      <c r="R158" s="20">
        <v>0</v>
      </c>
      <c r="S158" s="20">
        <v>0</v>
      </c>
      <c r="T158" s="18">
        <v>0</v>
      </c>
      <c r="U158" s="24"/>
      <c r="V158" s="25" t="s">
        <v>3236</v>
      </c>
    </row>
    <row r="159" spans="1:22" ht="26.25">
      <c r="A159" s="67">
        <v>730</v>
      </c>
      <c r="B159" s="15" t="s">
        <v>3236</v>
      </c>
      <c r="C159" s="16">
        <v>157</v>
      </c>
      <c r="D159" s="16">
        <v>157</v>
      </c>
      <c r="E159" s="16" t="s">
        <v>3242</v>
      </c>
      <c r="F159" s="17" t="s">
        <v>24</v>
      </c>
      <c r="G159" s="18">
        <v>1</v>
      </c>
      <c r="H159" s="19">
        <v>2</v>
      </c>
      <c r="I159" s="19"/>
      <c r="J159" s="19"/>
      <c r="K159" s="19"/>
      <c r="L159" s="20">
        <v>2</v>
      </c>
      <c r="M159" s="21">
        <v>2</v>
      </c>
      <c r="N159" s="22">
        <v>2</v>
      </c>
      <c r="O159" s="22">
        <v>0</v>
      </c>
      <c r="P159" s="20">
        <v>0</v>
      </c>
      <c r="Q159" s="23">
        <v>0</v>
      </c>
      <c r="R159" s="20">
        <v>0</v>
      </c>
      <c r="S159" s="20">
        <v>0</v>
      </c>
      <c r="T159" s="18">
        <v>0</v>
      </c>
      <c r="U159" s="24"/>
      <c r="V159" s="25" t="s">
        <v>3236</v>
      </c>
    </row>
    <row r="160" spans="1:22" ht="26.25">
      <c r="A160" s="66">
        <v>725</v>
      </c>
      <c r="B160" s="15" t="s">
        <v>3236</v>
      </c>
      <c r="C160" s="16">
        <v>158</v>
      </c>
      <c r="D160" s="16">
        <v>158</v>
      </c>
      <c r="E160" s="16" t="s">
        <v>3243</v>
      </c>
      <c r="F160" s="17" t="s">
        <v>24</v>
      </c>
      <c r="G160" s="18">
        <v>1</v>
      </c>
      <c r="H160" s="19">
        <v>1</v>
      </c>
      <c r="I160" s="19"/>
      <c r="J160" s="19"/>
      <c r="K160" s="19"/>
      <c r="L160" s="20">
        <v>1</v>
      </c>
      <c r="M160" s="21">
        <v>1</v>
      </c>
      <c r="N160" s="22">
        <v>1</v>
      </c>
      <c r="O160" s="22">
        <v>0</v>
      </c>
      <c r="P160" s="20">
        <v>0</v>
      </c>
      <c r="Q160" s="23">
        <v>0</v>
      </c>
      <c r="R160" s="20">
        <v>0</v>
      </c>
      <c r="S160" s="20">
        <v>0</v>
      </c>
      <c r="T160" s="18">
        <v>0</v>
      </c>
      <c r="U160" s="24"/>
      <c r="V160" s="25" t="s">
        <v>3236</v>
      </c>
    </row>
    <row r="161" spans="1:22" ht="26.25">
      <c r="A161" s="66">
        <v>731</v>
      </c>
      <c r="B161" s="15" t="s">
        <v>3236</v>
      </c>
      <c r="C161" s="16">
        <v>159</v>
      </c>
      <c r="D161" s="16">
        <v>159</v>
      </c>
      <c r="E161" s="16" t="s">
        <v>3244</v>
      </c>
      <c r="F161" s="17" t="s">
        <v>24</v>
      </c>
      <c r="G161" s="18">
        <v>1</v>
      </c>
      <c r="H161" s="19">
        <v>1</v>
      </c>
      <c r="I161" s="19"/>
      <c r="J161" s="19"/>
      <c r="K161" s="19"/>
      <c r="L161" s="20">
        <v>1</v>
      </c>
      <c r="M161" s="21">
        <v>1</v>
      </c>
      <c r="N161" s="22">
        <v>1</v>
      </c>
      <c r="O161" s="22">
        <v>0</v>
      </c>
      <c r="P161" s="20">
        <v>0</v>
      </c>
      <c r="Q161" s="23">
        <v>0</v>
      </c>
      <c r="R161" s="20">
        <v>0</v>
      </c>
      <c r="S161" s="20">
        <v>0</v>
      </c>
      <c r="T161" s="18">
        <v>0</v>
      </c>
      <c r="U161" s="24"/>
      <c r="V161" s="25" t="s">
        <v>3236</v>
      </c>
    </row>
    <row r="162" spans="1:22" ht="26.25">
      <c r="A162" s="66">
        <v>734</v>
      </c>
      <c r="B162" s="15" t="s">
        <v>3236</v>
      </c>
      <c r="C162" s="16">
        <v>160</v>
      </c>
      <c r="D162" s="16">
        <v>160</v>
      </c>
      <c r="E162" s="16" t="s">
        <v>3245</v>
      </c>
      <c r="F162" s="17" t="s">
        <v>24</v>
      </c>
      <c r="G162" s="18">
        <v>1</v>
      </c>
      <c r="H162" s="19">
        <v>1</v>
      </c>
      <c r="I162" s="19"/>
      <c r="J162" s="19"/>
      <c r="K162" s="19"/>
      <c r="L162" s="20">
        <v>1</v>
      </c>
      <c r="M162" s="21">
        <v>1</v>
      </c>
      <c r="N162" s="22">
        <v>1</v>
      </c>
      <c r="O162" s="22">
        <v>0</v>
      </c>
      <c r="P162" s="20">
        <v>0</v>
      </c>
      <c r="Q162" s="23">
        <v>0</v>
      </c>
      <c r="R162" s="20">
        <v>0</v>
      </c>
      <c r="S162" s="20">
        <v>0</v>
      </c>
      <c r="T162" s="18">
        <v>0</v>
      </c>
      <c r="U162" s="24"/>
      <c r="V162" s="25" t="s">
        <v>3236</v>
      </c>
    </row>
    <row r="163" spans="1:22" ht="26.25">
      <c r="A163" s="66">
        <v>732</v>
      </c>
      <c r="B163" s="15" t="s">
        <v>3236</v>
      </c>
      <c r="C163" s="16">
        <v>161</v>
      </c>
      <c r="D163" s="16">
        <v>161</v>
      </c>
      <c r="E163" s="16" t="s">
        <v>3246</v>
      </c>
      <c r="F163" s="17" t="s">
        <v>24</v>
      </c>
      <c r="G163" s="18">
        <v>1</v>
      </c>
      <c r="H163" s="19">
        <v>1</v>
      </c>
      <c r="I163" s="19"/>
      <c r="J163" s="19"/>
      <c r="K163" s="19"/>
      <c r="L163" s="20">
        <v>1</v>
      </c>
      <c r="M163" s="21">
        <v>1</v>
      </c>
      <c r="N163" s="22">
        <v>1</v>
      </c>
      <c r="O163" s="22">
        <v>0</v>
      </c>
      <c r="P163" s="20">
        <v>0</v>
      </c>
      <c r="Q163" s="23">
        <v>0</v>
      </c>
      <c r="R163" s="20">
        <v>0</v>
      </c>
      <c r="S163" s="20">
        <v>0</v>
      </c>
      <c r="T163" s="18">
        <v>0</v>
      </c>
      <c r="U163" s="24"/>
      <c r="V163" s="25" t="s">
        <v>3236</v>
      </c>
    </row>
    <row r="164" spans="1:22" ht="26.25">
      <c r="A164" s="66">
        <v>1236</v>
      </c>
      <c r="B164" s="15" t="s">
        <v>3236</v>
      </c>
      <c r="C164" s="16">
        <v>162</v>
      </c>
      <c r="D164" s="16">
        <v>162</v>
      </c>
      <c r="E164" s="16" t="s">
        <v>3247</v>
      </c>
      <c r="F164" s="17" t="s">
        <v>24</v>
      </c>
      <c r="G164" s="18">
        <v>1</v>
      </c>
      <c r="H164" s="19">
        <v>2</v>
      </c>
      <c r="I164" s="19"/>
      <c r="J164" s="19"/>
      <c r="K164" s="19"/>
      <c r="L164" s="20">
        <v>2</v>
      </c>
      <c r="M164" s="21">
        <v>2</v>
      </c>
      <c r="N164" s="22">
        <v>2</v>
      </c>
      <c r="O164" s="22">
        <v>0</v>
      </c>
      <c r="P164" s="20">
        <v>0</v>
      </c>
      <c r="Q164" s="23">
        <v>0</v>
      </c>
      <c r="R164" s="20">
        <v>0</v>
      </c>
      <c r="S164" s="20">
        <v>0</v>
      </c>
      <c r="T164" s="18">
        <v>0</v>
      </c>
      <c r="U164" s="24"/>
      <c r="V164" s="25" t="s">
        <v>3236</v>
      </c>
    </row>
    <row r="165" spans="1:22" ht="26.25">
      <c r="A165" s="67">
        <v>1237</v>
      </c>
      <c r="B165" s="15" t="s">
        <v>3236</v>
      </c>
      <c r="C165" s="16">
        <v>163</v>
      </c>
      <c r="D165" s="16">
        <v>163</v>
      </c>
      <c r="E165" s="16" t="s">
        <v>3248</v>
      </c>
      <c r="F165" s="17" t="s">
        <v>24</v>
      </c>
      <c r="G165" s="18">
        <v>1</v>
      </c>
      <c r="H165" s="19">
        <v>1</v>
      </c>
      <c r="I165" s="19"/>
      <c r="J165" s="19"/>
      <c r="K165" s="19"/>
      <c r="L165" s="20">
        <v>1</v>
      </c>
      <c r="M165" s="21">
        <v>1</v>
      </c>
      <c r="N165" s="22">
        <v>1</v>
      </c>
      <c r="O165" s="22">
        <v>0</v>
      </c>
      <c r="P165" s="20">
        <v>0</v>
      </c>
      <c r="Q165" s="23">
        <v>0</v>
      </c>
      <c r="R165" s="20">
        <v>0</v>
      </c>
      <c r="S165" s="20">
        <v>0</v>
      </c>
      <c r="T165" s="18">
        <v>0</v>
      </c>
      <c r="U165" s="24"/>
      <c r="V165" s="25" t="s">
        <v>3236</v>
      </c>
    </row>
    <row r="166" spans="1:22" ht="26.25">
      <c r="A166" s="66">
        <v>1238</v>
      </c>
      <c r="B166" s="15" t="s">
        <v>3236</v>
      </c>
      <c r="C166" s="16">
        <v>164</v>
      </c>
      <c r="D166" s="16">
        <v>164</v>
      </c>
      <c r="E166" s="16" t="s">
        <v>3249</v>
      </c>
      <c r="F166" s="17" t="s">
        <v>1198</v>
      </c>
      <c r="G166" s="18">
        <v>6</v>
      </c>
      <c r="H166" s="19">
        <v>1</v>
      </c>
      <c r="I166" s="19">
        <v>1</v>
      </c>
      <c r="J166" s="19"/>
      <c r="K166" s="19"/>
      <c r="L166" s="20">
        <v>7</v>
      </c>
      <c r="M166" s="21">
        <v>1.1666666666666667</v>
      </c>
      <c r="N166" s="22">
        <v>1.0000000000000004</v>
      </c>
      <c r="O166" s="22">
        <v>1</v>
      </c>
      <c r="P166" s="20">
        <v>0</v>
      </c>
      <c r="Q166" s="23">
        <v>0</v>
      </c>
      <c r="R166" s="20">
        <v>0</v>
      </c>
      <c r="S166" s="20">
        <v>0</v>
      </c>
      <c r="T166" s="18">
        <v>0</v>
      </c>
      <c r="U166" s="24"/>
      <c r="V166" s="25" t="s">
        <v>3236</v>
      </c>
    </row>
    <row r="167" spans="1:22" ht="26.25">
      <c r="A167" s="66">
        <v>1239</v>
      </c>
      <c r="B167" s="15" t="s">
        <v>3236</v>
      </c>
      <c r="C167" s="16">
        <v>165</v>
      </c>
      <c r="D167" s="16">
        <v>165</v>
      </c>
      <c r="E167" s="16" t="s">
        <v>3250</v>
      </c>
      <c r="F167" s="17" t="s">
        <v>1198</v>
      </c>
      <c r="G167" s="18">
        <v>1</v>
      </c>
      <c r="H167" s="19">
        <v>1</v>
      </c>
      <c r="I167" s="19"/>
      <c r="J167" s="19"/>
      <c r="K167" s="19"/>
      <c r="L167" s="20">
        <v>1</v>
      </c>
      <c r="M167" s="21">
        <v>1</v>
      </c>
      <c r="N167" s="22">
        <v>1</v>
      </c>
      <c r="O167" s="22">
        <v>0</v>
      </c>
      <c r="P167" s="20">
        <v>0</v>
      </c>
      <c r="Q167" s="23">
        <v>0</v>
      </c>
      <c r="R167" s="20">
        <v>0</v>
      </c>
      <c r="S167" s="20">
        <v>0</v>
      </c>
      <c r="T167" s="18">
        <v>0</v>
      </c>
      <c r="U167" s="24"/>
      <c r="V167" s="25" t="s">
        <v>3236</v>
      </c>
    </row>
    <row r="168" spans="1:22" ht="26.25">
      <c r="A168" s="66">
        <v>1242</v>
      </c>
      <c r="B168" s="15" t="s">
        <v>3236</v>
      </c>
      <c r="C168" s="16">
        <v>166</v>
      </c>
      <c r="D168" s="16">
        <v>166</v>
      </c>
      <c r="E168" s="16" t="s">
        <v>3251</v>
      </c>
      <c r="F168" s="17" t="s">
        <v>24</v>
      </c>
      <c r="G168" s="18">
        <v>1</v>
      </c>
      <c r="H168" s="19">
        <v>2</v>
      </c>
      <c r="I168" s="19"/>
      <c r="J168" s="19"/>
      <c r="K168" s="19"/>
      <c r="L168" s="20">
        <v>2</v>
      </c>
      <c r="M168" s="21">
        <v>2</v>
      </c>
      <c r="N168" s="22">
        <v>2</v>
      </c>
      <c r="O168" s="22">
        <v>0</v>
      </c>
      <c r="P168" s="20">
        <v>0</v>
      </c>
      <c r="Q168" s="23">
        <v>0</v>
      </c>
      <c r="R168" s="20">
        <v>0</v>
      </c>
      <c r="S168" s="20">
        <v>0</v>
      </c>
      <c r="T168" s="18">
        <v>0</v>
      </c>
      <c r="U168" s="24"/>
      <c r="V168" s="25" t="s">
        <v>3236</v>
      </c>
    </row>
    <row r="169" spans="1:22" ht="26.25">
      <c r="A169" s="66">
        <v>1235</v>
      </c>
      <c r="B169" s="15" t="s">
        <v>3236</v>
      </c>
      <c r="C169" s="16">
        <v>167</v>
      </c>
      <c r="D169" s="16">
        <v>167</v>
      </c>
      <c r="E169" s="16" t="s">
        <v>3252</v>
      </c>
      <c r="F169" s="17" t="s">
        <v>24</v>
      </c>
      <c r="G169" s="18">
        <v>1</v>
      </c>
      <c r="H169" s="19">
        <v>4</v>
      </c>
      <c r="I169" s="19"/>
      <c r="J169" s="19"/>
      <c r="K169" s="19"/>
      <c r="L169" s="20">
        <v>4</v>
      </c>
      <c r="M169" s="21">
        <v>4</v>
      </c>
      <c r="N169" s="22">
        <v>4</v>
      </c>
      <c r="O169" s="22">
        <v>0</v>
      </c>
      <c r="P169" s="20">
        <v>0</v>
      </c>
      <c r="Q169" s="23">
        <v>0</v>
      </c>
      <c r="R169" s="20">
        <v>0</v>
      </c>
      <c r="S169" s="20">
        <v>0</v>
      </c>
      <c r="T169" s="18">
        <v>0</v>
      </c>
      <c r="U169" s="24"/>
      <c r="V169" s="25" t="s">
        <v>3236</v>
      </c>
    </row>
    <row r="170" spans="1:22" ht="26.25">
      <c r="A170" s="67">
        <v>1240</v>
      </c>
      <c r="B170" s="15" t="s">
        <v>3236</v>
      </c>
      <c r="C170" s="16">
        <v>168</v>
      </c>
      <c r="D170" s="16">
        <v>168</v>
      </c>
      <c r="E170" s="16" t="s">
        <v>3253</v>
      </c>
      <c r="F170" s="17" t="s">
        <v>24</v>
      </c>
      <c r="G170" s="18">
        <v>1</v>
      </c>
      <c r="H170" s="19">
        <v>12</v>
      </c>
      <c r="I170" s="19"/>
      <c r="J170" s="19"/>
      <c r="K170" s="19"/>
      <c r="L170" s="20">
        <v>12</v>
      </c>
      <c r="M170" s="21">
        <v>12</v>
      </c>
      <c r="N170" s="22">
        <v>12</v>
      </c>
      <c r="O170" s="22">
        <v>0</v>
      </c>
      <c r="P170" s="20">
        <v>0</v>
      </c>
      <c r="Q170" s="23">
        <v>0</v>
      </c>
      <c r="R170" s="20">
        <v>0</v>
      </c>
      <c r="S170" s="20">
        <v>0</v>
      </c>
      <c r="T170" s="18">
        <v>0</v>
      </c>
      <c r="U170" s="24"/>
      <c r="V170" s="25" t="s">
        <v>3236</v>
      </c>
    </row>
    <row r="171" spans="1:22" ht="26.25">
      <c r="A171" s="66">
        <v>1241</v>
      </c>
      <c r="B171" s="15" t="s">
        <v>3236</v>
      </c>
      <c r="C171" s="16">
        <v>169</v>
      </c>
      <c r="D171" s="16">
        <v>169</v>
      </c>
      <c r="E171" s="16" t="s">
        <v>3254</v>
      </c>
      <c r="F171" s="17" t="s">
        <v>24</v>
      </c>
      <c r="G171" s="18">
        <v>1</v>
      </c>
      <c r="H171" s="19">
        <v>5</v>
      </c>
      <c r="I171" s="19"/>
      <c r="J171" s="19"/>
      <c r="K171" s="19"/>
      <c r="L171" s="20">
        <v>5</v>
      </c>
      <c r="M171" s="21">
        <v>5</v>
      </c>
      <c r="N171" s="22">
        <v>5</v>
      </c>
      <c r="O171" s="22">
        <v>0</v>
      </c>
      <c r="P171" s="20">
        <v>0</v>
      </c>
      <c r="Q171" s="23">
        <v>0</v>
      </c>
      <c r="R171" s="20">
        <v>0</v>
      </c>
      <c r="S171" s="20">
        <v>0</v>
      </c>
      <c r="T171" s="18">
        <v>0</v>
      </c>
      <c r="U171" s="24"/>
      <c r="V171" s="25" t="s">
        <v>3236</v>
      </c>
    </row>
    <row r="172" spans="1:22" ht="26.25">
      <c r="A172" s="66">
        <v>1226</v>
      </c>
      <c r="B172" s="15" t="s">
        <v>3236</v>
      </c>
      <c r="C172" s="16">
        <v>170</v>
      </c>
      <c r="D172" s="16">
        <v>170</v>
      </c>
      <c r="E172" s="16" t="s">
        <v>3255</v>
      </c>
      <c r="F172" s="17" t="s">
        <v>24</v>
      </c>
      <c r="G172" s="18">
        <v>1</v>
      </c>
      <c r="H172" s="19">
        <v>12</v>
      </c>
      <c r="I172" s="19"/>
      <c r="J172" s="19"/>
      <c r="K172" s="19"/>
      <c r="L172" s="20">
        <v>12</v>
      </c>
      <c r="M172" s="21">
        <v>12</v>
      </c>
      <c r="N172" s="22">
        <v>12</v>
      </c>
      <c r="O172" s="22">
        <v>0</v>
      </c>
      <c r="P172" s="20">
        <v>0</v>
      </c>
      <c r="Q172" s="23">
        <v>0</v>
      </c>
      <c r="R172" s="20">
        <v>0</v>
      </c>
      <c r="S172" s="20">
        <v>0</v>
      </c>
      <c r="T172" s="18">
        <v>0</v>
      </c>
      <c r="U172" s="24"/>
      <c r="V172" s="25" t="s">
        <v>3236</v>
      </c>
    </row>
    <row r="173" spans="1:22" ht="26.25">
      <c r="A173" s="67">
        <v>1243</v>
      </c>
      <c r="B173" s="15" t="s">
        <v>3236</v>
      </c>
      <c r="C173" s="16">
        <v>171</v>
      </c>
      <c r="D173" s="16">
        <v>171</v>
      </c>
      <c r="E173" s="16" t="s">
        <v>3256</v>
      </c>
      <c r="F173" s="17" t="s">
        <v>24</v>
      </c>
      <c r="G173" s="18">
        <v>1</v>
      </c>
      <c r="H173" s="19">
        <v>11</v>
      </c>
      <c r="I173" s="19"/>
      <c r="J173" s="19"/>
      <c r="K173" s="19"/>
      <c r="L173" s="20">
        <v>11</v>
      </c>
      <c r="M173" s="21">
        <v>11</v>
      </c>
      <c r="N173" s="22">
        <v>11</v>
      </c>
      <c r="O173" s="22">
        <v>0</v>
      </c>
      <c r="P173" s="20">
        <v>0</v>
      </c>
      <c r="Q173" s="23">
        <v>0</v>
      </c>
      <c r="R173" s="20">
        <v>0</v>
      </c>
      <c r="S173" s="20">
        <v>0</v>
      </c>
      <c r="T173" s="18">
        <v>0</v>
      </c>
      <c r="U173" s="24"/>
      <c r="V173" s="25" t="s">
        <v>3236</v>
      </c>
    </row>
    <row r="174" spans="1:22" ht="26.25">
      <c r="A174" s="66">
        <v>1244</v>
      </c>
      <c r="B174" s="15" t="s">
        <v>3236</v>
      </c>
      <c r="C174" s="16">
        <v>172</v>
      </c>
      <c r="D174" s="16">
        <v>172</v>
      </c>
      <c r="E174" s="16" t="s">
        <v>3257</v>
      </c>
      <c r="F174" s="17" t="s">
        <v>24</v>
      </c>
      <c r="G174" s="18">
        <v>1</v>
      </c>
      <c r="H174" s="19">
        <v>2</v>
      </c>
      <c r="I174" s="19"/>
      <c r="J174" s="19"/>
      <c r="K174" s="19"/>
      <c r="L174" s="20">
        <v>2</v>
      </c>
      <c r="M174" s="21">
        <v>2</v>
      </c>
      <c r="N174" s="22">
        <v>2</v>
      </c>
      <c r="O174" s="22">
        <v>0</v>
      </c>
      <c r="P174" s="20">
        <v>0</v>
      </c>
      <c r="Q174" s="23">
        <v>0</v>
      </c>
      <c r="R174" s="20">
        <v>0</v>
      </c>
      <c r="S174" s="20">
        <v>0</v>
      </c>
      <c r="T174" s="18">
        <v>0</v>
      </c>
      <c r="U174" s="24"/>
      <c r="V174" s="25" t="s">
        <v>3236</v>
      </c>
    </row>
    <row r="175" spans="1:22" ht="26.25">
      <c r="A175" s="66">
        <v>1245</v>
      </c>
      <c r="B175" s="15" t="s">
        <v>3236</v>
      </c>
      <c r="C175" s="16">
        <v>173</v>
      </c>
      <c r="D175" s="16">
        <v>173</v>
      </c>
      <c r="E175" s="16" t="s">
        <v>3258</v>
      </c>
      <c r="F175" s="17" t="s">
        <v>24</v>
      </c>
      <c r="G175" s="18">
        <v>1</v>
      </c>
      <c r="H175" s="19">
        <v>6</v>
      </c>
      <c r="I175" s="19"/>
      <c r="J175" s="19"/>
      <c r="K175" s="19"/>
      <c r="L175" s="20">
        <v>6</v>
      </c>
      <c r="M175" s="21">
        <v>6</v>
      </c>
      <c r="N175" s="22">
        <v>6</v>
      </c>
      <c r="O175" s="22">
        <v>0</v>
      </c>
      <c r="P175" s="20">
        <v>0</v>
      </c>
      <c r="Q175" s="23">
        <v>0</v>
      </c>
      <c r="R175" s="20">
        <v>0</v>
      </c>
      <c r="S175" s="20">
        <v>0</v>
      </c>
      <c r="T175" s="18">
        <v>0</v>
      </c>
      <c r="U175" s="24"/>
      <c r="V175" s="25" t="s">
        <v>3236</v>
      </c>
    </row>
    <row r="176" spans="1:22" ht="26.25">
      <c r="A176" s="67">
        <v>1246</v>
      </c>
      <c r="B176" s="15" t="s">
        <v>3236</v>
      </c>
      <c r="C176" s="16">
        <v>174</v>
      </c>
      <c r="D176" s="16">
        <v>174</v>
      </c>
      <c r="E176" s="16" t="s">
        <v>3259</v>
      </c>
      <c r="F176" s="17" t="s">
        <v>24</v>
      </c>
      <c r="G176" s="18">
        <v>1</v>
      </c>
      <c r="H176" s="19">
        <v>4</v>
      </c>
      <c r="I176" s="19"/>
      <c r="J176" s="19">
        <v>400</v>
      </c>
      <c r="K176" s="19"/>
      <c r="L176" s="20">
        <v>4</v>
      </c>
      <c r="M176" s="21">
        <v>4</v>
      </c>
      <c r="N176" s="22">
        <v>4</v>
      </c>
      <c r="O176" s="22">
        <v>0</v>
      </c>
      <c r="P176" s="20">
        <v>0</v>
      </c>
      <c r="Q176" s="23">
        <v>400</v>
      </c>
      <c r="R176" s="20">
        <v>400</v>
      </c>
      <c r="S176" s="20">
        <v>400</v>
      </c>
      <c r="T176" s="18">
        <v>1600</v>
      </c>
      <c r="U176" s="24" t="s">
        <v>3101</v>
      </c>
      <c r="V176" s="25" t="s">
        <v>3236</v>
      </c>
    </row>
    <row r="177" spans="1:22" ht="26.25">
      <c r="A177" s="66">
        <v>1247</v>
      </c>
      <c r="B177" s="15"/>
      <c r="C177" s="16">
        <v>175</v>
      </c>
      <c r="D177" s="16">
        <v>175</v>
      </c>
      <c r="E177" s="16" t="s">
        <v>3260</v>
      </c>
      <c r="F177" s="17" t="s">
        <v>24</v>
      </c>
      <c r="G177" s="18">
        <v>1</v>
      </c>
      <c r="H177" s="19">
        <v>7</v>
      </c>
      <c r="I177" s="19"/>
      <c r="J177" s="19">
        <v>150</v>
      </c>
      <c r="K177" s="19"/>
      <c r="L177" s="20">
        <v>7</v>
      </c>
      <c r="M177" s="21">
        <v>7</v>
      </c>
      <c r="N177" s="22">
        <v>7</v>
      </c>
      <c r="O177" s="22">
        <v>0</v>
      </c>
      <c r="P177" s="20">
        <v>0</v>
      </c>
      <c r="Q177" s="23">
        <v>150</v>
      </c>
      <c r="R177" s="20">
        <v>150</v>
      </c>
      <c r="S177" s="20">
        <v>150</v>
      </c>
      <c r="T177" s="18">
        <v>1050</v>
      </c>
      <c r="U177" s="24" t="s">
        <v>3101</v>
      </c>
      <c r="V177" s="25">
        <v>0</v>
      </c>
    </row>
    <row r="178" spans="1:22" ht="26.25">
      <c r="A178" s="66">
        <v>1248</v>
      </c>
      <c r="B178" s="15"/>
      <c r="C178" s="16">
        <v>176</v>
      </c>
      <c r="D178" s="16">
        <v>176</v>
      </c>
      <c r="E178" s="16" t="s">
        <v>3261</v>
      </c>
      <c r="F178" s="17" t="s">
        <v>24</v>
      </c>
      <c r="G178" s="18">
        <v>1</v>
      </c>
      <c r="H178" s="19">
        <v>1</v>
      </c>
      <c r="I178" s="19"/>
      <c r="J178" s="19"/>
      <c r="K178" s="19"/>
      <c r="L178" s="20">
        <v>1</v>
      </c>
      <c r="M178" s="21">
        <v>1</v>
      </c>
      <c r="N178" s="22">
        <v>1</v>
      </c>
      <c r="O178" s="22">
        <v>0</v>
      </c>
      <c r="P178" s="20">
        <v>0</v>
      </c>
      <c r="Q178" s="23">
        <v>0</v>
      </c>
      <c r="R178" s="20">
        <v>0</v>
      </c>
      <c r="S178" s="20">
        <v>0</v>
      </c>
      <c r="T178" s="18">
        <v>0</v>
      </c>
      <c r="U178" s="24"/>
      <c r="V178" s="25">
        <v>0</v>
      </c>
    </row>
    <row r="179" spans="1:22" ht="26.25">
      <c r="A179" s="66">
        <v>1253</v>
      </c>
      <c r="B179" s="15" t="s">
        <v>3236</v>
      </c>
      <c r="C179" s="16">
        <v>177</v>
      </c>
      <c r="D179" s="16">
        <v>177</v>
      </c>
      <c r="E179" s="16" t="s">
        <v>3262</v>
      </c>
      <c r="F179" s="17" t="s">
        <v>24</v>
      </c>
      <c r="G179" s="18">
        <v>1</v>
      </c>
      <c r="H179" s="19">
        <v>5</v>
      </c>
      <c r="I179" s="19"/>
      <c r="J179" s="19"/>
      <c r="K179" s="19"/>
      <c r="L179" s="20">
        <v>5</v>
      </c>
      <c r="M179" s="21">
        <v>5</v>
      </c>
      <c r="N179" s="22">
        <v>5</v>
      </c>
      <c r="O179" s="22">
        <v>0</v>
      </c>
      <c r="P179" s="20">
        <v>0</v>
      </c>
      <c r="Q179" s="23">
        <v>0</v>
      </c>
      <c r="R179" s="20">
        <v>0</v>
      </c>
      <c r="S179" s="20">
        <v>0</v>
      </c>
      <c r="T179" s="18">
        <v>0</v>
      </c>
      <c r="U179" s="24"/>
      <c r="V179" s="25" t="s">
        <v>3236</v>
      </c>
    </row>
    <row r="180" spans="1:22" ht="26.25">
      <c r="A180" s="66">
        <v>1254</v>
      </c>
      <c r="B180" s="15" t="s">
        <v>3236</v>
      </c>
      <c r="C180" s="16">
        <v>178</v>
      </c>
      <c r="D180" s="16">
        <v>178</v>
      </c>
      <c r="E180" s="16" t="s">
        <v>3263</v>
      </c>
      <c r="F180" s="17" t="s">
        <v>24</v>
      </c>
      <c r="G180" s="18">
        <v>1</v>
      </c>
      <c r="H180" s="19">
        <v>1</v>
      </c>
      <c r="I180" s="19"/>
      <c r="J180" s="19"/>
      <c r="K180" s="19"/>
      <c r="L180" s="20">
        <v>1</v>
      </c>
      <c r="M180" s="21">
        <v>1</v>
      </c>
      <c r="N180" s="22">
        <v>1</v>
      </c>
      <c r="O180" s="22">
        <v>0</v>
      </c>
      <c r="P180" s="20">
        <v>0</v>
      </c>
      <c r="Q180" s="23">
        <v>0</v>
      </c>
      <c r="R180" s="20">
        <v>0</v>
      </c>
      <c r="S180" s="20">
        <v>0</v>
      </c>
      <c r="T180" s="18">
        <v>0</v>
      </c>
      <c r="U180" s="24"/>
      <c r="V180" s="25" t="s">
        <v>3236</v>
      </c>
    </row>
    <row r="181" spans="1:22" ht="26.25">
      <c r="A181" s="66">
        <v>1404</v>
      </c>
      <c r="B181" s="15" t="s">
        <v>3236</v>
      </c>
      <c r="C181" s="16">
        <v>179</v>
      </c>
      <c r="D181" s="16">
        <v>179</v>
      </c>
      <c r="E181" s="16" t="s">
        <v>3264</v>
      </c>
      <c r="F181" s="17" t="s">
        <v>24</v>
      </c>
      <c r="G181" s="18">
        <v>1</v>
      </c>
      <c r="H181" s="19">
        <v>2</v>
      </c>
      <c r="I181" s="19"/>
      <c r="J181" s="19">
        <v>118</v>
      </c>
      <c r="K181" s="19"/>
      <c r="L181" s="20">
        <v>2</v>
      </c>
      <c r="M181" s="21">
        <v>2</v>
      </c>
      <c r="N181" s="22">
        <v>2</v>
      </c>
      <c r="O181" s="22">
        <v>0</v>
      </c>
      <c r="P181" s="20">
        <v>0</v>
      </c>
      <c r="Q181" s="23">
        <v>118</v>
      </c>
      <c r="R181" s="20">
        <v>118</v>
      </c>
      <c r="S181" s="20">
        <v>118</v>
      </c>
      <c r="T181" s="18">
        <v>236</v>
      </c>
      <c r="U181" s="24" t="s">
        <v>3101</v>
      </c>
      <c r="V181" s="25" t="s">
        <v>3236</v>
      </c>
    </row>
    <row r="182" spans="1:22" ht="26.25">
      <c r="A182" s="67">
        <v>1252</v>
      </c>
      <c r="B182" s="15" t="s">
        <v>3236</v>
      </c>
      <c r="C182" s="16">
        <v>180</v>
      </c>
      <c r="D182" s="16">
        <v>180</v>
      </c>
      <c r="E182" s="16" t="s">
        <v>3265</v>
      </c>
      <c r="F182" s="17" t="s">
        <v>24</v>
      </c>
      <c r="G182" s="18">
        <v>3</v>
      </c>
      <c r="H182" s="19"/>
      <c r="I182" s="19"/>
      <c r="J182" s="19"/>
      <c r="K182" s="19"/>
      <c r="L182" s="20">
        <v>0</v>
      </c>
      <c r="M182" s="21">
        <v>0</v>
      </c>
      <c r="N182" s="22">
        <v>0</v>
      </c>
      <c r="O182" s="22">
        <v>0</v>
      </c>
      <c r="P182" s="20">
        <v>0</v>
      </c>
      <c r="Q182" s="23">
        <v>0</v>
      </c>
      <c r="R182" s="20">
        <v>0</v>
      </c>
      <c r="S182" s="20">
        <v>0</v>
      </c>
      <c r="T182" s="18">
        <v>0</v>
      </c>
      <c r="U182" s="24"/>
      <c r="V182" s="25" t="s">
        <v>3236</v>
      </c>
    </row>
    <row r="183" spans="1:22" ht="26.25">
      <c r="A183" s="66">
        <v>1227</v>
      </c>
      <c r="B183" s="15" t="s">
        <v>3236</v>
      </c>
      <c r="C183" s="16">
        <v>181</v>
      </c>
      <c r="D183" s="16">
        <v>181</v>
      </c>
      <c r="E183" s="16" t="s">
        <v>3266</v>
      </c>
      <c r="F183" s="17" t="s">
        <v>24</v>
      </c>
      <c r="G183" s="18">
        <v>1</v>
      </c>
      <c r="H183" s="19">
        <v>5</v>
      </c>
      <c r="I183" s="19"/>
      <c r="J183" s="19"/>
      <c r="K183" s="19"/>
      <c r="L183" s="20">
        <v>5</v>
      </c>
      <c r="M183" s="21">
        <v>5</v>
      </c>
      <c r="N183" s="22">
        <v>5</v>
      </c>
      <c r="O183" s="22">
        <v>0</v>
      </c>
      <c r="P183" s="20">
        <v>0</v>
      </c>
      <c r="Q183" s="23">
        <v>0</v>
      </c>
      <c r="R183" s="20">
        <v>0</v>
      </c>
      <c r="S183" s="20">
        <v>0</v>
      </c>
      <c r="T183" s="18">
        <v>0</v>
      </c>
      <c r="U183" s="24"/>
      <c r="V183" s="25" t="s">
        <v>3236</v>
      </c>
    </row>
    <row r="184" spans="1:22" ht="26.25">
      <c r="A184" s="67">
        <v>1249</v>
      </c>
      <c r="B184" s="15" t="s">
        <v>3236</v>
      </c>
      <c r="C184" s="16">
        <v>182</v>
      </c>
      <c r="D184" s="16">
        <v>182</v>
      </c>
      <c r="E184" s="16" t="s">
        <v>3267</v>
      </c>
      <c r="F184" s="17" t="s">
        <v>24</v>
      </c>
      <c r="G184" s="18">
        <v>1</v>
      </c>
      <c r="H184" s="19">
        <v>1</v>
      </c>
      <c r="I184" s="19"/>
      <c r="J184" s="19"/>
      <c r="K184" s="19"/>
      <c r="L184" s="20">
        <v>1</v>
      </c>
      <c r="M184" s="21">
        <v>1</v>
      </c>
      <c r="N184" s="22">
        <v>1</v>
      </c>
      <c r="O184" s="22">
        <v>0</v>
      </c>
      <c r="P184" s="20">
        <v>0</v>
      </c>
      <c r="Q184" s="23">
        <v>0</v>
      </c>
      <c r="R184" s="20">
        <v>0</v>
      </c>
      <c r="S184" s="20">
        <v>0</v>
      </c>
      <c r="T184" s="18">
        <v>0</v>
      </c>
      <c r="U184" s="24"/>
      <c r="V184" s="25" t="s">
        <v>3236</v>
      </c>
    </row>
    <row r="185" spans="1:22" ht="26.25">
      <c r="A185" s="66">
        <v>1250</v>
      </c>
      <c r="B185" s="15" t="s">
        <v>3236</v>
      </c>
      <c r="C185" s="16">
        <v>183</v>
      </c>
      <c r="D185" s="16">
        <v>183</v>
      </c>
      <c r="E185" s="16" t="s">
        <v>3268</v>
      </c>
      <c r="F185" s="17" t="s">
        <v>24</v>
      </c>
      <c r="G185" s="18">
        <v>1</v>
      </c>
      <c r="H185" s="19">
        <v>2</v>
      </c>
      <c r="I185" s="19"/>
      <c r="J185" s="19"/>
      <c r="K185" s="19"/>
      <c r="L185" s="20">
        <v>2</v>
      </c>
      <c r="M185" s="21">
        <v>2</v>
      </c>
      <c r="N185" s="22">
        <v>2</v>
      </c>
      <c r="O185" s="22">
        <v>0</v>
      </c>
      <c r="P185" s="20">
        <v>0</v>
      </c>
      <c r="Q185" s="23">
        <v>0</v>
      </c>
      <c r="R185" s="20">
        <v>0</v>
      </c>
      <c r="S185" s="20">
        <v>0</v>
      </c>
      <c r="T185" s="18">
        <v>0</v>
      </c>
      <c r="U185" s="24"/>
      <c r="V185" s="25" t="s">
        <v>3236</v>
      </c>
    </row>
    <row r="186" spans="1:22" ht="26.25">
      <c r="A186" s="67">
        <v>1495</v>
      </c>
      <c r="B186" s="15" t="s">
        <v>3081</v>
      </c>
      <c r="C186" s="16">
        <v>184</v>
      </c>
      <c r="D186" s="16">
        <v>184</v>
      </c>
      <c r="E186" s="16" t="s">
        <v>2450</v>
      </c>
      <c r="F186" s="17" t="s">
        <v>24</v>
      </c>
      <c r="G186" s="18">
        <v>1</v>
      </c>
      <c r="H186" s="19">
        <v>1</v>
      </c>
      <c r="I186" s="19"/>
      <c r="J186" s="19">
        <v>80</v>
      </c>
      <c r="K186" s="19"/>
      <c r="L186" s="20">
        <v>1</v>
      </c>
      <c r="M186" s="21">
        <v>1</v>
      </c>
      <c r="N186" s="22">
        <v>1</v>
      </c>
      <c r="O186" s="22">
        <v>0</v>
      </c>
      <c r="P186" s="20">
        <v>0</v>
      </c>
      <c r="Q186" s="23">
        <v>80</v>
      </c>
      <c r="R186" s="20">
        <v>80</v>
      </c>
      <c r="S186" s="20">
        <v>80</v>
      </c>
      <c r="T186" s="18">
        <v>80</v>
      </c>
      <c r="U186" s="24" t="s">
        <v>3101</v>
      </c>
      <c r="V186" s="25" t="s">
        <v>3081</v>
      </c>
    </row>
    <row r="187" spans="1:22" ht="26.25">
      <c r="A187" s="67">
        <v>1501</v>
      </c>
      <c r="B187" s="15" t="s">
        <v>3081</v>
      </c>
      <c r="C187" s="16">
        <v>184</v>
      </c>
      <c r="D187" s="16">
        <v>184</v>
      </c>
      <c r="E187" s="16" t="s">
        <v>2456</v>
      </c>
      <c r="F187" s="17" t="s">
        <v>24</v>
      </c>
      <c r="G187" s="18">
        <v>1</v>
      </c>
      <c r="H187" s="19">
        <v>1</v>
      </c>
      <c r="I187" s="19"/>
      <c r="J187" s="19">
        <v>80</v>
      </c>
      <c r="K187" s="19"/>
      <c r="L187" s="20">
        <v>1</v>
      </c>
      <c r="M187" s="21">
        <v>1</v>
      </c>
      <c r="N187" s="22">
        <v>1</v>
      </c>
      <c r="O187" s="22">
        <v>0</v>
      </c>
      <c r="P187" s="20">
        <v>0</v>
      </c>
      <c r="Q187" s="23">
        <v>80</v>
      </c>
      <c r="R187" s="20">
        <v>80</v>
      </c>
      <c r="S187" s="20">
        <v>80</v>
      </c>
      <c r="T187" s="18">
        <v>80</v>
      </c>
      <c r="U187" s="24" t="s">
        <v>3101</v>
      </c>
      <c r="V187" s="25" t="s">
        <v>3081</v>
      </c>
    </row>
    <row r="188" spans="1:22" ht="26.25">
      <c r="A188" s="66">
        <v>1505</v>
      </c>
      <c r="B188" s="15" t="s">
        <v>3081</v>
      </c>
      <c r="C188" s="16">
        <v>184</v>
      </c>
      <c r="D188" s="16">
        <v>184</v>
      </c>
      <c r="E188" s="16" t="s">
        <v>2458</v>
      </c>
      <c r="F188" s="17" t="s">
        <v>24</v>
      </c>
      <c r="G188" s="18">
        <v>1</v>
      </c>
      <c r="H188" s="19">
        <v>1</v>
      </c>
      <c r="I188" s="19"/>
      <c r="J188" s="19">
        <v>80</v>
      </c>
      <c r="K188" s="19"/>
      <c r="L188" s="20">
        <v>1</v>
      </c>
      <c r="M188" s="21">
        <v>1</v>
      </c>
      <c r="N188" s="22">
        <v>1</v>
      </c>
      <c r="O188" s="22">
        <v>0</v>
      </c>
      <c r="P188" s="20">
        <v>0</v>
      </c>
      <c r="Q188" s="23">
        <v>80</v>
      </c>
      <c r="R188" s="20">
        <v>80</v>
      </c>
      <c r="S188" s="20">
        <v>80</v>
      </c>
      <c r="T188" s="18">
        <v>80</v>
      </c>
      <c r="U188" s="24" t="s">
        <v>3101</v>
      </c>
      <c r="V188" s="25" t="s">
        <v>3081</v>
      </c>
    </row>
    <row r="189" spans="1:22" ht="26.25">
      <c r="A189" s="67">
        <v>1519</v>
      </c>
      <c r="B189" s="15" t="s">
        <v>3081</v>
      </c>
      <c r="C189" s="16">
        <v>184</v>
      </c>
      <c r="D189" s="16">
        <v>184</v>
      </c>
      <c r="E189" s="16" t="s">
        <v>2469</v>
      </c>
      <c r="F189" s="17" t="s">
        <v>24</v>
      </c>
      <c r="G189" s="18">
        <v>1</v>
      </c>
      <c r="H189" s="19">
        <v>2</v>
      </c>
      <c r="I189" s="19"/>
      <c r="J189" s="19">
        <v>80</v>
      </c>
      <c r="K189" s="19"/>
      <c r="L189" s="20">
        <v>2</v>
      </c>
      <c r="M189" s="21">
        <v>2</v>
      </c>
      <c r="N189" s="22">
        <v>2</v>
      </c>
      <c r="O189" s="22">
        <v>0</v>
      </c>
      <c r="P189" s="20">
        <v>0</v>
      </c>
      <c r="Q189" s="23">
        <v>80</v>
      </c>
      <c r="R189" s="20">
        <v>80</v>
      </c>
      <c r="S189" s="20">
        <v>80</v>
      </c>
      <c r="T189" s="18">
        <v>160</v>
      </c>
      <c r="U189" s="24" t="s">
        <v>3101</v>
      </c>
      <c r="V189" s="25" t="s">
        <v>3081</v>
      </c>
    </row>
    <row r="190" spans="1:22" ht="26.25">
      <c r="A190" s="67">
        <v>1498</v>
      </c>
      <c r="B190" s="15" t="s">
        <v>3081</v>
      </c>
      <c r="C190" s="16">
        <v>184</v>
      </c>
      <c r="D190" s="16">
        <v>184</v>
      </c>
      <c r="E190" s="16" t="s">
        <v>2453</v>
      </c>
      <c r="F190" s="17" t="s">
        <v>24</v>
      </c>
      <c r="G190" s="18">
        <v>1</v>
      </c>
      <c r="H190" s="19">
        <v>2</v>
      </c>
      <c r="I190" s="19"/>
      <c r="J190" s="19">
        <v>80</v>
      </c>
      <c r="K190" s="19"/>
      <c r="L190" s="20">
        <v>2</v>
      </c>
      <c r="M190" s="21">
        <v>2</v>
      </c>
      <c r="N190" s="22">
        <v>2</v>
      </c>
      <c r="O190" s="22">
        <v>0</v>
      </c>
      <c r="P190" s="20">
        <v>0</v>
      </c>
      <c r="Q190" s="23">
        <v>80</v>
      </c>
      <c r="R190" s="20">
        <v>80</v>
      </c>
      <c r="S190" s="20">
        <v>80</v>
      </c>
      <c r="T190" s="18">
        <v>160</v>
      </c>
      <c r="U190" s="24" t="s">
        <v>3101</v>
      </c>
      <c r="V190" s="25" t="s">
        <v>3081</v>
      </c>
    </row>
    <row r="191" spans="1:22" ht="26.25">
      <c r="A191" s="66">
        <v>1641</v>
      </c>
      <c r="B191" s="15" t="s">
        <v>3081</v>
      </c>
      <c r="C191" s="16">
        <v>184</v>
      </c>
      <c r="D191" s="16">
        <v>184</v>
      </c>
      <c r="E191" s="16" t="s">
        <v>2541</v>
      </c>
      <c r="F191" s="17" t="s">
        <v>24</v>
      </c>
      <c r="G191" s="18">
        <v>1</v>
      </c>
      <c r="H191" s="19">
        <v>1</v>
      </c>
      <c r="I191" s="19"/>
      <c r="J191" s="19">
        <v>80</v>
      </c>
      <c r="K191" s="19"/>
      <c r="L191" s="20">
        <v>1</v>
      </c>
      <c r="M191" s="21">
        <v>1</v>
      </c>
      <c r="N191" s="22">
        <v>1</v>
      </c>
      <c r="O191" s="22">
        <v>0</v>
      </c>
      <c r="P191" s="20">
        <v>0</v>
      </c>
      <c r="Q191" s="23">
        <v>80</v>
      </c>
      <c r="R191" s="20">
        <v>80</v>
      </c>
      <c r="S191" s="20">
        <v>80</v>
      </c>
      <c r="T191" s="18">
        <v>80</v>
      </c>
      <c r="U191" s="24" t="s">
        <v>3101</v>
      </c>
      <c r="V191" s="25" t="s">
        <v>3081</v>
      </c>
    </row>
    <row r="192" spans="1:22" ht="26.25">
      <c r="A192" s="67">
        <v>1504</v>
      </c>
      <c r="B192" s="15" t="s">
        <v>3081</v>
      </c>
      <c r="C192" s="16">
        <v>185</v>
      </c>
      <c r="D192" s="16">
        <v>185</v>
      </c>
      <c r="E192" s="16" t="s">
        <v>3269</v>
      </c>
      <c r="F192" s="17" t="s">
        <v>24</v>
      </c>
      <c r="G192" s="18">
        <v>1</v>
      </c>
      <c r="H192" s="19">
        <v>3</v>
      </c>
      <c r="I192" s="19"/>
      <c r="J192" s="19"/>
      <c r="K192" s="19"/>
      <c r="L192" s="20">
        <v>3</v>
      </c>
      <c r="M192" s="21">
        <v>3</v>
      </c>
      <c r="N192" s="22">
        <v>3</v>
      </c>
      <c r="O192" s="22">
        <v>0</v>
      </c>
      <c r="P192" s="20">
        <v>0</v>
      </c>
      <c r="Q192" s="23">
        <v>0</v>
      </c>
      <c r="R192" s="20">
        <v>0</v>
      </c>
      <c r="S192" s="20">
        <v>0</v>
      </c>
      <c r="T192" s="18">
        <v>0</v>
      </c>
      <c r="U192" s="24"/>
      <c r="V192" s="25" t="s">
        <v>3081</v>
      </c>
    </row>
    <row r="193" spans="1:22" ht="26.25">
      <c r="A193" s="66">
        <v>1517</v>
      </c>
      <c r="B193" s="15" t="s">
        <v>3081</v>
      </c>
      <c r="C193" s="16">
        <v>187</v>
      </c>
      <c r="D193" s="16">
        <v>187</v>
      </c>
      <c r="E193" s="16" t="s">
        <v>3211</v>
      </c>
      <c r="F193" s="17" t="s">
        <v>24</v>
      </c>
      <c r="G193" s="18">
        <v>1</v>
      </c>
      <c r="H193" s="19"/>
      <c r="I193" s="19"/>
      <c r="J193" s="19"/>
      <c r="K193" s="19"/>
      <c r="L193" s="20">
        <v>0</v>
      </c>
      <c r="M193" s="21">
        <v>0</v>
      </c>
      <c r="N193" s="22">
        <v>0</v>
      </c>
      <c r="O193" s="22">
        <v>0</v>
      </c>
      <c r="P193" s="20">
        <v>0</v>
      </c>
      <c r="Q193" s="23">
        <v>0</v>
      </c>
      <c r="R193" s="20">
        <v>0</v>
      </c>
      <c r="S193" s="20">
        <v>0</v>
      </c>
      <c r="T193" s="18">
        <v>0</v>
      </c>
      <c r="U193" s="24" t="s">
        <v>3270</v>
      </c>
      <c r="V193" s="25" t="s">
        <v>3081</v>
      </c>
    </row>
    <row r="194" spans="1:22" ht="26.25">
      <c r="A194" s="66">
        <v>1518</v>
      </c>
      <c r="B194" s="15" t="s">
        <v>3081</v>
      </c>
      <c r="C194" s="16">
        <v>188</v>
      </c>
      <c r="D194" s="16">
        <v>188</v>
      </c>
      <c r="E194" s="16" t="s">
        <v>2468</v>
      </c>
      <c r="F194" s="17" t="s">
        <v>24</v>
      </c>
      <c r="G194" s="18">
        <v>1</v>
      </c>
      <c r="H194" s="19">
        <v>3</v>
      </c>
      <c r="I194" s="19"/>
      <c r="J194" s="19"/>
      <c r="K194" s="19"/>
      <c r="L194" s="20">
        <v>3</v>
      </c>
      <c r="M194" s="21">
        <v>3</v>
      </c>
      <c r="N194" s="22">
        <v>3</v>
      </c>
      <c r="O194" s="22">
        <v>0</v>
      </c>
      <c r="P194" s="20">
        <v>0</v>
      </c>
      <c r="Q194" s="23">
        <v>0</v>
      </c>
      <c r="R194" s="20">
        <v>0</v>
      </c>
      <c r="S194" s="20">
        <v>0</v>
      </c>
      <c r="T194" s="18">
        <v>0</v>
      </c>
      <c r="U194" s="24"/>
      <c r="V194" s="25" t="s">
        <v>3081</v>
      </c>
    </row>
    <row r="195" spans="1:22" ht="26.25">
      <c r="A195" s="66">
        <v>1512</v>
      </c>
      <c r="B195" s="15" t="s">
        <v>3081</v>
      </c>
      <c r="C195" s="16">
        <v>189</v>
      </c>
      <c r="D195" s="16">
        <v>189</v>
      </c>
      <c r="E195" s="16" t="s">
        <v>3271</v>
      </c>
      <c r="F195" s="17" t="s">
        <v>24</v>
      </c>
      <c r="G195" s="18">
        <v>1</v>
      </c>
      <c r="H195" s="19">
        <v>1</v>
      </c>
      <c r="I195" s="19"/>
      <c r="J195" s="19"/>
      <c r="K195" s="19"/>
      <c r="L195" s="20">
        <v>1</v>
      </c>
      <c r="M195" s="21">
        <v>1</v>
      </c>
      <c r="N195" s="22">
        <v>1</v>
      </c>
      <c r="O195" s="22">
        <v>0</v>
      </c>
      <c r="P195" s="20">
        <v>0</v>
      </c>
      <c r="Q195" s="23">
        <v>0</v>
      </c>
      <c r="R195" s="20">
        <v>0</v>
      </c>
      <c r="S195" s="20">
        <v>0</v>
      </c>
      <c r="T195" s="18">
        <v>0</v>
      </c>
      <c r="U195" s="24"/>
      <c r="V195" s="25" t="s">
        <v>3081</v>
      </c>
    </row>
    <row r="196" spans="1:22" ht="26.25">
      <c r="A196" s="66">
        <v>1511</v>
      </c>
      <c r="B196" s="15" t="s">
        <v>3081</v>
      </c>
      <c r="C196" s="16">
        <v>190</v>
      </c>
      <c r="D196" s="16">
        <v>190</v>
      </c>
      <c r="E196" s="16" t="s">
        <v>3272</v>
      </c>
      <c r="F196" s="17" t="s">
        <v>24</v>
      </c>
      <c r="G196" s="18">
        <v>1</v>
      </c>
      <c r="H196" s="19">
        <v>3</v>
      </c>
      <c r="I196" s="19"/>
      <c r="J196" s="19"/>
      <c r="K196" s="19"/>
      <c r="L196" s="20">
        <v>3</v>
      </c>
      <c r="M196" s="21">
        <v>3</v>
      </c>
      <c r="N196" s="22">
        <v>3</v>
      </c>
      <c r="O196" s="22">
        <v>0</v>
      </c>
      <c r="P196" s="20">
        <v>0</v>
      </c>
      <c r="Q196" s="23">
        <v>0</v>
      </c>
      <c r="R196" s="20">
        <v>0</v>
      </c>
      <c r="S196" s="20">
        <v>0</v>
      </c>
      <c r="T196" s="18">
        <v>0</v>
      </c>
      <c r="U196" s="24"/>
      <c r="V196" s="25" t="s">
        <v>3081</v>
      </c>
    </row>
    <row r="197" spans="1:22" ht="26.25">
      <c r="A197" s="66">
        <v>1511</v>
      </c>
      <c r="B197" s="15" t="s">
        <v>3081</v>
      </c>
      <c r="C197" s="16">
        <v>191</v>
      </c>
      <c r="D197" s="16">
        <v>191</v>
      </c>
      <c r="E197" s="16" t="s">
        <v>3273</v>
      </c>
      <c r="F197" s="17" t="s">
        <v>24</v>
      </c>
      <c r="G197" s="18">
        <v>1</v>
      </c>
      <c r="H197" s="19">
        <v>1</v>
      </c>
      <c r="I197" s="19"/>
      <c r="J197" s="19"/>
      <c r="K197" s="19"/>
      <c r="L197" s="20">
        <v>1</v>
      </c>
      <c r="M197" s="21">
        <v>1</v>
      </c>
      <c r="N197" s="22">
        <v>1</v>
      </c>
      <c r="O197" s="22">
        <v>0</v>
      </c>
      <c r="P197" s="20">
        <v>0</v>
      </c>
      <c r="Q197" s="23">
        <v>0</v>
      </c>
      <c r="R197" s="20">
        <v>0</v>
      </c>
      <c r="S197" s="20">
        <v>0</v>
      </c>
      <c r="T197" s="18">
        <v>0</v>
      </c>
      <c r="U197" s="24"/>
      <c r="V197" s="25" t="s">
        <v>3081</v>
      </c>
    </row>
    <row r="198" spans="1:22" ht="26.25">
      <c r="A198" s="66">
        <v>1521</v>
      </c>
      <c r="B198" s="15" t="s">
        <v>3103</v>
      </c>
      <c r="C198" s="16">
        <v>192</v>
      </c>
      <c r="D198" s="16">
        <v>192</v>
      </c>
      <c r="E198" s="16" t="s">
        <v>3274</v>
      </c>
      <c r="F198" s="17" t="s">
        <v>24</v>
      </c>
      <c r="G198" s="18">
        <v>1</v>
      </c>
      <c r="H198" s="19">
        <v>1</v>
      </c>
      <c r="I198" s="19"/>
      <c r="J198" s="19"/>
      <c r="K198" s="19"/>
      <c r="L198" s="20">
        <v>1</v>
      </c>
      <c r="M198" s="21">
        <v>1</v>
      </c>
      <c r="N198" s="22">
        <v>1</v>
      </c>
      <c r="O198" s="22">
        <v>0</v>
      </c>
      <c r="P198" s="20">
        <v>0</v>
      </c>
      <c r="Q198" s="23">
        <v>0</v>
      </c>
      <c r="R198" s="20">
        <v>0</v>
      </c>
      <c r="S198" s="20">
        <v>0</v>
      </c>
      <c r="T198" s="18">
        <v>0</v>
      </c>
      <c r="U198" s="24"/>
      <c r="V198" s="25" t="s">
        <v>3103</v>
      </c>
    </row>
    <row r="199" spans="1:22" ht="26.25">
      <c r="A199" s="67">
        <v>1261</v>
      </c>
      <c r="B199" s="15"/>
      <c r="C199" s="16">
        <v>193</v>
      </c>
      <c r="D199" s="16">
        <v>193</v>
      </c>
      <c r="E199" s="16" t="s">
        <v>3275</v>
      </c>
      <c r="F199" s="17" t="s">
        <v>24</v>
      </c>
      <c r="G199" s="18">
        <v>9</v>
      </c>
      <c r="H199" s="19"/>
      <c r="I199" s="19"/>
      <c r="J199" s="19"/>
      <c r="K199" s="19"/>
      <c r="L199" s="20">
        <v>0</v>
      </c>
      <c r="M199" s="21">
        <v>0</v>
      </c>
      <c r="N199" s="22">
        <v>0</v>
      </c>
      <c r="O199" s="22">
        <v>0</v>
      </c>
      <c r="P199" s="20">
        <v>0</v>
      </c>
      <c r="Q199" s="23">
        <v>0</v>
      </c>
      <c r="R199" s="20">
        <v>0</v>
      </c>
      <c r="S199" s="20">
        <v>0</v>
      </c>
      <c r="T199" s="18">
        <v>0</v>
      </c>
      <c r="U199" s="24"/>
      <c r="V199" s="25">
        <v>0</v>
      </c>
    </row>
    <row r="200" spans="1:22" ht="26.25">
      <c r="A200" s="66">
        <v>1958</v>
      </c>
      <c r="B200" s="15"/>
      <c r="C200" s="16">
        <v>194</v>
      </c>
      <c r="D200" s="16">
        <v>194</v>
      </c>
      <c r="E200" s="16" t="s">
        <v>3276</v>
      </c>
      <c r="F200" s="17" t="s">
        <v>24</v>
      </c>
      <c r="G200" s="18">
        <v>1</v>
      </c>
      <c r="H200" s="19">
        <v>4</v>
      </c>
      <c r="I200" s="19"/>
      <c r="J200" s="19"/>
      <c r="K200" s="19"/>
      <c r="L200" s="20">
        <v>4</v>
      </c>
      <c r="M200" s="21">
        <v>4</v>
      </c>
      <c r="N200" s="22">
        <v>4</v>
      </c>
      <c r="O200" s="22">
        <v>0</v>
      </c>
      <c r="P200" s="20">
        <v>0</v>
      </c>
      <c r="Q200" s="23">
        <v>0</v>
      </c>
      <c r="R200" s="20">
        <v>0</v>
      </c>
      <c r="S200" s="20">
        <v>0</v>
      </c>
      <c r="T200" s="18">
        <v>0</v>
      </c>
      <c r="U200" s="24"/>
      <c r="V200" s="25">
        <v>0</v>
      </c>
    </row>
    <row r="201" spans="1:22" ht="26.25">
      <c r="A201" s="66">
        <v>1959</v>
      </c>
      <c r="B201" s="15"/>
      <c r="C201" s="16">
        <v>195</v>
      </c>
      <c r="D201" s="16">
        <v>195</v>
      </c>
      <c r="E201" s="16" t="s">
        <v>3277</v>
      </c>
      <c r="F201" s="17" t="s">
        <v>24</v>
      </c>
      <c r="G201" s="18">
        <v>1</v>
      </c>
      <c r="H201" s="19">
        <v>18</v>
      </c>
      <c r="I201" s="19"/>
      <c r="J201" s="19"/>
      <c r="K201" s="19"/>
      <c r="L201" s="20">
        <v>18</v>
      </c>
      <c r="M201" s="21">
        <v>18</v>
      </c>
      <c r="N201" s="22">
        <v>18</v>
      </c>
      <c r="O201" s="22">
        <v>0</v>
      </c>
      <c r="P201" s="20">
        <v>0</v>
      </c>
      <c r="Q201" s="23">
        <v>0</v>
      </c>
      <c r="R201" s="20">
        <v>0</v>
      </c>
      <c r="S201" s="20">
        <v>0</v>
      </c>
      <c r="T201" s="18">
        <v>0</v>
      </c>
      <c r="U201" s="24"/>
      <c r="V201" s="25">
        <v>0</v>
      </c>
    </row>
    <row r="202" spans="1:22" ht="26.25">
      <c r="A202" s="67">
        <v>1960</v>
      </c>
      <c r="B202" s="15"/>
      <c r="C202" s="16">
        <v>196</v>
      </c>
      <c r="D202" s="16">
        <v>196</v>
      </c>
      <c r="E202" s="16" t="s">
        <v>3278</v>
      </c>
      <c r="F202" s="17" t="s">
        <v>24</v>
      </c>
      <c r="G202" s="18">
        <v>1</v>
      </c>
      <c r="H202" s="19">
        <v>7</v>
      </c>
      <c r="I202" s="19"/>
      <c r="J202" s="19"/>
      <c r="K202" s="19"/>
      <c r="L202" s="20">
        <v>7</v>
      </c>
      <c r="M202" s="21">
        <v>7</v>
      </c>
      <c r="N202" s="22">
        <v>7</v>
      </c>
      <c r="O202" s="22">
        <v>0</v>
      </c>
      <c r="P202" s="20">
        <v>0</v>
      </c>
      <c r="Q202" s="23">
        <v>0</v>
      </c>
      <c r="R202" s="20">
        <v>0</v>
      </c>
      <c r="S202" s="20">
        <v>0</v>
      </c>
      <c r="T202" s="18">
        <v>0</v>
      </c>
      <c r="U202" s="24"/>
      <c r="V202" s="25">
        <v>0</v>
      </c>
    </row>
    <row r="203" spans="1:22" ht="26.25">
      <c r="A203" s="66">
        <v>1961</v>
      </c>
      <c r="B203" s="15"/>
      <c r="C203" s="16">
        <v>197</v>
      </c>
      <c r="D203" s="16">
        <v>197</v>
      </c>
      <c r="E203" s="16" t="s">
        <v>3279</v>
      </c>
      <c r="F203" s="17" t="s">
        <v>24</v>
      </c>
      <c r="G203" s="18">
        <v>1</v>
      </c>
      <c r="H203" s="19">
        <v>3</v>
      </c>
      <c r="I203" s="19"/>
      <c r="J203" s="19"/>
      <c r="K203" s="19"/>
      <c r="L203" s="20">
        <v>3</v>
      </c>
      <c r="M203" s="21">
        <v>3</v>
      </c>
      <c r="N203" s="22">
        <v>3</v>
      </c>
      <c r="O203" s="22">
        <v>0</v>
      </c>
      <c r="P203" s="20">
        <v>0</v>
      </c>
      <c r="Q203" s="23">
        <v>0</v>
      </c>
      <c r="R203" s="20">
        <v>0</v>
      </c>
      <c r="S203" s="20">
        <v>0</v>
      </c>
      <c r="T203" s="18">
        <v>0</v>
      </c>
      <c r="U203" s="24"/>
      <c r="V203" s="25">
        <v>0</v>
      </c>
    </row>
    <row r="204" spans="1:22" ht="26.25">
      <c r="A204" s="66">
        <v>1962</v>
      </c>
      <c r="B204" s="15"/>
      <c r="C204" s="16">
        <v>198</v>
      </c>
      <c r="D204" s="16">
        <v>198</v>
      </c>
      <c r="E204" s="16" t="s">
        <v>3280</v>
      </c>
      <c r="F204" s="17" t="s">
        <v>24</v>
      </c>
      <c r="G204" s="18">
        <v>1</v>
      </c>
      <c r="H204" s="19">
        <v>16</v>
      </c>
      <c r="I204" s="19"/>
      <c r="J204" s="19"/>
      <c r="K204" s="19"/>
      <c r="L204" s="20">
        <v>16</v>
      </c>
      <c r="M204" s="21">
        <v>16</v>
      </c>
      <c r="N204" s="22">
        <v>16</v>
      </c>
      <c r="O204" s="22">
        <v>0</v>
      </c>
      <c r="P204" s="20">
        <v>0</v>
      </c>
      <c r="Q204" s="23">
        <v>0</v>
      </c>
      <c r="R204" s="20">
        <v>0</v>
      </c>
      <c r="S204" s="20">
        <v>0</v>
      </c>
      <c r="T204" s="18">
        <v>0</v>
      </c>
      <c r="U204" s="24"/>
      <c r="V204" s="25">
        <v>0</v>
      </c>
    </row>
    <row r="205" spans="1:22" ht="26.25">
      <c r="A205" s="67">
        <v>1963</v>
      </c>
      <c r="B205" s="15"/>
      <c r="C205" s="16">
        <v>199</v>
      </c>
      <c r="D205" s="16">
        <v>199</v>
      </c>
      <c r="E205" s="16" t="s">
        <v>3281</v>
      </c>
      <c r="F205" s="17" t="s">
        <v>24</v>
      </c>
      <c r="G205" s="18">
        <v>1</v>
      </c>
      <c r="H205" s="19">
        <v>5</v>
      </c>
      <c r="I205" s="19"/>
      <c r="J205" s="19"/>
      <c r="K205" s="19"/>
      <c r="L205" s="20">
        <v>5</v>
      </c>
      <c r="M205" s="21">
        <v>5</v>
      </c>
      <c r="N205" s="22">
        <v>5</v>
      </c>
      <c r="O205" s="22">
        <v>0</v>
      </c>
      <c r="P205" s="20">
        <v>0</v>
      </c>
      <c r="Q205" s="23">
        <v>0</v>
      </c>
      <c r="R205" s="20">
        <v>0</v>
      </c>
      <c r="S205" s="20">
        <v>0</v>
      </c>
      <c r="T205" s="18">
        <v>0</v>
      </c>
      <c r="U205" s="24"/>
      <c r="V205" s="25">
        <v>0</v>
      </c>
    </row>
    <row r="206" spans="1:22" ht="26.25">
      <c r="A206" s="66">
        <v>1964</v>
      </c>
      <c r="B206" s="15"/>
      <c r="C206" s="16">
        <v>200</v>
      </c>
      <c r="D206" s="16">
        <v>200</v>
      </c>
      <c r="E206" s="16" t="s">
        <v>3282</v>
      </c>
      <c r="F206" s="17" t="s">
        <v>24</v>
      </c>
      <c r="G206" s="18">
        <v>1</v>
      </c>
      <c r="H206" s="19">
        <v>14</v>
      </c>
      <c r="I206" s="19"/>
      <c r="J206" s="19"/>
      <c r="K206" s="19"/>
      <c r="L206" s="20">
        <v>14</v>
      </c>
      <c r="M206" s="21">
        <v>14</v>
      </c>
      <c r="N206" s="22">
        <v>14</v>
      </c>
      <c r="O206" s="22">
        <v>0</v>
      </c>
      <c r="P206" s="20">
        <v>0</v>
      </c>
      <c r="Q206" s="23">
        <v>0</v>
      </c>
      <c r="R206" s="20">
        <v>0</v>
      </c>
      <c r="S206" s="20">
        <v>0</v>
      </c>
      <c r="T206" s="18">
        <v>0</v>
      </c>
      <c r="U206" s="24"/>
      <c r="V206" s="25">
        <v>0</v>
      </c>
    </row>
    <row r="207" spans="1:22" ht="26.25">
      <c r="A207" s="66">
        <v>1965</v>
      </c>
      <c r="B207" s="15"/>
      <c r="C207" s="16">
        <v>201</v>
      </c>
      <c r="D207" s="16">
        <v>201</v>
      </c>
      <c r="E207" s="16" t="s">
        <v>3283</v>
      </c>
      <c r="F207" s="17" t="s">
        <v>24</v>
      </c>
      <c r="G207" s="18">
        <v>1</v>
      </c>
      <c r="H207" s="19">
        <v>2</v>
      </c>
      <c r="I207" s="19"/>
      <c r="J207" s="19"/>
      <c r="K207" s="19"/>
      <c r="L207" s="20">
        <v>2</v>
      </c>
      <c r="M207" s="21">
        <v>2</v>
      </c>
      <c r="N207" s="22">
        <v>2</v>
      </c>
      <c r="O207" s="22">
        <v>0</v>
      </c>
      <c r="P207" s="20">
        <v>0</v>
      </c>
      <c r="Q207" s="23">
        <v>0</v>
      </c>
      <c r="R207" s="20">
        <v>0</v>
      </c>
      <c r="S207" s="20">
        <v>0</v>
      </c>
      <c r="T207" s="18">
        <v>0</v>
      </c>
      <c r="U207" s="24"/>
      <c r="V207" s="25">
        <v>0</v>
      </c>
    </row>
    <row r="208" spans="1:22" ht="26.25">
      <c r="A208" s="67">
        <v>1966</v>
      </c>
      <c r="B208" s="15"/>
      <c r="C208" s="16">
        <v>202</v>
      </c>
      <c r="D208" s="16">
        <v>202</v>
      </c>
      <c r="E208" s="16" t="s">
        <v>3284</v>
      </c>
      <c r="F208" s="17" t="s">
        <v>24</v>
      </c>
      <c r="G208" s="18">
        <v>1</v>
      </c>
      <c r="H208" s="19">
        <v>2</v>
      </c>
      <c r="I208" s="19"/>
      <c r="J208" s="19"/>
      <c r="K208" s="19"/>
      <c r="L208" s="20">
        <v>2</v>
      </c>
      <c r="M208" s="21">
        <v>2</v>
      </c>
      <c r="N208" s="22">
        <v>2</v>
      </c>
      <c r="O208" s="22">
        <v>0</v>
      </c>
      <c r="P208" s="20">
        <v>0</v>
      </c>
      <c r="Q208" s="23">
        <v>0</v>
      </c>
      <c r="R208" s="20">
        <v>0</v>
      </c>
      <c r="S208" s="20">
        <v>0</v>
      </c>
      <c r="T208" s="18">
        <v>0</v>
      </c>
      <c r="U208" s="24"/>
      <c r="V208" s="25">
        <v>0</v>
      </c>
    </row>
    <row r="209" spans="1:22" ht="26.25">
      <c r="A209" s="66">
        <v>1967</v>
      </c>
      <c r="B209" s="15"/>
      <c r="C209" s="16">
        <v>203</v>
      </c>
      <c r="D209" s="16">
        <v>203</v>
      </c>
      <c r="E209" s="16" t="s">
        <v>3285</v>
      </c>
      <c r="F209" s="17" t="s">
        <v>24</v>
      </c>
      <c r="G209" s="18">
        <v>1</v>
      </c>
      <c r="H209" s="19">
        <v>8</v>
      </c>
      <c r="I209" s="19"/>
      <c r="J209" s="19"/>
      <c r="K209" s="19"/>
      <c r="L209" s="20">
        <v>8</v>
      </c>
      <c r="M209" s="21">
        <v>8</v>
      </c>
      <c r="N209" s="22">
        <v>8</v>
      </c>
      <c r="O209" s="22">
        <v>0</v>
      </c>
      <c r="P209" s="20">
        <v>0</v>
      </c>
      <c r="Q209" s="23">
        <v>0</v>
      </c>
      <c r="R209" s="20">
        <v>0</v>
      </c>
      <c r="S209" s="20">
        <v>0</v>
      </c>
      <c r="T209" s="18">
        <v>0</v>
      </c>
      <c r="U209" s="24"/>
      <c r="V209" s="25">
        <v>0</v>
      </c>
    </row>
    <row r="210" spans="1:22" ht="26.25">
      <c r="A210" s="66">
        <v>1968</v>
      </c>
      <c r="B210" s="15"/>
      <c r="C210" s="16">
        <v>204</v>
      </c>
      <c r="D210" s="16">
        <v>204</v>
      </c>
      <c r="E210" s="16" t="s">
        <v>3286</v>
      </c>
      <c r="F210" s="17" t="s">
        <v>24</v>
      </c>
      <c r="G210" s="18">
        <v>1</v>
      </c>
      <c r="H210" s="19">
        <v>42</v>
      </c>
      <c r="I210" s="19"/>
      <c r="J210" s="19"/>
      <c r="K210" s="19"/>
      <c r="L210" s="20">
        <v>42</v>
      </c>
      <c r="M210" s="21">
        <v>42</v>
      </c>
      <c r="N210" s="22">
        <v>42</v>
      </c>
      <c r="O210" s="22">
        <v>0</v>
      </c>
      <c r="P210" s="20">
        <v>0</v>
      </c>
      <c r="Q210" s="23">
        <v>0</v>
      </c>
      <c r="R210" s="20">
        <v>0</v>
      </c>
      <c r="S210" s="20">
        <v>0</v>
      </c>
      <c r="T210" s="18">
        <v>0</v>
      </c>
      <c r="U210" s="24"/>
      <c r="V210" s="25">
        <v>0</v>
      </c>
    </row>
    <row r="211" spans="1:22" ht="26.25">
      <c r="A211" s="67">
        <v>1969</v>
      </c>
      <c r="B211" s="15"/>
      <c r="C211" s="16">
        <v>205</v>
      </c>
      <c r="D211" s="16">
        <v>205</v>
      </c>
      <c r="E211" s="16" t="s">
        <v>3287</v>
      </c>
      <c r="F211" s="17" t="s">
        <v>24</v>
      </c>
      <c r="G211" s="18">
        <v>1</v>
      </c>
      <c r="H211" s="19"/>
      <c r="I211" s="19"/>
      <c r="J211" s="19"/>
      <c r="K211" s="19"/>
      <c r="L211" s="20">
        <v>0</v>
      </c>
      <c r="M211" s="21">
        <v>0</v>
      </c>
      <c r="N211" s="22">
        <v>0</v>
      </c>
      <c r="O211" s="22">
        <v>0</v>
      </c>
      <c r="P211" s="20">
        <v>0</v>
      </c>
      <c r="Q211" s="23">
        <v>0</v>
      </c>
      <c r="R211" s="20">
        <v>0</v>
      </c>
      <c r="S211" s="20">
        <v>0</v>
      </c>
      <c r="T211" s="18">
        <v>0</v>
      </c>
      <c r="U211" s="24"/>
      <c r="V211" s="25">
        <v>0</v>
      </c>
    </row>
    <row r="212" spans="1:22" ht="26.25">
      <c r="A212" s="67">
        <v>1630</v>
      </c>
      <c r="B212" s="15"/>
      <c r="C212" s="16">
        <v>206</v>
      </c>
      <c r="D212" s="16">
        <v>206</v>
      </c>
      <c r="E212" s="16" t="s">
        <v>3288</v>
      </c>
      <c r="F212" s="17" t="s">
        <v>24</v>
      </c>
      <c r="G212" s="18">
        <v>1</v>
      </c>
      <c r="H212" s="19">
        <v>9</v>
      </c>
      <c r="I212" s="19"/>
      <c r="J212" s="19"/>
      <c r="K212" s="19"/>
      <c r="L212" s="20">
        <v>9</v>
      </c>
      <c r="M212" s="21">
        <v>9</v>
      </c>
      <c r="N212" s="22">
        <v>9</v>
      </c>
      <c r="O212" s="22">
        <v>0</v>
      </c>
      <c r="P212" s="20">
        <v>0</v>
      </c>
      <c r="Q212" s="23">
        <v>0</v>
      </c>
      <c r="R212" s="20">
        <v>0</v>
      </c>
      <c r="S212" s="20">
        <v>0</v>
      </c>
      <c r="T212" s="18">
        <v>0</v>
      </c>
      <c r="U212" s="24"/>
      <c r="V212" s="25">
        <v>0</v>
      </c>
    </row>
    <row r="213" spans="1:22" ht="26.25">
      <c r="A213" s="66">
        <v>1631</v>
      </c>
      <c r="B213" s="15"/>
      <c r="C213" s="16">
        <v>207</v>
      </c>
      <c r="D213" s="16">
        <v>207</v>
      </c>
      <c r="E213" s="16" t="s">
        <v>3289</v>
      </c>
      <c r="F213" s="17" t="s">
        <v>24</v>
      </c>
      <c r="G213" s="18">
        <v>1</v>
      </c>
      <c r="H213" s="19">
        <v>2</v>
      </c>
      <c r="I213" s="19"/>
      <c r="J213" s="19">
        <v>300</v>
      </c>
      <c r="K213" s="19"/>
      <c r="L213" s="20">
        <v>2</v>
      </c>
      <c r="M213" s="21">
        <v>2</v>
      </c>
      <c r="N213" s="22">
        <v>2</v>
      </c>
      <c r="O213" s="22">
        <v>0</v>
      </c>
      <c r="P213" s="20">
        <v>0</v>
      </c>
      <c r="Q213" s="23">
        <v>300</v>
      </c>
      <c r="R213" s="20">
        <v>300</v>
      </c>
      <c r="S213" s="20">
        <v>300</v>
      </c>
      <c r="T213" s="18">
        <v>600</v>
      </c>
      <c r="U213" s="24"/>
      <c r="V213" s="25">
        <v>0</v>
      </c>
    </row>
    <row r="214" spans="1:22" ht="26.25">
      <c r="A214" s="66">
        <v>1352</v>
      </c>
      <c r="B214" s="15"/>
      <c r="C214" s="16">
        <v>208</v>
      </c>
      <c r="D214" s="16">
        <v>208</v>
      </c>
      <c r="E214" s="16" t="s">
        <v>3290</v>
      </c>
      <c r="F214" s="17" t="s">
        <v>24</v>
      </c>
      <c r="G214" s="18">
        <v>1</v>
      </c>
      <c r="H214" s="19">
        <v>1</v>
      </c>
      <c r="I214" s="19"/>
      <c r="J214" s="19">
        <v>100</v>
      </c>
      <c r="K214" s="19"/>
      <c r="L214" s="20">
        <v>1</v>
      </c>
      <c r="M214" s="21">
        <v>1</v>
      </c>
      <c r="N214" s="22">
        <v>1</v>
      </c>
      <c r="O214" s="22">
        <v>0</v>
      </c>
      <c r="P214" s="20">
        <v>0</v>
      </c>
      <c r="Q214" s="23">
        <v>100</v>
      </c>
      <c r="R214" s="20">
        <v>100</v>
      </c>
      <c r="S214" s="20">
        <v>100</v>
      </c>
      <c r="T214" s="18">
        <v>100</v>
      </c>
      <c r="U214" s="24"/>
      <c r="V214" s="25">
        <v>0</v>
      </c>
    </row>
    <row r="215" spans="1:22" ht="26.25">
      <c r="A215" s="67">
        <v>1354</v>
      </c>
      <c r="B215" s="15"/>
      <c r="C215" s="16">
        <v>209</v>
      </c>
      <c r="D215" s="16">
        <v>209</v>
      </c>
      <c r="E215" s="16" t="s">
        <v>3291</v>
      </c>
      <c r="F215" s="17" t="s">
        <v>1198</v>
      </c>
      <c r="G215" s="18">
        <v>100</v>
      </c>
      <c r="H215" s="19">
        <v>90</v>
      </c>
      <c r="I215" s="19">
        <v>1</v>
      </c>
      <c r="J215" s="19"/>
      <c r="K215" s="19"/>
      <c r="L215" s="20">
        <v>190</v>
      </c>
      <c r="M215" s="21">
        <v>1.9</v>
      </c>
      <c r="N215" s="22">
        <v>89.999999999999986</v>
      </c>
      <c r="O215" s="22">
        <v>1</v>
      </c>
      <c r="P215" s="20">
        <v>0</v>
      </c>
      <c r="Q215" s="23">
        <v>0</v>
      </c>
      <c r="R215" s="20">
        <v>0</v>
      </c>
      <c r="S215" s="20">
        <v>0</v>
      </c>
      <c r="T215" s="18">
        <v>0</v>
      </c>
      <c r="U215" s="24"/>
      <c r="V215" s="25">
        <v>0</v>
      </c>
    </row>
    <row r="216" spans="1:22" ht="26.25">
      <c r="A216" s="66">
        <v>1632</v>
      </c>
      <c r="B216" s="15"/>
      <c r="C216" s="16">
        <v>210</v>
      </c>
      <c r="D216" s="16">
        <v>210</v>
      </c>
      <c r="E216" s="16" t="s">
        <v>3289</v>
      </c>
      <c r="F216" s="17" t="s">
        <v>24</v>
      </c>
      <c r="G216" s="18">
        <v>1</v>
      </c>
      <c r="H216" s="19"/>
      <c r="I216" s="19"/>
      <c r="J216" s="19"/>
      <c r="K216" s="19"/>
      <c r="L216" s="20">
        <v>0</v>
      </c>
      <c r="M216" s="21">
        <v>0</v>
      </c>
      <c r="N216" s="22">
        <v>0</v>
      </c>
      <c r="O216" s="22">
        <v>0</v>
      </c>
      <c r="P216" s="20">
        <v>0</v>
      </c>
      <c r="Q216" s="23">
        <v>0</v>
      </c>
      <c r="R216" s="20">
        <v>0</v>
      </c>
      <c r="S216" s="20">
        <v>0</v>
      </c>
      <c r="T216" s="18">
        <v>0</v>
      </c>
      <c r="U216" s="24" t="s">
        <v>3292</v>
      </c>
      <c r="V216" s="25">
        <v>0</v>
      </c>
    </row>
    <row r="217" spans="1:22" ht="26.25">
      <c r="A217" s="67">
        <v>1633</v>
      </c>
      <c r="B217" s="15"/>
      <c r="C217" s="16">
        <v>211</v>
      </c>
      <c r="D217" s="16">
        <v>211</v>
      </c>
      <c r="E217" s="16" t="s">
        <v>3293</v>
      </c>
      <c r="F217" s="17" t="s">
        <v>24</v>
      </c>
      <c r="G217" s="18">
        <v>1</v>
      </c>
      <c r="H217" s="19">
        <v>4</v>
      </c>
      <c r="I217" s="19"/>
      <c r="J217" s="19"/>
      <c r="K217" s="19"/>
      <c r="L217" s="20">
        <v>4</v>
      </c>
      <c r="M217" s="21">
        <v>4</v>
      </c>
      <c r="N217" s="22">
        <v>4</v>
      </c>
      <c r="O217" s="22">
        <v>0</v>
      </c>
      <c r="P217" s="20">
        <v>0</v>
      </c>
      <c r="Q217" s="23">
        <v>0</v>
      </c>
      <c r="R217" s="20">
        <v>0</v>
      </c>
      <c r="S217" s="20">
        <v>0</v>
      </c>
      <c r="T217" s="18">
        <v>0</v>
      </c>
      <c r="U217" s="24"/>
      <c r="V217" s="25">
        <v>0</v>
      </c>
    </row>
    <row r="218" spans="1:22" ht="26.25">
      <c r="A218" s="66">
        <v>1353</v>
      </c>
      <c r="B218" s="15"/>
      <c r="C218" s="16">
        <v>212</v>
      </c>
      <c r="D218" s="16">
        <v>212</v>
      </c>
      <c r="E218" s="16" t="s">
        <v>3294</v>
      </c>
      <c r="F218" s="17" t="s">
        <v>1198</v>
      </c>
      <c r="G218" s="18">
        <v>1000</v>
      </c>
      <c r="H218" s="19"/>
      <c r="I218" s="19">
        <v>1</v>
      </c>
      <c r="J218" s="19"/>
      <c r="K218" s="19"/>
      <c r="L218" s="20">
        <v>1000</v>
      </c>
      <c r="M218" s="21">
        <v>1</v>
      </c>
      <c r="N218" s="22">
        <v>0</v>
      </c>
      <c r="O218" s="22">
        <v>1</v>
      </c>
      <c r="P218" s="20">
        <v>0</v>
      </c>
      <c r="Q218" s="23">
        <v>0</v>
      </c>
      <c r="R218" s="20">
        <v>0</v>
      </c>
      <c r="S218" s="20">
        <v>0</v>
      </c>
      <c r="T218" s="18">
        <v>0</v>
      </c>
      <c r="U218" s="24"/>
      <c r="V218" s="25">
        <v>0</v>
      </c>
    </row>
    <row r="219" spans="1:22" ht="26.25">
      <c r="A219" s="66">
        <v>1355</v>
      </c>
      <c r="B219" s="15"/>
      <c r="C219" s="16">
        <v>213</v>
      </c>
      <c r="D219" s="16">
        <v>213</v>
      </c>
      <c r="E219" s="16" t="s">
        <v>3295</v>
      </c>
      <c r="F219" s="17" t="s">
        <v>1198</v>
      </c>
      <c r="G219" s="18">
        <v>480</v>
      </c>
      <c r="H219" s="19"/>
      <c r="I219" s="19">
        <v>1</v>
      </c>
      <c r="J219" s="19"/>
      <c r="K219" s="19"/>
      <c r="L219" s="20">
        <v>480</v>
      </c>
      <c r="M219" s="21">
        <v>1</v>
      </c>
      <c r="N219" s="22">
        <v>0</v>
      </c>
      <c r="O219" s="22">
        <v>1</v>
      </c>
      <c r="P219" s="20">
        <v>0</v>
      </c>
      <c r="Q219" s="23">
        <v>0</v>
      </c>
      <c r="R219" s="20">
        <v>0</v>
      </c>
      <c r="S219" s="20">
        <v>0</v>
      </c>
      <c r="T219" s="18">
        <v>0</v>
      </c>
      <c r="U219" s="24"/>
      <c r="V219" s="25">
        <v>0</v>
      </c>
    </row>
    <row r="220" spans="1:22" ht="26.25">
      <c r="A220" s="66">
        <v>1368</v>
      </c>
      <c r="B220" s="15"/>
      <c r="C220" s="16">
        <v>214</v>
      </c>
      <c r="D220" s="16">
        <v>214</v>
      </c>
      <c r="E220" s="16" t="s">
        <v>3296</v>
      </c>
      <c r="F220" s="17" t="s">
        <v>1198</v>
      </c>
      <c r="G220" s="18">
        <v>1</v>
      </c>
      <c r="H220" s="19">
        <v>11</v>
      </c>
      <c r="I220" s="19"/>
      <c r="J220" s="19"/>
      <c r="K220" s="19"/>
      <c r="L220" s="20">
        <v>11</v>
      </c>
      <c r="M220" s="21">
        <v>11</v>
      </c>
      <c r="N220" s="22">
        <v>11</v>
      </c>
      <c r="O220" s="22">
        <v>0</v>
      </c>
      <c r="P220" s="20">
        <v>0</v>
      </c>
      <c r="Q220" s="23">
        <v>0</v>
      </c>
      <c r="R220" s="20">
        <v>0</v>
      </c>
      <c r="S220" s="20">
        <v>0</v>
      </c>
      <c r="T220" s="18">
        <v>0</v>
      </c>
      <c r="U220" s="24"/>
      <c r="V220" s="25">
        <v>0</v>
      </c>
    </row>
    <row r="221" spans="1:22" ht="26.25">
      <c r="A221" s="67">
        <v>1369</v>
      </c>
      <c r="B221" s="15"/>
      <c r="C221" s="16">
        <v>215</v>
      </c>
      <c r="D221" s="16">
        <v>215</v>
      </c>
      <c r="E221" s="16" t="s">
        <v>3297</v>
      </c>
      <c r="F221" s="17" t="s">
        <v>1198</v>
      </c>
      <c r="G221" s="18">
        <v>1</v>
      </c>
      <c r="H221" s="19">
        <v>3</v>
      </c>
      <c r="I221" s="19"/>
      <c r="J221" s="19"/>
      <c r="K221" s="19"/>
      <c r="L221" s="20">
        <v>3</v>
      </c>
      <c r="M221" s="21">
        <v>3</v>
      </c>
      <c r="N221" s="22">
        <v>3</v>
      </c>
      <c r="O221" s="22">
        <v>0</v>
      </c>
      <c r="P221" s="20">
        <v>0</v>
      </c>
      <c r="Q221" s="23">
        <v>0</v>
      </c>
      <c r="R221" s="20">
        <v>0</v>
      </c>
      <c r="S221" s="20">
        <v>0</v>
      </c>
      <c r="T221" s="18">
        <v>0</v>
      </c>
      <c r="U221" s="24"/>
      <c r="V221" s="25">
        <v>0</v>
      </c>
    </row>
    <row r="222" spans="1:22" ht="26.25">
      <c r="A222" s="67">
        <v>1357</v>
      </c>
      <c r="B222" s="15"/>
      <c r="C222" s="16">
        <v>216</v>
      </c>
      <c r="D222" s="16">
        <v>216</v>
      </c>
      <c r="E222" s="16" t="s">
        <v>3298</v>
      </c>
      <c r="F222" s="17" t="s">
        <v>1198</v>
      </c>
      <c r="G222" s="18">
        <v>12</v>
      </c>
      <c r="H222" s="19">
        <v>7</v>
      </c>
      <c r="I222" s="19"/>
      <c r="J222" s="19"/>
      <c r="K222" s="19"/>
      <c r="L222" s="20">
        <v>7</v>
      </c>
      <c r="M222" s="21">
        <v>0.58333333333333337</v>
      </c>
      <c r="N222" s="22">
        <v>7</v>
      </c>
      <c r="O222" s="22">
        <v>0</v>
      </c>
      <c r="P222" s="20">
        <v>0</v>
      </c>
      <c r="Q222" s="23">
        <v>0</v>
      </c>
      <c r="R222" s="20">
        <v>0</v>
      </c>
      <c r="S222" s="20">
        <v>0</v>
      </c>
      <c r="T222" s="18">
        <v>0</v>
      </c>
      <c r="U222" s="24"/>
      <c r="V222" s="25">
        <v>0</v>
      </c>
    </row>
    <row r="223" spans="1:22" ht="26.25">
      <c r="A223" s="66">
        <v>1358</v>
      </c>
      <c r="B223" s="15"/>
      <c r="C223" s="16">
        <v>217</v>
      </c>
      <c r="D223" s="16">
        <v>217</v>
      </c>
      <c r="E223" s="16" t="s">
        <v>3299</v>
      </c>
      <c r="F223" s="17" t="s">
        <v>1198</v>
      </c>
      <c r="G223" s="18">
        <v>12</v>
      </c>
      <c r="H223" s="19"/>
      <c r="I223" s="19">
        <v>1</v>
      </c>
      <c r="J223" s="19"/>
      <c r="K223" s="19"/>
      <c r="L223" s="20">
        <v>12</v>
      </c>
      <c r="M223" s="21">
        <v>1</v>
      </c>
      <c r="N223" s="22">
        <v>0</v>
      </c>
      <c r="O223" s="22">
        <v>1</v>
      </c>
      <c r="P223" s="20">
        <v>0</v>
      </c>
      <c r="Q223" s="23">
        <v>0</v>
      </c>
      <c r="R223" s="20">
        <v>0</v>
      </c>
      <c r="S223" s="20">
        <v>0</v>
      </c>
      <c r="T223" s="18">
        <v>0</v>
      </c>
      <c r="U223" s="24"/>
      <c r="V223" s="25">
        <v>0</v>
      </c>
    </row>
    <row r="224" spans="1:22" ht="26.25">
      <c r="A224" s="66">
        <v>1359</v>
      </c>
      <c r="B224" s="15"/>
      <c r="C224" s="16">
        <v>218</v>
      </c>
      <c r="D224" s="16">
        <v>218</v>
      </c>
      <c r="E224" s="16" t="s">
        <v>3300</v>
      </c>
      <c r="F224" s="17" t="s">
        <v>1198</v>
      </c>
      <c r="G224" s="18">
        <v>12</v>
      </c>
      <c r="H224" s="19">
        <v>5</v>
      </c>
      <c r="I224" s="19"/>
      <c r="J224" s="19"/>
      <c r="K224" s="19"/>
      <c r="L224" s="20">
        <v>5</v>
      </c>
      <c r="M224" s="21">
        <v>0.41666666666666669</v>
      </c>
      <c r="N224" s="22">
        <v>5</v>
      </c>
      <c r="O224" s="22">
        <v>0</v>
      </c>
      <c r="P224" s="20">
        <v>0</v>
      </c>
      <c r="Q224" s="23">
        <v>0</v>
      </c>
      <c r="R224" s="20">
        <v>0</v>
      </c>
      <c r="S224" s="20">
        <v>0</v>
      </c>
      <c r="T224" s="18">
        <v>0</v>
      </c>
      <c r="U224" s="24"/>
      <c r="V224" s="25">
        <v>0</v>
      </c>
    </row>
    <row r="225" spans="1:22" ht="26.25">
      <c r="A225" s="67">
        <v>1360</v>
      </c>
      <c r="B225" s="15"/>
      <c r="C225" s="16">
        <v>219</v>
      </c>
      <c r="D225" s="16">
        <v>219</v>
      </c>
      <c r="E225" s="16" t="s">
        <v>3301</v>
      </c>
      <c r="F225" s="17" t="s">
        <v>24</v>
      </c>
      <c r="G225" s="18">
        <v>1</v>
      </c>
      <c r="H225" s="19">
        <v>1</v>
      </c>
      <c r="I225" s="19"/>
      <c r="J225" s="19"/>
      <c r="K225" s="19"/>
      <c r="L225" s="20">
        <v>1</v>
      </c>
      <c r="M225" s="21">
        <v>1</v>
      </c>
      <c r="N225" s="22">
        <v>1</v>
      </c>
      <c r="O225" s="22">
        <v>0</v>
      </c>
      <c r="P225" s="20">
        <v>0</v>
      </c>
      <c r="Q225" s="23">
        <v>0</v>
      </c>
      <c r="R225" s="20">
        <v>0</v>
      </c>
      <c r="S225" s="20">
        <v>0</v>
      </c>
      <c r="T225" s="18">
        <v>0</v>
      </c>
      <c r="U225" s="24"/>
      <c r="V225" s="25">
        <v>0</v>
      </c>
    </row>
    <row r="226" spans="1:22" ht="26.25">
      <c r="A226" s="66">
        <v>1361</v>
      </c>
      <c r="B226" s="15"/>
      <c r="C226" s="16">
        <v>220</v>
      </c>
      <c r="D226" s="16">
        <v>220</v>
      </c>
      <c r="E226" s="16" t="s">
        <v>3302</v>
      </c>
      <c r="F226" s="17" t="s">
        <v>24</v>
      </c>
      <c r="G226" s="18">
        <v>1</v>
      </c>
      <c r="H226" s="19">
        <v>7</v>
      </c>
      <c r="I226" s="19"/>
      <c r="J226" s="19"/>
      <c r="K226" s="19"/>
      <c r="L226" s="20">
        <v>7</v>
      </c>
      <c r="M226" s="21">
        <v>7</v>
      </c>
      <c r="N226" s="22">
        <v>7</v>
      </c>
      <c r="O226" s="22">
        <v>0</v>
      </c>
      <c r="P226" s="20">
        <v>0</v>
      </c>
      <c r="Q226" s="23">
        <v>0</v>
      </c>
      <c r="R226" s="20">
        <v>0</v>
      </c>
      <c r="S226" s="20">
        <v>0</v>
      </c>
      <c r="T226" s="18">
        <v>0</v>
      </c>
      <c r="U226" s="24"/>
      <c r="V226" s="25">
        <v>0</v>
      </c>
    </row>
    <row r="227" spans="1:22" ht="26.25">
      <c r="A227" s="66">
        <v>1503</v>
      </c>
      <c r="B227" s="15"/>
      <c r="C227" s="16">
        <v>221</v>
      </c>
      <c r="D227" s="16">
        <v>221</v>
      </c>
      <c r="E227" s="16" t="s">
        <v>3303</v>
      </c>
      <c r="F227" s="17" t="s">
        <v>24</v>
      </c>
      <c r="G227" s="18">
        <v>1</v>
      </c>
      <c r="H227" s="19">
        <v>12</v>
      </c>
      <c r="I227" s="19"/>
      <c r="J227" s="19"/>
      <c r="K227" s="19"/>
      <c r="L227" s="20">
        <v>12</v>
      </c>
      <c r="M227" s="21">
        <v>12</v>
      </c>
      <c r="N227" s="22">
        <v>12</v>
      </c>
      <c r="O227" s="22">
        <v>0</v>
      </c>
      <c r="P227" s="20">
        <v>0</v>
      </c>
      <c r="Q227" s="23">
        <v>0</v>
      </c>
      <c r="R227" s="20">
        <v>0</v>
      </c>
      <c r="S227" s="20">
        <v>0</v>
      </c>
      <c r="T227" s="18">
        <v>0</v>
      </c>
      <c r="U227" s="24"/>
      <c r="V227" s="25">
        <v>0</v>
      </c>
    </row>
    <row r="228" spans="1:22" ht="26.25">
      <c r="A228" s="67">
        <v>1510</v>
      </c>
      <c r="B228" s="15"/>
      <c r="C228" s="16">
        <v>222</v>
      </c>
      <c r="D228" s="16">
        <v>222</v>
      </c>
      <c r="E228" s="16" t="s">
        <v>3102</v>
      </c>
      <c r="F228" s="17" t="s">
        <v>24</v>
      </c>
      <c r="G228" s="18">
        <v>1</v>
      </c>
      <c r="H228" s="19">
        <v>12</v>
      </c>
      <c r="I228" s="19"/>
      <c r="J228" s="19"/>
      <c r="K228" s="19"/>
      <c r="L228" s="20">
        <v>12</v>
      </c>
      <c r="M228" s="21">
        <v>12</v>
      </c>
      <c r="N228" s="22">
        <v>12</v>
      </c>
      <c r="O228" s="22">
        <v>0</v>
      </c>
      <c r="P228" s="20">
        <v>0</v>
      </c>
      <c r="Q228" s="23">
        <v>0</v>
      </c>
      <c r="R228" s="20">
        <v>0</v>
      </c>
      <c r="S228" s="20">
        <v>0</v>
      </c>
      <c r="T228" s="18">
        <v>0</v>
      </c>
      <c r="U228" s="24" t="s">
        <v>3304</v>
      </c>
      <c r="V228" s="25">
        <v>0</v>
      </c>
    </row>
    <row r="229" spans="1:22" ht="26.25">
      <c r="A229" s="66">
        <v>1619</v>
      </c>
      <c r="B229" s="15"/>
      <c r="C229" s="16">
        <v>223</v>
      </c>
      <c r="D229" s="16">
        <v>223</v>
      </c>
      <c r="E229" s="16" t="s">
        <v>3305</v>
      </c>
      <c r="F229" s="17" t="s">
        <v>24</v>
      </c>
      <c r="G229" s="18">
        <v>1</v>
      </c>
      <c r="H229" s="19">
        <v>16</v>
      </c>
      <c r="I229" s="19"/>
      <c r="J229" s="19"/>
      <c r="K229" s="19"/>
      <c r="L229" s="20">
        <v>16</v>
      </c>
      <c r="M229" s="21">
        <v>16</v>
      </c>
      <c r="N229" s="22">
        <v>16</v>
      </c>
      <c r="O229" s="22">
        <v>0</v>
      </c>
      <c r="P229" s="20">
        <v>0</v>
      </c>
      <c r="Q229" s="23">
        <v>0</v>
      </c>
      <c r="R229" s="20">
        <v>0</v>
      </c>
      <c r="S229" s="20">
        <v>0</v>
      </c>
      <c r="T229" s="18">
        <v>0</v>
      </c>
      <c r="U229" s="24"/>
      <c r="V229" s="25">
        <v>0</v>
      </c>
    </row>
    <row r="230" spans="1:22" ht="26.25">
      <c r="A230" s="66">
        <v>1970</v>
      </c>
      <c r="B230" s="15"/>
      <c r="C230" s="16">
        <v>224</v>
      </c>
      <c r="D230" s="16">
        <v>224</v>
      </c>
      <c r="E230" s="16" t="s">
        <v>3306</v>
      </c>
      <c r="F230" s="17" t="s">
        <v>24</v>
      </c>
      <c r="G230" s="18">
        <v>1</v>
      </c>
      <c r="H230" s="19">
        <v>7</v>
      </c>
      <c r="I230" s="19"/>
      <c r="J230" s="19"/>
      <c r="K230" s="19"/>
      <c r="L230" s="20">
        <v>7</v>
      </c>
      <c r="M230" s="21">
        <v>7</v>
      </c>
      <c r="N230" s="22">
        <v>7</v>
      </c>
      <c r="O230" s="22">
        <v>0</v>
      </c>
      <c r="P230" s="20">
        <v>0</v>
      </c>
      <c r="Q230" s="23">
        <v>0</v>
      </c>
      <c r="R230" s="20">
        <v>0</v>
      </c>
      <c r="S230" s="20">
        <v>0</v>
      </c>
      <c r="T230" s="18">
        <v>0</v>
      </c>
      <c r="U230" s="24" t="s">
        <v>3307</v>
      </c>
      <c r="V230" s="25">
        <v>0</v>
      </c>
    </row>
    <row r="231" spans="1:22" ht="26.25">
      <c r="A231" s="66">
        <v>1496</v>
      </c>
      <c r="B231" s="15"/>
      <c r="C231" s="16">
        <v>225</v>
      </c>
      <c r="D231" s="16">
        <v>225</v>
      </c>
      <c r="E231" s="16" t="s">
        <v>3308</v>
      </c>
      <c r="F231" s="17" t="s">
        <v>24</v>
      </c>
      <c r="G231" s="18">
        <v>1</v>
      </c>
      <c r="H231" s="19">
        <v>3</v>
      </c>
      <c r="I231" s="19"/>
      <c r="J231" s="19"/>
      <c r="K231" s="19"/>
      <c r="L231" s="20">
        <v>3</v>
      </c>
      <c r="M231" s="21">
        <v>3</v>
      </c>
      <c r="N231" s="22">
        <v>3</v>
      </c>
      <c r="O231" s="22">
        <v>0</v>
      </c>
      <c r="P231" s="20">
        <v>0</v>
      </c>
      <c r="Q231" s="23">
        <v>0</v>
      </c>
      <c r="R231" s="20">
        <v>0</v>
      </c>
      <c r="S231" s="20">
        <v>0</v>
      </c>
      <c r="T231" s="18">
        <v>0</v>
      </c>
      <c r="U231" s="24"/>
      <c r="V231" s="25">
        <v>0</v>
      </c>
    </row>
    <row r="232" spans="1:22" ht="26.25">
      <c r="A232" s="66">
        <v>1506</v>
      </c>
      <c r="B232" s="15"/>
      <c r="C232" s="16">
        <v>226</v>
      </c>
      <c r="D232" s="16">
        <v>226</v>
      </c>
      <c r="E232" s="16" t="s">
        <v>3309</v>
      </c>
      <c r="F232" s="17" t="s">
        <v>24</v>
      </c>
      <c r="G232" s="18">
        <v>1</v>
      </c>
      <c r="H232" s="19">
        <v>1</v>
      </c>
      <c r="I232" s="19"/>
      <c r="J232" s="19"/>
      <c r="K232" s="19"/>
      <c r="L232" s="20">
        <v>1</v>
      </c>
      <c r="M232" s="21">
        <v>1</v>
      </c>
      <c r="N232" s="22">
        <v>1</v>
      </c>
      <c r="O232" s="22">
        <v>0</v>
      </c>
      <c r="P232" s="20">
        <v>0</v>
      </c>
      <c r="Q232" s="23">
        <v>0</v>
      </c>
      <c r="R232" s="20">
        <v>0</v>
      </c>
      <c r="S232" s="20">
        <v>0</v>
      </c>
      <c r="T232" s="18">
        <v>0</v>
      </c>
      <c r="U232" s="24"/>
      <c r="V232" s="25">
        <v>0</v>
      </c>
    </row>
    <row r="233" spans="1:22" ht="26.25">
      <c r="A233" s="67">
        <v>1507</v>
      </c>
      <c r="B233" s="15"/>
      <c r="C233" s="16">
        <v>227</v>
      </c>
      <c r="D233" s="16">
        <v>227</v>
      </c>
      <c r="E233" s="16" t="s">
        <v>2461</v>
      </c>
      <c r="F233" s="17" t="s">
        <v>24</v>
      </c>
      <c r="G233" s="18">
        <v>1</v>
      </c>
      <c r="H233" s="19">
        <v>1</v>
      </c>
      <c r="I233" s="19"/>
      <c r="J233" s="19"/>
      <c r="K233" s="19"/>
      <c r="L233" s="20">
        <v>1</v>
      </c>
      <c r="M233" s="21">
        <v>1</v>
      </c>
      <c r="N233" s="22">
        <v>1</v>
      </c>
      <c r="O233" s="22">
        <v>0</v>
      </c>
      <c r="P233" s="20">
        <v>0</v>
      </c>
      <c r="Q233" s="23">
        <v>0</v>
      </c>
      <c r="R233" s="20">
        <v>0</v>
      </c>
      <c r="S233" s="20">
        <v>0</v>
      </c>
      <c r="T233" s="18">
        <v>0</v>
      </c>
      <c r="U233" s="24"/>
      <c r="V233" s="25">
        <v>0</v>
      </c>
    </row>
    <row r="234" spans="1:22" ht="26.25">
      <c r="A234" s="67">
        <v>1465</v>
      </c>
      <c r="B234" s="15"/>
      <c r="C234" s="16">
        <v>228</v>
      </c>
      <c r="D234" s="16">
        <v>228</v>
      </c>
      <c r="E234" s="16" t="s">
        <v>3310</v>
      </c>
      <c r="F234" s="17" t="s">
        <v>24</v>
      </c>
      <c r="G234" s="18">
        <v>1</v>
      </c>
      <c r="H234" s="19">
        <v>1</v>
      </c>
      <c r="I234" s="19"/>
      <c r="J234" s="19"/>
      <c r="K234" s="19"/>
      <c r="L234" s="20">
        <v>1</v>
      </c>
      <c r="M234" s="21">
        <v>1</v>
      </c>
      <c r="N234" s="22">
        <v>1</v>
      </c>
      <c r="O234" s="22">
        <v>0</v>
      </c>
      <c r="P234" s="20">
        <v>0</v>
      </c>
      <c r="Q234" s="23">
        <v>0</v>
      </c>
      <c r="R234" s="20">
        <v>0</v>
      </c>
      <c r="S234" s="20">
        <v>0</v>
      </c>
      <c r="T234" s="18">
        <v>0</v>
      </c>
      <c r="U234" s="24"/>
      <c r="V234" s="25">
        <v>0</v>
      </c>
    </row>
    <row r="235" spans="1:22" ht="26.25">
      <c r="A235" s="67">
        <v>1957</v>
      </c>
      <c r="B235" s="15"/>
      <c r="C235" s="16">
        <v>229</v>
      </c>
      <c r="D235" s="16">
        <v>229</v>
      </c>
      <c r="E235" s="16" t="s">
        <v>3311</v>
      </c>
      <c r="F235" s="17" t="s">
        <v>24</v>
      </c>
      <c r="G235" s="18">
        <v>1</v>
      </c>
      <c r="H235" s="19">
        <v>18</v>
      </c>
      <c r="I235" s="19"/>
      <c r="J235" s="19"/>
      <c r="K235" s="19"/>
      <c r="L235" s="20">
        <v>18</v>
      </c>
      <c r="M235" s="21">
        <v>18</v>
      </c>
      <c r="N235" s="22">
        <v>18</v>
      </c>
      <c r="O235" s="22">
        <v>0</v>
      </c>
      <c r="P235" s="20">
        <v>0</v>
      </c>
      <c r="Q235" s="23">
        <v>0</v>
      </c>
      <c r="R235" s="20">
        <v>0</v>
      </c>
      <c r="S235" s="20">
        <v>0</v>
      </c>
      <c r="T235" s="18">
        <v>0</v>
      </c>
      <c r="U235" s="24"/>
      <c r="V235" s="25">
        <v>0</v>
      </c>
    </row>
    <row r="236" spans="1:22" ht="26.25">
      <c r="A236" s="66">
        <v>1956</v>
      </c>
      <c r="B236" s="15"/>
      <c r="C236" s="16">
        <v>230</v>
      </c>
      <c r="D236" s="16">
        <v>230</v>
      </c>
      <c r="E236" s="16" t="s">
        <v>3312</v>
      </c>
      <c r="F236" s="17" t="s">
        <v>24</v>
      </c>
      <c r="G236" s="18">
        <v>1</v>
      </c>
      <c r="H236" s="19">
        <v>20</v>
      </c>
      <c r="I236" s="19"/>
      <c r="J236" s="19"/>
      <c r="K236" s="19"/>
      <c r="L236" s="20">
        <v>20</v>
      </c>
      <c r="M236" s="21">
        <v>20</v>
      </c>
      <c r="N236" s="22">
        <v>20</v>
      </c>
      <c r="O236" s="22">
        <v>0</v>
      </c>
      <c r="P236" s="20">
        <v>0</v>
      </c>
      <c r="Q236" s="23">
        <v>0</v>
      </c>
      <c r="R236" s="20">
        <v>0</v>
      </c>
      <c r="S236" s="20">
        <v>0</v>
      </c>
      <c r="T236" s="18">
        <v>0</v>
      </c>
      <c r="U236" s="24"/>
      <c r="V236" s="25">
        <v>0</v>
      </c>
    </row>
    <row r="237" spans="1:22" ht="26.25">
      <c r="A237" s="66">
        <v>1971</v>
      </c>
      <c r="B237" s="15"/>
      <c r="C237" s="16">
        <v>231</v>
      </c>
      <c r="D237" s="16">
        <v>231</v>
      </c>
      <c r="E237" s="16" t="s">
        <v>3313</v>
      </c>
      <c r="F237" s="17" t="s">
        <v>24</v>
      </c>
      <c r="G237" s="18">
        <v>1</v>
      </c>
      <c r="H237" s="19">
        <v>184</v>
      </c>
      <c r="I237" s="19"/>
      <c r="J237" s="19"/>
      <c r="K237" s="19"/>
      <c r="L237" s="20">
        <v>184</v>
      </c>
      <c r="M237" s="21">
        <v>184</v>
      </c>
      <c r="N237" s="22">
        <v>184</v>
      </c>
      <c r="O237" s="22">
        <v>0</v>
      </c>
      <c r="P237" s="20">
        <v>0</v>
      </c>
      <c r="Q237" s="23">
        <v>0</v>
      </c>
      <c r="R237" s="20">
        <v>0</v>
      </c>
      <c r="S237" s="20">
        <v>0</v>
      </c>
      <c r="T237" s="18">
        <v>0</v>
      </c>
      <c r="U237" s="24"/>
      <c r="V237" s="25">
        <v>0</v>
      </c>
    </row>
    <row r="238" spans="1:22" ht="26.25">
      <c r="A238" s="67">
        <v>1972</v>
      </c>
      <c r="B238" s="15"/>
      <c r="C238" s="16">
        <v>232</v>
      </c>
      <c r="D238" s="16">
        <v>232</v>
      </c>
      <c r="E238" s="16" t="s">
        <v>3314</v>
      </c>
      <c r="F238" s="17" t="s">
        <v>24</v>
      </c>
      <c r="G238" s="18">
        <v>1</v>
      </c>
      <c r="H238" s="19">
        <v>9</v>
      </c>
      <c r="I238" s="19"/>
      <c r="J238" s="19"/>
      <c r="K238" s="19"/>
      <c r="L238" s="20">
        <v>9</v>
      </c>
      <c r="M238" s="21">
        <v>9</v>
      </c>
      <c r="N238" s="22">
        <v>9</v>
      </c>
      <c r="O238" s="22">
        <v>0</v>
      </c>
      <c r="P238" s="20">
        <v>0</v>
      </c>
      <c r="Q238" s="23">
        <v>0</v>
      </c>
      <c r="R238" s="20">
        <v>0</v>
      </c>
      <c r="S238" s="20">
        <v>0</v>
      </c>
      <c r="T238" s="18">
        <v>0</v>
      </c>
      <c r="U238" s="24"/>
      <c r="V238" s="25">
        <v>0</v>
      </c>
    </row>
    <row r="239" spans="1:22" ht="26.25">
      <c r="A239" s="66">
        <v>1950</v>
      </c>
      <c r="B239" s="15"/>
      <c r="C239" s="16">
        <v>233</v>
      </c>
      <c r="D239" s="16">
        <v>233</v>
      </c>
      <c r="E239" s="16" t="s">
        <v>3315</v>
      </c>
      <c r="F239" s="17" t="s">
        <v>1198</v>
      </c>
      <c r="G239" s="18">
        <v>12</v>
      </c>
      <c r="H239" s="19">
        <v>6</v>
      </c>
      <c r="I239" s="19">
        <v>3</v>
      </c>
      <c r="J239" s="19"/>
      <c r="K239" s="19"/>
      <c r="L239" s="20">
        <v>42</v>
      </c>
      <c r="M239" s="21">
        <v>3.5</v>
      </c>
      <c r="N239" s="22">
        <v>6</v>
      </c>
      <c r="O239" s="22">
        <v>3</v>
      </c>
      <c r="P239" s="20">
        <v>0</v>
      </c>
      <c r="Q239" s="23">
        <v>0</v>
      </c>
      <c r="R239" s="20">
        <v>0</v>
      </c>
      <c r="S239" s="20">
        <v>0</v>
      </c>
      <c r="T239" s="18">
        <v>0</v>
      </c>
      <c r="U239" s="24"/>
      <c r="V239" s="25">
        <v>0</v>
      </c>
    </row>
    <row r="240" spans="1:22" ht="26.25">
      <c r="A240" s="66">
        <v>1952</v>
      </c>
      <c r="B240" s="15"/>
      <c r="C240" s="16">
        <v>234</v>
      </c>
      <c r="D240" s="16">
        <v>234</v>
      </c>
      <c r="E240" s="16" t="s">
        <v>3316</v>
      </c>
      <c r="F240" s="17" t="s">
        <v>1198</v>
      </c>
      <c r="G240" s="18">
        <v>12</v>
      </c>
      <c r="H240" s="19">
        <v>3</v>
      </c>
      <c r="I240" s="19">
        <v>2</v>
      </c>
      <c r="J240" s="19"/>
      <c r="K240" s="19"/>
      <c r="L240" s="20">
        <v>27</v>
      </c>
      <c r="M240" s="21">
        <v>2.25</v>
      </c>
      <c r="N240" s="22">
        <v>3</v>
      </c>
      <c r="O240" s="22">
        <v>2</v>
      </c>
      <c r="P240" s="20">
        <v>0</v>
      </c>
      <c r="Q240" s="23">
        <v>0</v>
      </c>
      <c r="R240" s="20">
        <v>0</v>
      </c>
      <c r="S240" s="20">
        <v>0</v>
      </c>
      <c r="T240" s="18">
        <v>0</v>
      </c>
      <c r="U240" s="24"/>
      <c r="V240" s="25">
        <v>0</v>
      </c>
    </row>
    <row r="241" spans="1:22" ht="26.25">
      <c r="A241" s="66">
        <v>2156</v>
      </c>
      <c r="B241" s="15"/>
      <c r="C241" s="16">
        <v>235</v>
      </c>
      <c r="D241" s="16">
        <v>235</v>
      </c>
      <c r="E241" s="16" t="s">
        <v>3317</v>
      </c>
      <c r="F241" s="17" t="s">
        <v>24</v>
      </c>
      <c r="G241" s="18">
        <v>1</v>
      </c>
      <c r="H241" s="19">
        <v>9</v>
      </c>
      <c r="I241" s="19"/>
      <c r="J241" s="19"/>
      <c r="K241" s="19"/>
      <c r="L241" s="20">
        <v>9</v>
      </c>
      <c r="M241" s="21">
        <v>9</v>
      </c>
      <c r="N241" s="22">
        <v>9</v>
      </c>
      <c r="O241" s="22">
        <v>0</v>
      </c>
      <c r="P241" s="20">
        <v>0</v>
      </c>
      <c r="Q241" s="23">
        <v>0</v>
      </c>
      <c r="R241" s="20">
        <v>0</v>
      </c>
      <c r="S241" s="20">
        <v>0</v>
      </c>
      <c r="T241" s="18">
        <v>0</v>
      </c>
      <c r="U241" s="24"/>
      <c r="V241" s="25">
        <v>0</v>
      </c>
    </row>
    <row r="242" spans="1:22" ht="26.25">
      <c r="A242" s="67">
        <v>1708</v>
      </c>
      <c r="B242" s="15"/>
      <c r="C242" s="16">
        <v>236</v>
      </c>
      <c r="D242" s="16">
        <v>236</v>
      </c>
      <c r="E242" s="16" t="s">
        <v>3318</v>
      </c>
      <c r="F242" s="17" t="s">
        <v>24</v>
      </c>
      <c r="G242" s="18">
        <v>1</v>
      </c>
      <c r="H242" s="19">
        <v>18</v>
      </c>
      <c r="I242" s="19"/>
      <c r="J242" s="19"/>
      <c r="K242" s="19"/>
      <c r="L242" s="20">
        <v>18</v>
      </c>
      <c r="M242" s="21">
        <v>18</v>
      </c>
      <c r="N242" s="22">
        <v>18</v>
      </c>
      <c r="O242" s="22">
        <v>0</v>
      </c>
      <c r="P242" s="20">
        <v>0</v>
      </c>
      <c r="Q242" s="23">
        <v>0</v>
      </c>
      <c r="R242" s="20">
        <v>0</v>
      </c>
      <c r="S242" s="20">
        <v>0</v>
      </c>
      <c r="T242" s="18">
        <v>0</v>
      </c>
      <c r="U242" s="24"/>
      <c r="V242" s="25">
        <v>0</v>
      </c>
    </row>
    <row r="243" spans="1:22" ht="26.25">
      <c r="A243" s="67">
        <v>1708</v>
      </c>
      <c r="B243" s="15"/>
      <c r="C243" s="16">
        <v>237</v>
      </c>
      <c r="D243" s="16">
        <v>237</v>
      </c>
      <c r="E243" s="16" t="s">
        <v>3319</v>
      </c>
      <c r="F243" s="17" t="s">
        <v>24</v>
      </c>
      <c r="G243" s="18">
        <v>1</v>
      </c>
      <c r="H243" s="19">
        <v>11</v>
      </c>
      <c r="I243" s="19"/>
      <c r="J243" s="19"/>
      <c r="K243" s="19"/>
      <c r="L243" s="20">
        <v>11</v>
      </c>
      <c r="M243" s="21">
        <v>11</v>
      </c>
      <c r="N243" s="22">
        <v>11</v>
      </c>
      <c r="O243" s="22">
        <v>0</v>
      </c>
      <c r="P243" s="20">
        <v>0</v>
      </c>
      <c r="Q243" s="23">
        <v>0</v>
      </c>
      <c r="R243" s="20">
        <v>0</v>
      </c>
      <c r="S243" s="20">
        <v>0</v>
      </c>
      <c r="T243" s="18">
        <v>0</v>
      </c>
      <c r="U243" s="24"/>
      <c r="V243" s="25">
        <v>0</v>
      </c>
    </row>
    <row r="244" spans="1:22" ht="26.25">
      <c r="A244" s="66">
        <v>1308</v>
      </c>
      <c r="B244" s="15"/>
      <c r="C244" s="16">
        <v>238</v>
      </c>
      <c r="D244" s="16">
        <v>238</v>
      </c>
      <c r="E244" s="16" t="s">
        <v>3320</v>
      </c>
      <c r="F244" s="17" t="s">
        <v>24</v>
      </c>
      <c r="G244" s="18">
        <v>1</v>
      </c>
      <c r="H244" s="19">
        <v>141</v>
      </c>
      <c r="I244" s="19"/>
      <c r="J244" s="19"/>
      <c r="K244" s="19"/>
      <c r="L244" s="20">
        <v>141</v>
      </c>
      <c r="M244" s="21">
        <v>141</v>
      </c>
      <c r="N244" s="22">
        <v>141</v>
      </c>
      <c r="O244" s="22">
        <v>0</v>
      </c>
      <c r="P244" s="20">
        <v>0</v>
      </c>
      <c r="Q244" s="23">
        <v>0</v>
      </c>
      <c r="R244" s="20">
        <v>0</v>
      </c>
      <c r="S244" s="20">
        <v>0</v>
      </c>
      <c r="T244" s="18">
        <v>0</v>
      </c>
      <c r="U244" s="24"/>
      <c r="V244" s="25">
        <v>0</v>
      </c>
    </row>
    <row r="245" spans="1:22" ht="26.25">
      <c r="A245" s="67">
        <v>1309</v>
      </c>
      <c r="B245" s="15"/>
      <c r="C245" s="16">
        <v>239</v>
      </c>
      <c r="D245" s="16">
        <v>239</v>
      </c>
      <c r="E245" s="16" t="s">
        <v>3321</v>
      </c>
      <c r="F245" s="17" t="s">
        <v>24</v>
      </c>
      <c r="G245" s="18">
        <v>1</v>
      </c>
      <c r="H245" s="19">
        <v>93</v>
      </c>
      <c r="I245" s="19"/>
      <c r="J245" s="19"/>
      <c r="K245" s="19"/>
      <c r="L245" s="20">
        <v>93</v>
      </c>
      <c r="M245" s="21">
        <v>93</v>
      </c>
      <c r="N245" s="22">
        <v>93</v>
      </c>
      <c r="O245" s="22">
        <v>0</v>
      </c>
      <c r="P245" s="20">
        <v>0</v>
      </c>
      <c r="Q245" s="23">
        <v>0</v>
      </c>
      <c r="R245" s="20">
        <v>0</v>
      </c>
      <c r="S245" s="20">
        <v>0</v>
      </c>
      <c r="T245" s="18">
        <v>0</v>
      </c>
      <c r="U245" s="24"/>
      <c r="V245" s="25">
        <v>0</v>
      </c>
    </row>
    <row r="246" spans="1:22" ht="26.25">
      <c r="A246" s="67">
        <v>2161</v>
      </c>
      <c r="B246" s="15"/>
      <c r="C246" s="16">
        <v>240</v>
      </c>
      <c r="D246" s="16">
        <v>240</v>
      </c>
      <c r="E246" s="16" t="s">
        <v>1220</v>
      </c>
      <c r="F246" s="17" t="s">
        <v>1198</v>
      </c>
      <c r="G246" s="18">
        <v>100</v>
      </c>
      <c r="H246" s="19">
        <v>75</v>
      </c>
      <c r="I246" s="19">
        <v>6</v>
      </c>
      <c r="J246" s="19"/>
      <c r="K246" s="19"/>
      <c r="L246" s="20">
        <v>675</v>
      </c>
      <c r="M246" s="21">
        <v>6.75</v>
      </c>
      <c r="N246" s="22">
        <v>75</v>
      </c>
      <c r="O246" s="22">
        <v>6</v>
      </c>
      <c r="P246" s="20">
        <v>0</v>
      </c>
      <c r="Q246" s="23">
        <v>0</v>
      </c>
      <c r="R246" s="20">
        <v>0</v>
      </c>
      <c r="S246" s="20">
        <v>0</v>
      </c>
      <c r="T246" s="18">
        <v>0</v>
      </c>
      <c r="U246" s="24"/>
      <c r="V246" s="25">
        <v>0</v>
      </c>
    </row>
    <row r="247" spans="1:22" ht="26.25">
      <c r="A247" s="66">
        <v>2159</v>
      </c>
      <c r="B247" s="15"/>
      <c r="C247" s="16">
        <v>241</v>
      </c>
      <c r="D247" s="16">
        <v>241</v>
      </c>
      <c r="E247" s="16" t="s">
        <v>1472</v>
      </c>
      <c r="F247" s="17" t="s">
        <v>1183</v>
      </c>
      <c r="G247" s="18">
        <v>20</v>
      </c>
      <c r="H247" s="19">
        <v>10</v>
      </c>
      <c r="I247" s="19"/>
      <c r="J247" s="19"/>
      <c r="K247" s="19"/>
      <c r="L247" s="20">
        <v>10</v>
      </c>
      <c r="M247" s="21">
        <v>0.5</v>
      </c>
      <c r="N247" s="22">
        <v>10</v>
      </c>
      <c r="O247" s="22">
        <v>0</v>
      </c>
      <c r="P247" s="20">
        <v>0</v>
      </c>
      <c r="Q247" s="23">
        <v>0</v>
      </c>
      <c r="R247" s="20">
        <v>0</v>
      </c>
      <c r="S247" s="20">
        <v>0</v>
      </c>
      <c r="T247" s="18">
        <v>0</v>
      </c>
      <c r="U247" s="24"/>
      <c r="V247" s="25">
        <v>0</v>
      </c>
    </row>
    <row r="248" spans="1:22" ht="26.25">
      <c r="A248" s="66">
        <v>2162</v>
      </c>
      <c r="B248" s="15"/>
      <c r="C248" s="16">
        <v>242</v>
      </c>
      <c r="D248" s="16">
        <v>242</v>
      </c>
      <c r="E248" s="16" t="s">
        <v>3322</v>
      </c>
      <c r="F248" s="17" t="s">
        <v>1272</v>
      </c>
      <c r="G248" s="18">
        <v>20</v>
      </c>
      <c r="H248" s="19">
        <v>8</v>
      </c>
      <c r="I248" s="19"/>
      <c r="J248" s="19"/>
      <c r="K248" s="19"/>
      <c r="L248" s="20">
        <v>8</v>
      </c>
      <c r="M248" s="21">
        <v>0.4</v>
      </c>
      <c r="N248" s="22">
        <v>8</v>
      </c>
      <c r="O248" s="22">
        <v>0</v>
      </c>
      <c r="P248" s="20">
        <v>0</v>
      </c>
      <c r="Q248" s="23">
        <v>0</v>
      </c>
      <c r="R248" s="20">
        <v>0</v>
      </c>
      <c r="S248" s="20">
        <v>0</v>
      </c>
      <c r="T248" s="18">
        <v>0</v>
      </c>
      <c r="U248" s="24"/>
      <c r="V248" s="25">
        <v>0</v>
      </c>
    </row>
    <row r="249" spans="1:22" ht="26.25">
      <c r="A249" s="66">
        <v>2163</v>
      </c>
      <c r="B249" s="15"/>
      <c r="C249" s="16">
        <v>243</v>
      </c>
      <c r="D249" s="16">
        <v>243</v>
      </c>
      <c r="E249" s="16" t="s">
        <v>3323</v>
      </c>
      <c r="F249" s="17" t="s">
        <v>24</v>
      </c>
      <c r="G249" s="18">
        <v>1</v>
      </c>
      <c r="H249" s="19">
        <v>12</v>
      </c>
      <c r="I249" s="19"/>
      <c r="J249" s="19"/>
      <c r="K249" s="19"/>
      <c r="L249" s="20">
        <v>12</v>
      </c>
      <c r="M249" s="21">
        <v>12</v>
      </c>
      <c r="N249" s="22">
        <v>12</v>
      </c>
      <c r="O249" s="22">
        <v>0</v>
      </c>
      <c r="P249" s="20">
        <v>0</v>
      </c>
      <c r="Q249" s="23">
        <v>0</v>
      </c>
      <c r="R249" s="20">
        <v>0</v>
      </c>
      <c r="S249" s="20">
        <v>0</v>
      </c>
      <c r="T249" s="18">
        <v>0</v>
      </c>
      <c r="U249" s="24"/>
      <c r="V249" s="25">
        <v>0</v>
      </c>
    </row>
    <row r="250" spans="1:22" ht="26.25">
      <c r="A250" s="66">
        <v>1532</v>
      </c>
      <c r="B250" s="15"/>
      <c r="C250" s="16">
        <v>244</v>
      </c>
      <c r="D250" s="16">
        <v>244</v>
      </c>
      <c r="E250" s="16" t="s">
        <v>3324</v>
      </c>
      <c r="F250" s="17" t="s">
        <v>1198</v>
      </c>
      <c r="G250" s="18">
        <v>6</v>
      </c>
      <c r="H250" s="19">
        <v>3</v>
      </c>
      <c r="I250" s="19">
        <v>3</v>
      </c>
      <c r="J250" s="19"/>
      <c r="K250" s="19"/>
      <c r="L250" s="20">
        <v>21</v>
      </c>
      <c r="M250" s="21">
        <v>3.5</v>
      </c>
      <c r="N250" s="22">
        <v>3</v>
      </c>
      <c r="O250" s="22">
        <v>3</v>
      </c>
      <c r="P250" s="20">
        <v>0</v>
      </c>
      <c r="Q250" s="23">
        <v>0</v>
      </c>
      <c r="R250" s="20">
        <v>0</v>
      </c>
      <c r="S250" s="20">
        <v>0</v>
      </c>
      <c r="T250" s="18">
        <v>0</v>
      </c>
      <c r="U250" s="24"/>
      <c r="V250" s="25">
        <v>0</v>
      </c>
    </row>
    <row r="251" spans="1:22" ht="26.25">
      <c r="A251" s="66">
        <v>1532</v>
      </c>
      <c r="B251" s="15"/>
      <c r="C251" s="16">
        <v>245</v>
      </c>
      <c r="D251" s="16">
        <v>245</v>
      </c>
      <c r="E251" s="16" t="s">
        <v>3325</v>
      </c>
      <c r="F251" s="17" t="s">
        <v>1198</v>
      </c>
      <c r="G251" s="18">
        <v>12</v>
      </c>
      <c r="H251" s="19">
        <v>11</v>
      </c>
      <c r="I251" s="19">
        <v>5</v>
      </c>
      <c r="J251" s="19"/>
      <c r="K251" s="19"/>
      <c r="L251" s="20">
        <v>71</v>
      </c>
      <c r="M251" s="21">
        <v>5.916666666666667</v>
      </c>
      <c r="N251" s="22">
        <v>11.000000000000004</v>
      </c>
      <c r="O251" s="22">
        <v>5</v>
      </c>
      <c r="P251" s="20">
        <v>0</v>
      </c>
      <c r="Q251" s="23">
        <v>0</v>
      </c>
      <c r="R251" s="20">
        <v>0</v>
      </c>
      <c r="S251" s="20">
        <v>0</v>
      </c>
      <c r="T251" s="18">
        <v>0</v>
      </c>
      <c r="U251" s="24"/>
      <c r="V251" s="25">
        <v>0</v>
      </c>
    </row>
    <row r="252" spans="1:22" ht="26.25">
      <c r="A252" s="67">
        <v>1531</v>
      </c>
      <c r="B252" s="15"/>
      <c r="C252" s="16">
        <v>246</v>
      </c>
      <c r="D252" s="16">
        <v>246</v>
      </c>
      <c r="E252" s="16" t="s">
        <v>3326</v>
      </c>
      <c r="F252" s="17" t="s">
        <v>1198</v>
      </c>
      <c r="G252" s="18">
        <v>6</v>
      </c>
      <c r="H252" s="19"/>
      <c r="I252" s="19">
        <v>1</v>
      </c>
      <c r="J252" s="19"/>
      <c r="K252" s="19"/>
      <c r="L252" s="20">
        <v>6</v>
      </c>
      <c r="M252" s="21">
        <v>1</v>
      </c>
      <c r="N252" s="22">
        <v>0</v>
      </c>
      <c r="O252" s="22">
        <v>1</v>
      </c>
      <c r="P252" s="20">
        <v>0</v>
      </c>
      <c r="Q252" s="23">
        <v>0</v>
      </c>
      <c r="R252" s="20">
        <v>0</v>
      </c>
      <c r="S252" s="20">
        <v>0</v>
      </c>
      <c r="T252" s="18">
        <v>0</v>
      </c>
      <c r="U252" s="24"/>
      <c r="V252" s="25">
        <v>0</v>
      </c>
    </row>
    <row r="253" spans="1:22" ht="26.25">
      <c r="A253" s="67">
        <v>1525</v>
      </c>
      <c r="B253" s="15"/>
      <c r="C253" s="16">
        <v>247</v>
      </c>
      <c r="D253" s="16">
        <v>247</v>
      </c>
      <c r="E253" s="16" t="s">
        <v>3327</v>
      </c>
      <c r="F253" s="17" t="s">
        <v>1198</v>
      </c>
      <c r="G253" s="18">
        <v>6</v>
      </c>
      <c r="H253" s="19">
        <v>2</v>
      </c>
      <c r="I253" s="19">
        <v>2</v>
      </c>
      <c r="J253" s="19"/>
      <c r="K253" s="19"/>
      <c r="L253" s="20">
        <v>14</v>
      </c>
      <c r="M253" s="21">
        <v>2.3333333333333335</v>
      </c>
      <c r="N253" s="22">
        <v>2.0000000000000009</v>
      </c>
      <c r="O253" s="22">
        <v>2</v>
      </c>
      <c r="P253" s="20">
        <v>0</v>
      </c>
      <c r="Q253" s="23">
        <v>0</v>
      </c>
      <c r="R253" s="20">
        <v>0</v>
      </c>
      <c r="S253" s="20">
        <v>0</v>
      </c>
      <c r="T253" s="18">
        <v>0</v>
      </c>
      <c r="U253" s="24"/>
      <c r="V253" s="25">
        <v>0</v>
      </c>
    </row>
    <row r="254" spans="1:22" ht="26.25">
      <c r="A254" s="66">
        <v>1527</v>
      </c>
      <c r="B254" s="15"/>
      <c r="C254" s="16">
        <v>248</v>
      </c>
      <c r="D254" s="16">
        <v>248</v>
      </c>
      <c r="E254" s="16" t="s">
        <v>3328</v>
      </c>
      <c r="F254" s="17" t="s">
        <v>1198</v>
      </c>
      <c r="G254" s="18">
        <v>12</v>
      </c>
      <c r="H254" s="19">
        <v>9</v>
      </c>
      <c r="I254" s="19">
        <v>6</v>
      </c>
      <c r="J254" s="19"/>
      <c r="K254" s="19"/>
      <c r="L254" s="20">
        <v>81</v>
      </c>
      <c r="M254" s="21">
        <v>6.75</v>
      </c>
      <c r="N254" s="22">
        <v>9</v>
      </c>
      <c r="O254" s="22">
        <v>6</v>
      </c>
      <c r="P254" s="20">
        <v>0</v>
      </c>
      <c r="Q254" s="23">
        <v>0</v>
      </c>
      <c r="R254" s="20">
        <v>0</v>
      </c>
      <c r="S254" s="20">
        <v>0</v>
      </c>
      <c r="T254" s="18">
        <v>0</v>
      </c>
      <c r="U254" s="24"/>
      <c r="V254" s="25">
        <v>0</v>
      </c>
    </row>
    <row r="255" spans="1:22" ht="26.25">
      <c r="A255" s="66">
        <v>1529</v>
      </c>
      <c r="B255" s="15"/>
      <c r="C255" s="16">
        <v>249</v>
      </c>
      <c r="D255" s="16">
        <v>249</v>
      </c>
      <c r="E255" s="16" t="s">
        <v>3329</v>
      </c>
      <c r="F255" s="17" t="s">
        <v>1198</v>
      </c>
      <c r="G255" s="18">
        <v>12</v>
      </c>
      <c r="H255" s="19">
        <v>9</v>
      </c>
      <c r="I255" s="19"/>
      <c r="J255" s="19"/>
      <c r="K255" s="19"/>
      <c r="L255" s="20">
        <v>9</v>
      </c>
      <c r="M255" s="21">
        <v>0.75</v>
      </c>
      <c r="N255" s="22">
        <v>9</v>
      </c>
      <c r="O255" s="22">
        <v>0</v>
      </c>
      <c r="P255" s="20">
        <v>0</v>
      </c>
      <c r="Q255" s="23">
        <v>0</v>
      </c>
      <c r="R255" s="20">
        <v>0</v>
      </c>
      <c r="S255" s="20">
        <v>0</v>
      </c>
      <c r="T255" s="18">
        <v>0</v>
      </c>
      <c r="U255" s="24"/>
      <c r="V255" s="25">
        <v>0</v>
      </c>
    </row>
    <row r="256" spans="1:22" ht="26.25">
      <c r="A256" s="66">
        <v>1533</v>
      </c>
      <c r="B256" s="15"/>
      <c r="C256" s="16">
        <v>250</v>
      </c>
      <c r="D256" s="16">
        <v>250</v>
      </c>
      <c r="E256" s="16" t="s">
        <v>3330</v>
      </c>
      <c r="F256" s="17" t="s">
        <v>1198</v>
      </c>
      <c r="G256" s="18">
        <v>12</v>
      </c>
      <c r="H256" s="19">
        <v>2</v>
      </c>
      <c r="I256" s="19"/>
      <c r="J256" s="19"/>
      <c r="K256" s="19"/>
      <c r="L256" s="20">
        <v>2</v>
      </c>
      <c r="M256" s="21">
        <v>0.16666666666666666</v>
      </c>
      <c r="N256" s="22">
        <v>2</v>
      </c>
      <c r="O256" s="22">
        <v>0</v>
      </c>
      <c r="P256" s="20">
        <v>0</v>
      </c>
      <c r="Q256" s="23">
        <v>0</v>
      </c>
      <c r="R256" s="20">
        <v>0</v>
      </c>
      <c r="S256" s="20">
        <v>0</v>
      </c>
      <c r="T256" s="18">
        <v>0</v>
      </c>
      <c r="U256" s="24"/>
      <c r="V256" s="25">
        <v>0</v>
      </c>
    </row>
    <row r="257" spans="1:22" ht="26.25">
      <c r="A257" s="67">
        <v>2377</v>
      </c>
      <c r="B257" s="15"/>
      <c r="C257" s="16">
        <v>251</v>
      </c>
      <c r="D257" s="16">
        <v>251</v>
      </c>
      <c r="E257" s="16" t="s">
        <v>3331</v>
      </c>
      <c r="F257" s="17" t="s">
        <v>3332</v>
      </c>
      <c r="G257" s="18">
        <v>120</v>
      </c>
      <c r="H257" s="19"/>
      <c r="I257" s="19">
        <v>1</v>
      </c>
      <c r="J257" s="19"/>
      <c r="K257" s="19"/>
      <c r="L257" s="20">
        <v>120</v>
      </c>
      <c r="M257" s="21">
        <v>1</v>
      </c>
      <c r="N257" s="22">
        <v>0</v>
      </c>
      <c r="O257" s="22">
        <v>1</v>
      </c>
      <c r="P257" s="20">
        <v>0</v>
      </c>
      <c r="Q257" s="23">
        <v>0</v>
      </c>
      <c r="R257" s="20">
        <v>0</v>
      </c>
      <c r="S257" s="20">
        <v>0</v>
      </c>
      <c r="T257" s="18">
        <v>0</v>
      </c>
      <c r="U257" s="24"/>
      <c r="V257" s="25">
        <v>0</v>
      </c>
    </row>
    <row r="258" spans="1:22" ht="26.25">
      <c r="A258" s="66">
        <v>2376</v>
      </c>
      <c r="B258" s="15"/>
      <c r="C258" s="16">
        <v>252</v>
      </c>
      <c r="D258" s="16">
        <v>252</v>
      </c>
      <c r="E258" s="16" t="s">
        <v>3333</v>
      </c>
      <c r="F258" s="17" t="s">
        <v>1222</v>
      </c>
      <c r="G258" s="18">
        <v>100</v>
      </c>
      <c r="H258" s="19">
        <v>50</v>
      </c>
      <c r="I258" s="19">
        <v>7</v>
      </c>
      <c r="J258" s="19"/>
      <c r="K258" s="19"/>
      <c r="L258" s="20">
        <v>750</v>
      </c>
      <c r="M258" s="21">
        <v>7.5</v>
      </c>
      <c r="N258" s="22">
        <v>50</v>
      </c>
      <c r="O258" s="22">
        <v>7</v>
      </c>
      <c r="P258" s="20">
        <v>0</v>
      </c>
      <c r="Q258" s="23">
        <v>0</v>
      </c>
      <c r="R258" s="20">
        <v>0</v>
      </c>
      <c r="S258" s="20">
        <v>0</v>
      </c>
      <c r="T258" s="18">
        <v>0</v>
      </c>
      <c r="U258" s="24"/>
      <c r="V258" s="25">
        <v>0</v>
      </c>
    </row>
    <row r="259" spans="1:22" ht="26.25">
      <c r="A259" s="66">
        <v>2375</v>
      </c>
      <c r="B259" s="15"/>
      <c r="C259" s="16">
        <v>253</v>
      </c>
      <c r="D259" s="16">
        <v>253</v>
      </c>
      <c r="E259" s="16" t="s">
        <v>3334</v>
      </c>
      <c r="F259" s="17" t="s">
        <v>1222</v>
      </c>
      <c r="G259" s="18">
        <v>250</v>
      </c>
      <c r="H259" s="19"/>
      <c r="I259" s="19">
        <v>2</v>
      </c>
      <c r="J259" s="19"/>
      <c r="K259" s="19"/>
      <c r="L259" s="20">
        <v>500</v>
      </c>
      <c r="M259" s="21">
        <v>2</v>
      </c>
      <c r="N259" s="22">
        <v>0</v>
      </c>
      <c r="O259" s="22">
        <v>2</v>
      </c>
      <c r="P259" s="20">
        <v>0</v>
      </c>
      <c r="Q259" s="23">
        <v>0</v>
      </c>
      <c r="R259" s="20">
        <v>0</v>
      </c>
      <c r="S259" s="20">
        <v>0</v>
      </c>
      <c r="T259" s="18">
        <v>0</v>
      </c>
      <c r="U259" s="24"/>
      <c r="V259" s="25">
        <v>0</v>
      </c>
    </row>
    <row r="260" spans="1:22" ht="26.25">
      <c r="A260" s="67">
        <v>2374</v>
      </c>
      <c r="B260" s="15"/>
      <c r="C260" s="16">
        <v>254</v>
      </c>
      <c r="D260" s="16">
        <v>254</v>
      </c>
      <c r="E260" s="16" t="s">
        <v>3335</v>
      </c>
      <c r="F260" s="17" t="s">
        <v>1222</v>
      </c>
      <c r="G260" s="18">
        <v>500</v>
      </c>
      <c r="H260" s="19">
        <v>243</v>
      </c>
      <c r="I260" s="19">
        <v>3</v>
      </c>
      <c r="J260" s="19"/>
      <c r="K260" s="19"/>
      <c r="L260" s="20">
        <v>1743</v>
      </c>
      <c r="M260" s="21">
        <v>3.4860000000000002</v>
      </c>
      <c r="N260" s="22">
        <v>243.00000000000011</v>
      </c>
      <c r="O260" s="22">
        <v>3</v>
      </c>
      <c r="P260" s="20">
        <v>0</v>
      </c>
      <c r="Q260" s="23">
        <v>0</v>
      </c>
      <c r="R260" s="20">
        <v>0</v>
      </c>
      <c r="S260" s="20">
        <v>0</v>
      </c>
      <c r="T260" s="18">
        <v>0</v>
      </c>
      <c r="U260" s="24"/>
      <c r="V260" s="25">
        <v>0</v>
      </c>
    </row>
    <row r="261" spans="1:22" ht="26.25">
      <c r="A261" s="66">
        <v>2378</v>
      </c>
      <c r="B261" s="15"/>
      <c r="C261" s="16">
        <v>255</v>
      </c>
      <c r="D261" s="16">
        <v>255</v>
      </c>
      <c r="E261" s="16" t="s">
        <v>3336</v>
      </c>
      <c r="F261" s="17" t="s">
        <v>1222</v>
      </c>
      <c r="G261" s="18">
        <v>1</v>
      </c>
      <c r="H261" s="19">
        <v>1</v>
      </c>
      <c r="I261" s="19"/>
      <c r="J261" s="19"/>
      <c r="K261" s="19"/>
      <c r="L261" s="20">
        <v>1</v>
      </c>
      <c r="M261" s="21">
        <v>1</v>
      </c>
      <c r="N261" s="22">
        <v>1</v>
      </c>
      <c r="O261" s="22">
        <v>0</v>
      </c>
      <c r="P261" s="20">
        <v>0</v>
      </c>
      <c r="Q261" s="23">
        <v>0</v>
      </c>
      <c r="R261" s="20">
        <v>0</v>
      </c>
      <c r="S261" s="20">
        <v>0</v>
      </c>
      <c r="T261" s="18">
        <v>0</v>
      </c>
      <c r="U261" s="24"/>
      <c r="V261" s="25">
        <v>0</v>
      </c>
    </row>
    <row r="262" spans="1:22" ht="26.25">
      <c r="A262" s="67">
        <v>268</v>
      </c>
      <c r="B262" s="15"/>
      <c r="C262" s="16">
        <v>256</v>
      </c>
      <c r="D262" s="16">
        <v>256</v>
      </c>
      <c r="E262" s="16" t="s">
        <v>3337</v>
      </c>
      <c r="F262" s="17" t="s">
        <v>1222</v>
      </c>
      <c r="G262" s="18">
        <v>1</v>
      </c>
      <c r="H262" s="19">
        <v>1</v>
      </c>
      <c r="I262" s="19"/>
      <c r="J262" s="19"/>
      <c r="K262" s="19"/>
      <c r="L262" s="20">
        <v>1</v>
      </c>
      <c r="M262" s="21">
        <v>1</v>
      </c>
      <c r="N262" s="22">
        <v>1</v>
      </c>
      <c r="O262" s="22">
        <v>0</v>
      </c>
      <c r="P262" s="20">
        <v>0</v>
      </c>
      <c r="Q262" s="23">
        <v>0</v>
      </c>
      <c r="R262" s="20">
        <v>0</v>
      </c>
      <c r="S262" s="20">
        <v>0</v>
      </c>
      <c r="T262" s="18">
        <v>0</v>
      </c>
      <c r="U262" s="24"/>
      <c r="V262" s="25">
        <v>0</v>
      </c>
    </row>
    <row r="263" spans="1:22" ht="26.25">
      <c r="A263" s="66">
        <v>269</v>
      </c>
      <c r="B263" s="15"/>
      <c r="C263" s="16">
        <v>257</v>
      </c>
      <c r="D263" s="16">
        <v>257</v>
      </c>
      <c r="E263" s="16" t="s">
        <v>3338</v>
      </c>
      <c r="F263" s="17" t="s">
        <v>3332</v>
      </c>
      <c r="G263" s="18">
        <v>500</v>
      </c>
      <c r="H263" s="19"/>
      <c r="I263" s="19"/>
      <c r="J263" s="19"/>
      <c r="K263" s="19"/>
      <c r="L263" s="20">
        <v>0</v>
      </c>
      <c r="M263" s="21">
        <v>0</v>
      </c>
      <c r="N263" s="22">
        <v>0</v>
      </c>
      <c r="O263" s="22">
        <v>0</v>
      </c>
      <c r="P263" s="20">
        <v>0</v>
      </c>
      <c r="Q263" s="23">
        <v>0</v>
      </c>
      <c r="R263" s="20">
        <v>0</v>
      </c>
      <c r="S263" s="20">
        <v>0</v>
      </c>
      <c r="T263" s="18">
        <v>0</v>
      </c>
      <c r="U263" s="24"/>
      <c r="V263" s="25">
        <v>0</v>
      </c>
    </row>
    <row r="264" spans="1:22" ht="26.25">
      <c r="A264" s="66">
        <v>269</v>
      </c>
      <c r="B264" s="15"/>
      <c r="C264" s="16">
        <v>257</v>
      </c>
      <c r="D264" s="16">
        <v>258</v>
      </c>
      <c r="E264" s="16" t="s">
        <v>3339</v>
      </c>
      <c r="F264" s="17" t="s">
        <v>24</v>
      </c>
      <c r="G264" s="18">
        <v>1</v>
      </c>
      <c r="H264" s="19">
        <v>7</v>
      </c>
      <c r="I264" s="19"/>
      <c r="J264" s="19"/>
      <c r="K264" s="19"/>
      <c r="L264" s="20">
        <v>7</v>
      </c>
      <c r="M264" s="21">
        <v>7</v>
      </c>
      <c r="N264" s="22">
        <v>7</v>
      </c>
      <c r="O264" s="22">
        <v>0</v>
      </c>
      <c r="P264" s="20">
        <v>0</v>
      </c>
      <c r="Q264" s="23">
        <v>0</v>
      </c>
      <c r="R264" s="20">
        <v>0</v>
      </c>
      <c r="S264" s="20">
        <v>0</v>
      </c>
      <c r="T264" s="18">
        <v>0</v>
      </c>
      <c r="U264" s="24"/>
      <c r="V264" s="25">
        <v>0</v>
      </c>
    </row>
    <row r="265" spans="1:22" ht="26.25">
      <c r="A265" s="66">
        <v>1940</v>
      </c>
      <c r="B265" s="15"/>
      <c r="C265" s="16">
        <v>257</v>
      </c>
      <c r="D265" s="16">
        <v>259</v>
      </c>
      <c r="E265" s="16" t="s">
        <v>3340</v>
      </c>
      <c r="F265" s="17" t="s">
        <v>1185</v>
      </c>
      <c r="G265" s="18">
        <v>100</v>
      </c>
      <c r="H265" s="19">
        <v>83</v>
      </c>
      <c r="I265" s="19"/>
      <c r="J265" s="19"/>
      <c r="K265" s="19"/>
      <c r="L265" s="20">
        <v>83</v>
      </c>
      <c r="M265" s="21">
        <v>0.83</v>
      </c>
      <c r="N265" s="22">
        <v>83</v>
      </c>
      <c r="O265" s="22">
        <v>0</v>
      </c>
      <c r="P265" s="20">
        <v>0</v>
      </c>
      <c r="Q265" s="23">
        <v>0</v>
      </c>
      <c r="R265" s="20">
        <v>0</v>
      </c>
      <c r="S265" s="20">
        <v>0</v>
      </c>
      <c r="T265" s="18">
        <v>0</v>
      </c>
      <c r="U265" s="24"/>
      <c r="V265" s="25">
        <v>0</v>
      </c>
    </row>
    <row r="266" spans="1:22" ht="26.25">
      <c r="A266" s="67">
        <v>1942</v>
      </c>
      <c r="B266" s="15"/>
      <c r="C266" s="16">
        <v>258</v>
      </c>
      <c r="D266" s="16">
        <v>260</v>
      </c>
      <c r="E266" s="16" t="s">
        <v>3341</v>
      </c>
      <c r="F266" s="17" t="s">
        <v>24</v>
      </c>
      <c r="G266" s="18">
        <v>1</v>
      </c>
      <c r="H266" s="19">
        <v>6</v>
      </c>
      <c r="I266" s="19"/>
      <c r="J266" s="19"/>
      <c r="K266" s="19"/>
      <c r="L266" s="20">
        <v>6</v>
      </c>
      <c r="M266" s="21">
        <v>6</v>
      </c>
      <c r="N266" s="22">
        <v>6</v>
      </c>
      <c r="O266" s="22">
        <v>0</v>
      </c>
      <c r="P266" s="20">
        <v>0</v>
      </c>
      <c r="Q266" s="23">
        <v>0</v>
      </c>
      <c r="R266" s="20">
        <v>0</v>
      </c>
      <c r="S266" s="20">
        <v>0</v>
      </c>
      <c r="T266" s="18">
        <v>0</v>
      </c>
      <c r="U266" s="24"/>
      <c r="V266" s="25">
        <v>0</v>
      </c>
    </row>
    <row r="267" spans="1:22" ht="26.25">
      <c r="A267" s="66">
        <v>1943</v>
      </c>
      <c r="B267" s="15"/>
      <c r="C267" s="16">
        <v>259</v>
      </c>
      <c r="D267" s="16">
        <v>261</v>
      </c>
      <c r="E267" s="16" t="s">
        <v>3342</v>
      </c>
      <c r="F267" s="17" t="s">
        <v>24</v>
      </c>
      <c r="G267" s="18">
        <v>1</v>
      </c>
      <c r="H267" s="19">
        <v>6</v>
      </c>
      <c r="I267" s="19"/>
      <c r="J267" s="19"/>
      <c r="K267" s="19"/>
      <c r="L267" s="20">
        <v>6</v>
      </c>
      <c r="M267" s="21">
        <v>6</v>
      </c>
      <c r="N267" s="22">
        <v>6</v>
      </c>
      <c r="O267" s="22">
        <v>0</v>
      </c>
      <c r="P267" s="20">
        <v>0</v>
      </c>
      <c r="Q267" s="23">
        <v>0</v>
      </c>
      <c r="R267" s="20">
        <v>0</v>
      </c>
      <c r="S267" s="20">
        <v>0</v>
      </c>
      <c r="T267" s="18">
        <v>0</v>
      </c>
      <c r="U267" s="24"/>
      <c r="V267" s="25">
        <v>0</v>
      </c>
    </row>
    <row r="268" spans="1:22" ht="26.25">
      <c r="A268" s="66">
        <v>1944</v>
      </c>
      <c r="B268" s="15"/>
      <c r="C268" s="16">
        <v>260</v>
      </c>
      <c r="D268" s="16">
        <v>262</v>
      </c>
      <c r="E268" s="16" t="s">
        <v>3343</v>
      </c>
      <c r="F268" s="17" t="s">
        <v>24</v>
      </c>
      <c r="G268" s="18">
        <v>1</v>
      </c>
      <c r="H268" s="19">
        <v>94</v>
      </c>
      <c r="I268" s="19"/>
      <c r="J268" s="19"/>
      <c r="K268" s="19"/>
      <c r="L268" s="20">
        <v>94</v>
      </c>
      <c r="M268" s="21">
        <v>94</v>
      </c>
      <c r="N268" s="22">
        <v>94</v>
      </c>
      <c r="O268" s="22">
        <v>0</v>
      </c>
      <c r="P268" s="20">
        <v>0</v>
      </c>
      <c r="Q268" s="23">
        <v>0</v>
      </c>
      <c r="R268" s="20">
        <v>0</v>
      </c>
      <c r="S268" s="20">
        <v>0</v>
      </c>
      <c r="T268" s="18">
        <v>0</v>
      </c>
      <c r="U268" s="24"/>
      <c r="V268" s="25">
        <v>0</v>
      </c>
    </row>
    <row r="269" spans="1:22" ht="26.25">
      <c r="A269" s="67">
        <v>1945</v>
      </c>
      <c r="B269" s="15"/>
      <c r="C269" s="16">
        <v>261</v>
      </c>
      <c r="D269" s="16">
        <v>263</v>
      </c>
      <c r="E269" s="16" t="s">
        <v>3344</v>
      </c>
      <c r="F269" s="17" t="s">
        <v>24</v>
      </c>
      <c r="G269" s="18">
        <v>1</v>
      </c>
      <c r="H269" s="19">
        <v>57</v>
      </c>
      <c r="I269" s="19"/>
      <c r="J269" s="19"/>
      <c r="K269" s="19"/>
      <c r="L269" s="20">
        <v>57</v>
      </c>
      <c r="M269" s="21">
        <v>57</v>
      </c>
      <c r="N269" s="22">
        <v>57</v>
      </c>
      <c r="O269" s="22">
        <v>0</v>
      </c>
      <c r="P269" s="20">
        <v>0</v>
      </c>
      <c r="Q269" s="23">
        <v>0</v>
      </c>
      <c r="R269" s="20">
        <v>0</v>
      </c>
      <c r="S269" s="20">
        <v>0</v>
      </c>
      <c r="T269" s="18">
        <v>0</v>
      </c>
      <c r="U269" s="24"/>
      <c r="V269" s="25"/>
    </row>
    <row r="270" spans="1:22" ht="26.25">
      <c r="A270" s="66">
        <v>1946</v>
      </c>
      <c r="B270" s="15"/>
      <c r="C270" s="16">
        <v>262</v>
      </c>
      <c r="D270" s="16">
        <v>264</v>
      </c>
      <c r="E270" s="16" t="s">
        <v>3345</v>
      </c>
      <c r="F270" s="17" t="s">
        <v>24</v>
      </c>
      <c r="G270" s="18">
        <v>1</v>
      </c>
      <c r="H270" s="19">
        <v>38</v>
      </c>
      <c r="I270" s="19"/>
      <c r="J270" s="19"/>
      <c r="K270" s="19"/>
      <c r="L270" s="20">
        <v>38</v>
      </c>
      <c r="M270" s="21">
        <v>38</v>
      </c>
      <c r="N270" s="22">
        <v>38</v>
      </c>
      <c r="O270" s="22">
        <v>0</v>
      </c>
      <c r="P270" s="20">
        <v>0</v>
      </c>
      <c r="Q270" s="23">
        <v>0</v>
      </c>
      <c r="R270" s="20">
        <v>0</v>
      </c>
      <c r="S270" s="20">
        <v>0</v>
      </c>
      <c r="T270" s="18">
        <v>0</v>
      </c>
      <c r="U270" s="24"/>
      <c r="V270" s="25">
        <v>0</v>
      </c>
    </row>
    <row r="271" spans="1:22" ht="26.25">
      <c r="A271" s="66">
        <v>1947</v>
      </c>
      <c r="B271" s="15"/>
      <c r="C271" s="16">
        <v>263</v>
      </c>
      <c r="D271" s="16">
        <v>265</v>
      </c>
      <c r="E271" s="16" t="s">
        <v>3346</v>
      </c>
      <c r="F271" s="17" t="s">
        <v>24</v>
      </c>
      <c r="G271" s="18">
        <v>1</v>
      </c>
      <c r="H271" s="19">
        <v>77</v>
      </c>
      <c r="I271" s="19"/>
      <c r="J271" s="19"/>
      <c r="K271" s="19"/>
      <c r="L271" s="20">
        <v>77</v>
      </c>
      <c r="M271" s="21">
        <v>77</v>
      </c>
      <c r="N271" s="22">
        <v>77</v>
      </c>
      <c r="O271" s="22">
        <v>0</v>
      </c>
      <c r="P271" s="20">
        <v>0</v>
      </c>
      <c r="Q271" s="23">
        <v>0</v>
      </c>
      <c r="R271" s="20">
        <v>0</v>
      </c>
      <c r="S271" s="20">
        <v>0</v>
      </c>
      <c r="T271" s="18">
        <v>0</v>
      </c>
      <c r="U271" s="24"/>
      <c r="V271" s="25">
        <v>0</v>
      </c>
    </row>
    <row r="272" spans="1:22" ht="26.25">
      <c r="A272" s="67">
        <v>1948</v>
      </c>
      <c r="B272" s="15"/>
      <c r="C272" s="16">
        <v>263</v>
      </c>
      <c r="D272" s="16">
        <v>266</v>
      </c>
      <c r="E272" s="16" t="s">
        <v>3347</v>
      </c>
      <c r="F272" s="17" t="s">
        <v>24</v>
      </c>
      <c r="G272" s="18">
        <v>1</v>
      </c>
      <c r="H272" s="19">
        <v>24</v>
      </c>
      <c r="I272" s="19"/>
      <c r="J272" s="19"/>
      <c r="K272" s="19"/>
      <c r="L272" s="20">
        <v>24</v>
      </c>
      <c r="M272" s="21">
        <v>24</v>
      </c>
      <c r="N272" s="22">
        <v>24</v>
      </c>
      <c r="O272" s="22">
        <v>0</v>
      </c>
      <c r="P272" s="20">
        <v>0</v>
      </c>
      <c r="Q272" s="23">
        <v>0</v>
      </c>
      <c r="R272" s="20">
        <v>0</v>
      </c>
      <c r="S272" s="20">
        <v>0</v>
      </c>
      <c r="T272" s="18">
        <v>0</v>
      </c>
      <c r="U272" s="24"/>
      <c r="V272" s="25">
        <v>0</v>
      </c>
    </row>
    <row r="273" spans="1:22" ht="26.25">
      <c r="A273" s="66">
        <v>1949</v>
      </c>
      <c r="B273" s="15"/>
      <c r="C273" s="16">
        <v>264</v>
      </c>
      <c r="D273" s="16">
        <v>267</v>
      </c>
      <c r="E273" s="16" t="s">
        <v>3348</v>
      </c>
      <c r="F273" s="17" t="s">
        <v>1222</v>
      </c>
      <c r="G273" s="18">
        <v>1</v>
      </c>
      <c r="H273" s="19"/>
      <c r="I273" s="19">
        <v>1</v>
      </c>
      <c r="J273" s="19"/>
      <c r="K273" s="19"/>
      <c r="L273" s="20">
        <v>1</v>
      </c>
      <c r="M273" s="21">
        <v>1</v>
      </c>
      <c r="N273" s="22">
        <v>1</v>
      </c>
      <c r="O273" s="22">
        <v>0</v>
      </c>
      <c r="P273" s="20">
        <v>0</v>
      </c>
      <c r="Q273" s="23">
        <v>0</v>
      </c>
      <c r="R273" s="20">
        <v>0</v>
      </c>
      <c r="S273" s="20">
        <v>0</v>
      </c>
      <c r="T273" s="18">
        <v>0</v>
      </c>
      <c r="U273" s="24"/>
      <c r="V273" s="25">
        <v>0</v>
      </c>
    </row>
    <row r="274" spans="1:22" ht="26.25">
      <c r="A274" s="66">
        <v>1004</v>
      </c>
      <c r="B274" s="15"/>
      <c r="C274" s="16"/>
      <c r="D274" s="16">
        <v>268</v>
      </c>
      <c r="E274" s="16" t="s">
        <v>3349</v>
      </c>
      <c r="F274" s="17" t="s">
        <v>1183</v>
      </c>
      <c r="G274" s="18">
        <v>12</v>
      </c>
      <c r="H274" s="19">
        <v>11</v>
      </c>
      <c r="I274" s="19">
        <v>1</v>
      </c>
      <c r="J274" s="19"/>
      <c r="K274" s="19"/>
      <c r="L274" s="20">
        <v>23</v>
      </c>
      <c r="M274" s="21">
        <v>1.9166666666666667</v>
      </c>
      <c r="N274" s="22">
        <v>11</v>
      </c>
      <c r="O274" s="22">
        <v>1</v>
      </c>
      <c r="P274" s="20">
        <v>0</v>
      </c>
      <c r="Q274" s="23">
        <v>0</v>
      </c>
      <c r="R274" s="20">
        <v>0</v>
      </c>
      <c r="S274" s="20">
        <v>0</v>
      </c>
      <c r="T274" s="18">
        <v>0</v>
      </c>
      <c r="U274" s="24"/>
      <c r="V274" s="25">
        <v>0</v>
      </c>
    </row>
    <row r="275" spans="1:22" ht="26.25">
      <c r="A275" s="66">
        <v>1005</v>
      </c>
      <c r="B275" s="15"/>
      <c r="C275" s="16"/>
      <c r="D275" s="16"/>
      <c r="E275" s="16" t="s">
        <v>3349</v>
      </c>
      <c r="F275" s="17" t="s">
        <v>24</v>
      </c>
      <c r="G275" s="18">
        <v>1</v>
      </c>
      <c r="H275" s="19"/>
      <c r="I275" s="19"/>
      <c r="J275" s="19"/>
      <c r="K275" s="19"/>
      <c r="L275" s="20">
        <v>0</v>
      </c>
      <c r="M275" s="21">
        <v>0</v>
      </c>
      <c r="N275" s="22">
        <v>0</v>
      </c>
      <c r="O275" s="22">
        <v>0</v>
      </c>
      <c r="P275" s="20">
        <v>0</v>
      </c>
      <c r="Q275" s="23">
        <v>0</v>
      </c>
      <c r="R275" s="20">
        <v>0</v>
      </c>
      <c r="S275" s="20">
        <v>0</v>
      </c>
      <c r="T275" s="18">
        <v>0</v>
      </c>
      <c r="U275" s="24"/>
      <c r="V275" s="25">
        <v>0</v>
      </c>
    </row>
    <row r="276" spans="1:22" ht="26.25">
      <c r="A276" s="66">
        <v>1008</v>
      </c>
      <c r="B276" s="15"/>
      <c r="C276" s="16"/>
      <c r="D276" s="16">
        <v>269</v>
      </c>
      <c r="E276" s="16" t="s">
        <v>3350</v>
      </c>
      <c r="F276" s="17" t="s">
        <v>1185</v>
      </c>
      <c r="G276" s="18">
        <v>12</v>
      </c>
      <c r="H276" s="19">
        <v>9</v>
      </c>
      <c r="I276" s="19">
        <v>1</v>
      </c>
      <c r="J276" s="19"/>
      <c r="K276" s="19"/>
      <c r="L276" s="20">
        <v>21</v>
      </c>
      <c r="M276" s="21">
        <v>1.75</v>
      </c>
      <c r="N276" s="22">
        <v>9</v>
      </c>
      <c r="O276" s="22">
        <v>1</v>
      </c>
      <c r="P276" s="20">
        <v>0</v>
      </c>
      <c r="Q276" s="23">
        <v>0</v>
      </c>
      <c r="R276" s="20">
        <v>0</v>
      </c>
      <c r="S276" s="20">
        <v>0</v>
      </c>
      <c r="T276" s="18">
        <v>0</v>
      </c>
      <c r="U276" s="24"/>
      <c r="V276" s="25">
        <v>0</v>
      </c>
    </row>
    <row r="277" spans="1:22" ht="26.25">
      <c r="A277" s="67">
        <v>1009</v>
      </c>
      <c r="B277" s="15"/>
      <c r="C277" s="16"/>
      <c r="D277" s="16">
        <v>269</v>
      </c>
      <c r="E277" s="16" t="s">
        <v>3351</v>
      </c>
      <c r="F277" s="17" t="s">
        <v>24</v>
      </c>
      <c r="G277" s="18">
        <v>1</v>
      </c>
      <c r="H277" s="19"/>
      <c r="I277" s="19"/>
      <c r="J277" s="19"/>
      <c r="K277" s="19"/>
      <c r="L277" s="20">
        <v>0</v>
      </c>
      <c r="M277" s="21">
        <v>0</v>
      </c>
      <c r="N277" s="22">
        <v>0</v>
      </c>
      <c r="O277" s="22">
        <v>0</v>
      </c>
      <c r="P277" s="20">
        <v>0</v>
      </c>
      <c r="Q277" s="23">
        <v>0</v>
      </c>
      <c r="R277" s="20">
        <v>0</v>
      </c>
      <c r="S277" s="20">
        <v>0</v>
      </c>
      <c r="T277" s="18">
        <v>0</v>
      </c>
      <c r="U277" s="24"/>
      <c r="V277" s="25">
        <v>0</v>
      </c>
    </row>
    <row r="278" spans="1:22" ht="26.25">
      <c r="A278" s="67">
        <v>1069</v>
      </c>
      <c r="B278" s="15"/>
      <c r="C278" s="16"/>
      <c r="D278" s="16">
        <v>270</v>
      </c>
      <c r="E278" s="16" t="s">
        <v>3352</v>
      </c>
      <c r="F278" s="17" t="s">
        <v>1185</v>
      </c>
      <c r="G278" s="18">
        <v>12</v>
      </c>
      <c r="H278" s="19"/>
      <c r="I278" s="19">
        <v>2</v>
      </c>
      <c r="J278" s="19"/>
      <c r="K278" s="19"/>
      <c r="L278" s="20">
        <v>24</v>
      </c>
      <c r="M278" s="21">
        <v>2</v>
      </c>
      <c r="N278" s="22">
        <v>0</v>
      </c>
      <c r="O278" s="22">
        <v>2</v>
      </c>
      <c r="P278" s="20">
        <v>0</v>
      </c>
      <c r="Q278" s="23">
        <v>0</v>
      </c>
      <c r="R278" s="20">
        <v>0</v>
      </c>
      <c r="S278" s="20">
        <v>0</v>
      </c>
      <c r="T278" s="18">
        <v>0</v>
      </c>
      <c r="U278" s="24"/>
      <c r="V278" s="25">
        <v>0</v>
      </c>
    </row>
    <row r="279" spans="1:22" ht="26.25">
      <c r="A279" s="67">
        <v>1000</v>
      </c>
      <c r="B279" s="15"/>
      <c r="C279" s="16"/>
      <c r="D279" s="16">
        <v>271</v>
      </c>
      <c r="E279" s="16" t="s">
        <v>3353</v>
      </c>
      <c r="F279" s="17" t="s">
        <v>1185</v>
      </c>
      <c r="G279" s="18">
        <v>12</v>
      </c>
      <c r="H279" s="19">
        <v>2</v>
      </c>
      <c r="I279" s="19">
        <v>1</v>
      </c>
      <c r="J279" s="19"/>
      <c r="K279" s="19"/>
      <c r="L279" s="20">
        <v>14</v>
      </c>
      <c r="M279" s="21">
        <v>1.1666666666666667</v>
      </c>
      <c r="N279" s="22">
        <v>2.0000000000000009</v>
      </c>
      <c r="O279" s="22">
        <v>1</v>
      </c>
      <c r="P279" s="20">
        <v>0</v>
      </c>
      <c r="Q279" s="23">
        <v>0</v>
      </c>
      <c r="R279" s="20">
        <v>0</v>
      </c>
      <c r="S279" s="20">
        <v>0</v>
      </c>
      <c r="T279" s="18">
        <v>0</v>
      </c>
      <c r="U279" s="24"/>
      <c r="V279" s="25">
        <v>0</v>
      </c>
    </row>
    <row r="280" spans="1:22" ht="26.25">
      <c r="A280" s="66">
        <v>1001</v>
      </c>
      <c r="B280" s="15"/>
      <c r="C280" s="16"/>
      <c r="D280" s="16">
        <v>271</v>
      </c>
      <c r="E280" s="16" t="s">
        <v>1338</v>
      </c>
      <c r="F280" s="17" t="s">
        <v>24</v>
      </c>
      <c r="G280" s="18">
        <v>1</v>
      </c>
      <c r="H280" s="19"/>
      <c r="I280" s="19"/>
      <c r="J280" s="19"/>
      <c r="K280" s="19"/>
      <c r="L280" s="20">
        <v>0</v>
      </c>
      <c r="M280" s="21">
        <v>0</v>
      </c>
      <c r="N280" s="22">
        <v>0</v>
      </c>
      <c r="O280" s="22">
        <v>0</v>
      </c>
      <c r="P280" s="20">
        <v>0</v>
      </c>
      <c r="Q280" s="23">
        <v>0</v>
      </c>
      <c r="R280" s="20">
        <v>0</v>
      </c>
      <c r="S280" s="20">
        <v>0</v>
      </c>
      <c r="T280" s="18">
        <v>0</v>
      </c>
      <c r="U280" s="24"/>
      <c r="V280" s="25">
        <v>0</v>
      </c>
    </row>
    <row r="281" spans="1:22" ht="26.25">
      <c r="A281" s="67">
        <v>970</v>
      </c>
      <c r="B281" s="15"/>
      <c r="C281" s="16"/>
      <c r="D281" s="16">
        <v>272</v>
      </c>
      <c r="E281" s="16" t="s">
        <v>3354</v>
      </c>
      <c r="F281" s="17" t="s">
        <v>1185</v>
      </c>
      <c r="G281" s="18">
        <v>12</v>
      </c>
      <c r="H281" s="19">
        <v>7</v>
      </c>
      <c r="I281" s="19">
        <v>4</v>
      </c>
      <c r="J281" s="19"/>
      <c r="K281" s="19"/>
      <c r="L281" s="20">
        <v>55</v>
      </c>
      <c r="M281" s="21">
        <v>4.583333333333333</v>
      </c>
      <c r="N281" s="22">
        <v>6.9999999999999964</v>
      </c>
      <c r="O281" s="22">
        <v>4</v>
      </c>
      <c r="P281" s="20">
        <v>0</v>
      </c>
      <c r="Q281" s="23">
        <v>0</v>
      </c>
      <c r="R281" s="20">
        <v>0</v>
      </c>
      <c r="S281" s="20">
        <v>0</v>
      </c>
      <c r="T281" s="18">
        <v>0</v>
      </c>
      <c r="U281" s="24"/>
      <c r="V281" s="25">
        <v>0</v>
      </c>
    </row>
    <row r="282" spans="1:22" ht="26.25">
      <c r="A282" s="66">
        <v>971</v>
      </c>
      <c r="B282" s="15"/>
      <c r="C282" s="16"/>
      <c r="D282" s="16">
        <v>272</v>
      </c>
      <c r="E282" s="16" t="s">
        <v>3354</v>
      </c>
      <c r="F282" s="17" t="s">
        <v>24</v>
      </c>
      <c r="G282" s="18">
        <v>1</v>
      </c>
      <c r="H282" s="19"/>
      <c r="I282" s="19"/>
      <c r="J282" s="19"/>
      <c r="K282" s="19"/>
      <c r="L282" s="20">
        <v>0</v>
      </c>
      <c r="M282" s="21">
        <v>0</v>
      </c>
      <c r="N282" s="22">
        <v>0</v>
      </c>
      <c r="O282" s="22">
        <v>0</v>
      </c>
      <c r="P282" s="20">
        <v>0</v>
      </c>
      <c r="Q282" s="23">
        <v>0</v>
      </c>
      <c r="R282" s="20">
        <v>0</v>
      </c>
      <c r="S282" s="20">
        <v>0</v>
      </c>
      <c r="T282" s="18">
        <v>0</v>
      </c>
      <c r="U282" s="24"/>
      <c r="V282" s="25">
        <v>0</v>
      </c>
    </row>
    <row r="283" spans="1:22" ht="26.25">
      <c r="A283" s="66">
        <v>1016</v>
      </c>
      <c r="B283" s="15"/>
      <c r="C283" s="16"/>
      <c r="D283" s="16">
        <v>273</v>
      </c>
      <c r="E283" s="16" t="s">
        <v>3355</v>
      </c>
      <c r="F283" s="17" t="s">
        <v>1185</v>
      </c>
      <c r="G283" s="18">
        <v>12</v>
      </c>
      <c r="H283" s="19"/>
      <c r="I283" s="19">
        <v>1</v>
      </c>
      <c r="J283" s="19"/>
      <c r="K283" s="19"/>
      <c r="L283" s="20">
        <v>12</v>
      </c>
      <c r="M283" s="21">
        <v>1</v>
      </c>
      <c r="N283" s="22">
        <v>0</v>
      </c>
      <c r="O283" s="22">
        <v>1</v>
      </c>
      <c r="P283" s="20">
        <v>0</v>
      </c>
      <c r="Q283" s="23">
        <v>0</v>
      </c>
      <c r="R283" s="20">
        <v>0</v>
      </c>
      <c r="S283" s="20">
        <v>0</v>
      </c>
      <c r="T283" s="18">
        <v>0</v>
      </c>
      <c r="U283" s="24"/>
      <c r="V283" s="25">
        <v>0</v>
      </c>
    </row>
    <row r="284" spans="1:22" ht="26.25">
      <c r="A284" s="66">
        <v>1017</v>
      </c>
      <c r="B284" s="15"/>
      <c r="C284" s="16"/>
      <c r="D284" s="16">
        <v>273</v>
      </c>
      <c r="E284" s="16" t="s">
        <v>3355</v>
      </c>
      <c r="F284" s="17" t="s">
        <v>24</v>
      </c>
      <c r="G284" s="18">
        <v>1</v>
      </c>
      <c r="H284" s="19"/>
      <c r="I284" s="19"/>
      <c r="J284" s="19"/>
      <c r="K284" s="19"/>
      <c r="L284" s="20">
        <v>0</v>
      </c>
      <c r="M284" s="21">
        <v>0</v>
      </c>
      <c r="N284" s="22">
        <v>0</v>
      </c>
      <c r="O284" s="22">
        <v>0</v>
      </c>
      <c r="P284" s="20">
        <v>0</v>
      </c>
      <c r="Q284" s="23">
        <v>0</v>
      </c>
      <c r="R284" s="20">
        <v>0</v>
      </c>
      <c r="S284" s="20">
        <v>0</v>
      </c>
      <c r="T284" s="18">
        <v>0</v>
      </c>
      <c r="U284" s="24"/>
      <c r="V284" s="25">
        <v>0</v>
      </c>
    </row>
    <row r="285" spans="1:22" ht="26.25">
      <c r="A285" s="66">
        <v>998</v>
      </c>
      <c r="B285" s="15"/>
      <c r="C285" s="16"/>
      <c r="D285" s="16">
        <v>274</v>
      </c>
      <c r="E285" s="16" t="s">
        <v>3356</v>
      </c>
      <c r="F285" s="17" t="s">
        <v>1185</v>
      </c>
      <c r="G285" s="18">
        <v>12</v>
      </c>
      <c r="H285" s="19"/>
      <c r="I285" s="19">
        <v>1</v>
      </c>
      <c r="J285" s="19"/>
      <c r="K285" s="19"/>
      <c r="L285" s="20">
        <v>12</v>
      </c>
      <c r="M285" s="21">
        <v>1</v>
      </c>
      <c r="N285" s="22">
        <v>0</v>
      </c>
      <c r="O285" s="22">
        <v>1</v>
      </c>
      <c r="P285" s="20">
        <v>0</v>
      </c>
      <c r="Q285" s="23">
        <v>0</v>
      </c>
      <c r="R285" s="20">
        <v>0</v>
      </c>
      <c r="S285" s="20">
        <v>0</v>
      </c>
      <c r="T285" s="18">
        <v>0</v>
      </c>
      <c r="U285" s="24"/>
      <c r="V285" s="25">
        <v>0</v>
      </c>
    </row>
    <row r="286" spans="1:22" ht="26.25">
      <c r="A286" s="66">
        <v>999</v>
      </c>
      <c r="B286" s="15"/>
      <c r="C286" s="16"/>
      <c r="D286" s="16">
        <v>274</v>
      </c>
      <c r="E286" s="16" t="s">
        <v>3356</v>
      </c>
      <c r="F286" s="17" t="s">
        <v>24</v>
      </c>
      <c r="G286" s="18">
        <v>1</v>
      </c>
      <c r="H286" s="19"/>
      <c r="I286" s="19"/>
      <c r="J286" s="19"/>
      <c r="K286" s="19"/>
      <c r="L286" s="20">
        <v>0</v>
      </c>
      <c r="M286" s="21">
        <v>0</v>
      </c>
      <c r="N286" s="22">
        <v>0</v>
      </c>
      <c r="O286" s="22">
        <v>0</v>
      </c>
      <c r="P286" s="20">
        <v>0</v>
      </c>
      <c r="Q286" s="23">
        <v>0</v>
      </c>
      <c r="R286" s="20">
        <v>0</v>
      </c>
      <c r="S286" s="20">
        <v>0</v>
      </c>
      <c r="T286" s="18">
        <v>0</v>
      </c>
      <c r="U286" s="24"/>
      <c r="V286" s="25">
        <v>0</v>
      </c>
    </row>
    <row r="287" spans="1:22" ht="26.25">
      <c r="A287" s="66">
        <v>998</v>
      </c>
      <c r="B287" s="15"/>
      <c r="C287" s="16"/>
      <c r="D287" s="16">
        <v>275</v>
      </c>
      <c r="E287" s="16" t="s">
        <v>3357</v>
      </c>
      <c r="F287" s="17" t="s">
        <v>1185</v>
      </c>
      <c r="G287" s="18">
        <v>12</v>
      </c>
      <c r="H287" s="19"/>
      <c r="I287" s="19">
        <v>1</v>
      </c>
      <c r="J287" s="19"/>
      <c r="K287" s="19"/>
      <c r="L287" s="20">
        <v>12</v>
      </c>
      <c r="M287" s="21">
        <v>1</v>
      </c>
      <c r="N287" s="22">
        <v>0</v>
      </c>
      <c r="O287" s="22">
        <v>1</v>
      </c>
      <c r="P287" s="20">
        <v>0</v>
      </c>
      <c r="Q287" s="23">
        <v>0</v>
      </c>
      <c r="R287" s="20">
        <v>0</v>
      </c>
      <c r="S287" s="20">
        <v>0</v>
      </c>
      <c r="T287" s="18">
        <v>0</v>
      </c>
      <c r="U287" s="24"/>
      <c r="V287" s="25">
        <v>0</v>
      </c>
    </row>
    <row r="288" spans="1:22" ht="26.25">
      <c r="A288" s="66">
        <v>999</v>
      </c>
      <c r="B288" s="15"/>
      <c r="C288" s="16"/>
      <c r="D288" s="16">
        <v>275</v>
      </c>
      <c r="E288" s="16" t="s">
        <v>3357</v>
      </c>
      <c r="F288" s="17" t="s">
        <v>24</v>
      </c>
      <c r="G288" s="18">
        <v>1</v>
      </c>
      <c r="H288" s="19"/>
      <c r="I288" s="19"/>
      <c r="J288" s="19"/>
      <c r="K288" s="19"/>
      <c r="L288" s="20">
        <v>0</v>
      </c>
      <c r="M288" s="21">
        <v>0</v>
      </c>
      <c r="N288" s="22">
        <v>0</v>
      </c>
      <c r="O288" s="22">
        <v>0</v>
      </c>
      <c r="P288" s="20">
        <v>0</v>
      </c>
      <c r="Q288" s="23">
        <v>0</v>
      </c>
      <c r="R288" s="20">
        <v>0</v>
      </c>
      <c r="S288" s="20">
        <v>0</v>
      </c>
      <c r="T288" s="18">
        <v>0</v>
      </c>
      <c r="U288" s="24"/>
      <c r="V288" s="25">
        <v>0</v>
      </c>
    </row>
    <row r="289" spans="1:22" ht="26.25">
      <c r="A289" s="66">
        <v>1014</v>
      </c>
      <c r="B289" s="15"/>
      <c r="C289" s="16"/>
      <c r="D289" s="16">
        <v>276</v>
      </c>
      <c r="E289" s="16" t="s">
        <v>3358</v>
      </c>
      <c r="F289" s="17" t="s">
        <v>1185</v>
      </c>
      <c r="G289" s="18">
        <v>12</v>
      </c>
      <c r="H289" s="19"/>
      <c r="I289" s="19">
        <v>7</v>
      </c>
      <c r="J289" s="19"/>
      <c r="K289" s="19"/>
      <c r="L289" s="20">
        <v>84</v>
      </c>
      <c r="M289" s="21">
        <v>7</v>
      </c>
      <c r="N289" s="22">
        <v>0</v>
      </c>
      <c r="O289" s="22">
        <v>7</v>
      </c>
      <c r="P289" s="20">
        <v>0</v>
      </c>
      <c r="Q289" s="23">
        <v>0</v>
      </c>
      <c r="R289" s="20">
        <v>0</v>
      </c>
      <c r="S289" s="20">
        <v>0</v>
      </c>
      <c r="T289" s="18">
        <v>0</v>
      </c>
      <c r="U289" s="24"/>
      <c r="V289" s="25">
        <v>0</v>
      </c>
    </row>
    <row r="290" spans="1:22" ht="26.25">
      <c r="A290" s="67">
        <v>1015</v>
      </c>
      <c r="B290" s="15"/>
      <c r="C290" s="16"/>
      <c r="D290" s="16">
        <v>276</v>
      </c>
      <c r="E290" s="16" t="s">
        <v>3359</v>
      </c>
      <c r="F290" s="17" t="s">
        <v>24</v>
      </c>
      <c r="G290" s="18">
        <v>1</v>
      </c>
      <c r="H290" s="19"/>
      <c r="I290" s="19"/>
      <c r="J290" s="19"/>
      <c r="K290" s="19"/>
      <c r="L290" s="20">
        <v>0</v>
      </c>
      <c r="M290" s="21">
        <v>0</v>
      </c>
      <c r="N290" s="22">
        <v>0</v>
      </c>
      <c r="O290" s="22">
        <v>0</v>
      </c>
      <c r="P290" s="20">
        <v>0</v>
      </c>
      <c r="Q290" s="23">
        <v>0</v>
      </c>
      <c r="R290" s="20">
        <v>0</v>
      </c>
      <c r="S290" s="20">
        <v>0</v>
      </c>
      <c r="T290" s="18">
        <v>0</v>
      </c>
      <c r="U290" s="24"/>
      <c r="V290" s="25">
        <v>0</v>
      </c>
    </row>
    <row r="291" spans="1:22" ht="26.25">
      <c r="A291" s="66">
        <v>974</v>
      </c>
      <c r="B291" s="15"/>
      <c r="C291" s="16"/>
      <c r="D291" s="16">
        <v>277</v>
      </c>
      <c r="E291" s="16" t="s">
        <v>3360</v>
      </c>
      <c r="F291" s="17" t="s">
        <v>1185</v>
      </c>
      <c r="G291" s="18">
        <v>12</v>
      </c>
      <c r="H291" s="19">
        <v>2</v>
      </c>
      <c r="I291" s="19">
        <v>4</v>
      </c>
      <c r="J291" s="19"/>
      <c r="K291" s="19"/>
      <c r="L291" s="20">
        <v>50</v>
      </c>
      <c r="M291" s="21">
        <v>4.166666666666667</v>
      </c>
      <c r="N291" s="22">
        <v>2.0000000000000036</v>
      </c>
      <c r="O291" s="22">
        <v>4</v>
      </c>
      <c r="P291" s="20">
        <v>0</v>
      </c>
      <c r="Q291" s="23">
        <v>0</v>
      </c>
      <c r="R291" s="20">
        <v>0</v>
      </c>
      <c r="S291" s="20">
        <v>0</v>
      </c>
      <c r="T291" s="18">
        <v>0</v>
      </c>
      <c r="U291" s="24"/>
      <c r="V291" s="25">
        <v>0</v>
      </c>
    </row>
    <row r="292" spans="1:22" ht="26.25">
      <c r="A292" s="66">
        <v>975</v>
      </c>
      <c r="B292" s="15"/>
      <c r="C292" s="16"/>
      <c r="D292" s="16">
        <v>277</v>
      </c>
      <c r="E292" s="16" t="s">
        <v>3360</v>
      </c>
      <c r="F292" s="17" t="s">
        <v>24</v>
      </c>
      <c r="G292" s="18">
        <v>1</v>
      </c>
      <c r="H292" s="19"/>
      <c r="I292" s="19"/>
      <c r="J292" s="19"/>
      <c r="K292" s="19"/>
      <c r="L292" s="20">
        <v>0</v>
      </c>
      <c r="M292" s="21">
        <v>0</v>
      </c>
      <c r="N292" s="22">
        <v>0</v>
      </c>
      <c r="O292" s="22">
        <v>0</v>
      </c>
      <c r="P292" s="20">
        <v>0</v>
      </c>
      <c r="Q292" s="23">
        <v>0</v>
      </c>
      <c r="R292" s="20">
        <v>0</v>
      </c>
      <c r="S292" s="20">
        <v>0</v>
      </c>
      <c r="T292" s="18">
        <v>0</v>
      </c>
      <c r="U292" s="24"/>
      <c r="V292" s="25">
        <v>0</v>
      </c>
    </row>
    <row r="293" spans="1:22" ht="26.25">
      <c r="A293" s="66">
        <v>1002</v>
      </c>
      <c r="B293" s="15"/>
      <c r="C293" s="16"/>
      <c r="D293" s="16">
        <v>278</v>
      </c>
      <c r="E293" s="16" t="s">
        <v>3361</v>
      </c>
      <c r="F293" s="17" t="s">
        <v>1185</v>
      </c>
      <c r="G293" s="18">
        <v>12</v>
      </c>
      <c r="H293" s="19"/>
      <c r="I293" s="19">
        <v>1</v>
      </c>
      <c r="J293" s="19"/>
      <c r="K293" s="19"/>
      <c r="L293" s="20">
        <v>12</v>
      </c>
      <c r="M293" s="21">
        <v>1</v>
      </c>
      <c r="N293" s="22">
        <v>0</v>
      </c>
      <c r="O293" s="22">
        <v>1</v>
      </c>
      <c r="P293" s="20">
        <v>0</v>
      </c>
      <c r="Q293" s="23">
        <v>0</v>
      </c>
      <c r="R293" s="20">
        <v>0</v>
      </c>
      <c r="S293" s="20">
        <v>0</v>
      </c>
      <c r="T293" s="18">
        <v>0</v>
      </c>
      <c r="U293" s="24"/>
      <c r="V293" s="25">
        <v>0</v>
      </c>
    </row>
    <row r="294" spans="1:22" ht="26.25">
      <c r="A294" s="67">
        <v>1003</v>
      </c>
      <c r="B294" s="15"/>
      <c r="C294" s="16"/>
      <c r="D294" s="16">
        <v>278</v>
      </c>
      <c r="E294" s="16" t="s">
        <v>3361</v>
      </c>
      <c r="F294" s="17" t="s">
        <v>24</v>
      </c>
      <c r="G294" s="18">
        <v>1</v>
      </c>
      <c r="H294" s="19"/>
      <c r="I294" s="19"/>
      <c r="J294" s="19"/>
      <c r="K294" s="19"/>
      <c r="L294" s="20">
        <v>0</v>
      </c>
      <c r="M294" s="21">
        <v>0</v>
      </c>
      <c r="N294" s="22">
        <v>0</v>
      </c>
      <c r="O294" s="22">
        <v>0</v>
      </c>
      <c r="P294" s="20">
        <v>0</v>
      </c>
      <c r="Q294" s="23">
        <v>0</v>
      </c>
      <c r="R294" s="20">
        <v>0</v>
      </c>
      <c r="S294" s="20">
        <v>0</v>
      </c>
      <c r="T294" s="18">
        <v>0</v>
      </c>
      <c r="U294" s="24"/>
      <c r="V294" s="25">
        <v>0</v>
      </c>
    </row>
    <row r="295" spans="1:22" ht="26.25">
      <c r="A295" s="66">
        <v>1103</v>
      </c>
      <c r="B295" s="15"/>
      <c r="C295" s="16"/>
      <c r="D295" s="16">
        <v>279</v>
      </c>
      <c r="E295" s="16" t="s">
        <v>3362</v>
      </c>
      <c r="F295" s="17" t="s">
        <v>1185</v>
      </c>
      <c r="G295" s="18">
        <v>12</v>
      </c>
      <c r="H295" s="19">
        <v>11</v>
      </c>
      <c r="I295" s="19"/>
      <c r="J295" s="19"/>
      <c r="K295" s="19"/>
      <c r="L295" s="20">
        <v>11</v>
      </c>
      <c r="M295" s="21">
        <v>0.91666666666666663</v>
      </c>
      <c r="N295" s="22">
        <v>11</v>
      </c>
      <c r="O295" s="22">
        <v>0</v>
      </c>
      <c r="P295" s="20">
        <v>0</v>
      </c>
      <c r="Q295" s="23">
        <v>0</v>
      </c>
      <c r="R295" s="20">
        <v>0</v>
      </c>
      <c r="S295" s="20">
        <v>0</v>
      </c>
      <c r="T295" s="18">
        <v>0</v>
      </c>
      <c r="U295" s="24"/>
      <c r="V295" s="25">
        <v>0</v>
      </c>
    </row>
    <row r="296" spans="1:22" ht="26.25">
      <c r="A296" s="66">
        <v>1104</v>
      </c>
      <c r="B296" s="15"/>
      <c r="C296" s="16"/>
      <c r="D296" s="16">
        <v>279</v>
      </c>
      <c r="E296" s="16" t="s">
        <v>3362</v>
      </c>
      <c r="F296" s="17" t="s">
        <v>2255</v>
      </c>
      <c r="G296" s="18">
        <v>1</v>
      </c>
      <c r="H296" s="19"/>
      <c r="I296" s="19"/>
      <c r="J296" s="19"/>
      <c r="K296" s="19"/>
      <c r="L296" s="20">
        <v>0</v>
      </c>
      <c r="M296" s="21">
        <v>0</v>
      </c>
      <c r="N296" s="22">
        <v>0</v>
      </c>
      <c r="O296" s="22">
        <v>0</v>
      </c>
      <c r="P296" s="20">
        <v>0</v>
      </c>
      <c r="Q296" s="23">
        <v>0</v>
      </c>
      <c r="R296" s="20">
        <v>0</v>
      </c>
      <c r="S296" s="20">
        <v>0</v>
      </c>
      <c r="T296" s="18">
        <v>0</v>
      </c>
      <c r="U296" s="24"/>
      <c r="V296" s="25">
        <v>0</v>
      </c>
    </row>
    <row r="297" spans="1:22" ht="26.25">
      <c r="A297" s="67">
        <v>928</v>
      </c>
      <c r="B297" s="15"/>
      <c r="C297" s="16"/>
      <c r="D297" s="16">
        <v>280</v>
      </c>
      <c r="E297" s="16" t="s">
        <v>3363</v>
      </c>
      <c r="F297" s="17" t="s">
        <v>1185</v>
      </c>
      <c r="G297" s="18">
        <v>12</v>
      </c>
      <c r="H297" s="19">
        <v>6</v>
      </c>
      <c r="I297" s="19">
        <v>1</v>
      </c>
      <c r="J297" s="19"/>
      <c r="K297" s="19"/>
      <c r="L297" s="20">
        <v>18</v>
      </c>
      <c r="M297" s="21">
        <v>1.5</v>
      </c>
      <c r="N297" s="22">
        <v>6</v>
      </c>
      <c r="O297" s="22">
        <v>1</v>
      </c>
      <c r="P297" s="20">
        <v>0</v>
      </c>
      <c r="Q297" s="23">
        <v>0</v>
      </c>
      <c r="R297" s="20">
        <v>0</v>
      </c>
      <c r="S297" s="20">
        <v>0</v>
      </c>
      <c r="T297" s="18">
        <v>0</v>
      </c>
      <c r="U297" s="24"/>
      <c r="V297" s="25">
        <v>0</v>
      </c>
    </row>
    <row r="298" spans="1:22" ht="26.25">
      <c r="A298" s="66">
        <v>929</v>
      </c>
      <c r="B298" s="15"/>
      <c r="C298" s="16"/>
      <c r="D298" s="16">
        <v>280</v>
      </c>
      <c r="E298" s="16" t="s">
        <v>3363</v>
      </c>
      <c r="F298" s="17" t="s">
        <v>24</v>
      </c>
      <c r="G298" s="18">
        <v>1</v>
      </c>
      <c r="H298" s="19"/>
      <c r="I298" s="19"/>
      <c r="J298" s="19"/>
      <c r="K298" s="19"/>
      <c r="L298" s="20">
        <v>0</v>
      </c>
      <c r="M298" s="21">
        <v>0</v>
      </c>
      <c r="N298" s="22">
        <v>0</v>
      </c>
      <c r="O298" s="22">
        <v>0</v>
      </c>
      <c r="P298" s="20">
        <v>0</v>
      </c>
      <c r="Q298" s="23">
        <v>0</v>
      </c>
      <c r="R298" s="20">
        <v>0</v>
      </c>
      <c r="S298" s="20">
        <v>0</v>
      </c>
      <c r="T298" s="18">
        <v>0</v>
      </c>
      <c r="U298" s="24"/>
      <c r="V298" s="25">
        <v>0</v>
      </c>
    </row>
    <row r="299" spans="1:22" ht="26.25">
      <c r="A299" s="66">
        <v>972</v>
      </c>
      <c r="B299" s="15"/>
      <c r="C299" s="16"/>
      <c r="D299" s="16">
        <v>281</v>
      </c>
      <c r="E299" s="16" t="s">
        <v>1326</v>
      </c>
      <c r="F299" s="17" t="s">
        <v>1185</v>
      </c>
      <c r="G299" s="18">
        <v>12</v>
      </c>
      <c r="H299" s="19"/>
      <c r="I299" s="19">
        <v>1</v>
      </c>
      <c r="J299" s="19"/>
      <c r="K299" s="19"/>
      <c r="L299" s="20">
        <v>12</v>
      </c>
      <c r="M299" s="21">
        <v>1</v>
      </c>
      <c r="N299" s="22">
        <v>0</v>
      </c>
      <c r="O299" s="22">
        <v>1</v>
      </c>
      <c r="P299" s="20">
        <v>0</v>
      </c>
      <c r="Q299" s="23">
        <v>0</v>
      </c>
      <c r="R299" s="20">
        <v>0</v>
      </c>
      <c r="S299" s="20">
        <v>0</v>
      </c>
      <c r="T299" s="18">
        <v>0</v>
      </c>
      <c r="U299" s="24"/>
      <c r="V299" s="25">
        <v>0</v>
      </c>
    </row>
    <row r="300" spans="1:22" ht="26.25">
      <c r="A300" s="67">
        <v>973</v>
      </c>
      <c r="B300" s="15"/>
      <c r="C300" s="16"/>
      <c r="D300" s="16">
        <v>281</v>
      </c>
      <c r="E300" s="16" t="s">
        <v>1326</v>
      </c>
      <c r="F300" s="17" t="s">
        <v>24</v>
      </c>
      <c r="G300" s="18">
        <v>1</v>
      </c>
      <c r="H300" s="19"/>
      <c r="I300" s="19"/>
      <c r="J300" s="19"/>
      <c r="K300" s="19"/>
      <c r="L300" s="20">
        <v>0</v>
      </c>
      <c r="M300" s="21">
        <v>0</v>
      </c>
      <c r="N300" s="22">
        <v>0</v>
      </c>
      <c r="O300" s="22">
        <v>0</v>
      </c>
      <c r="P300" s="20">
        <v>0</v>
      </c>
      <c r="Q300" s="23">
        <v>0</v>
      </c>
      <c r="R300" s="20">
        <v>0</v>
      </c>
      <c r="S300" s="20">
        <v>0</v>
      </c>
      <c r="T300" s="18">
        <v>0</v>
      </c>
      <c r="U300" s="24"/>
      <c r="V300" s="25">
        <v>0</v>
      </c>
    </row>
    <row r="301" spans="1:22" ht="26.25">
      <c r="A301" s="66">
        <v>984</v>
      </c>
      <c r="B301" s="15"/>
      <c r="C301" s="16"/>
      <c r="D301" s="16">
        <v>282</v>
      </c>
      <c r="E301" s="16" t="s">
        <v>3364</v>
      </c>
      <c r="F301" s="17" t="s">
        <v>1185</v>
      </c>
      <c r="G301" s="18">
        <v>12</v>
      </c>
      <c r="H301" s="19">
        <v>8</v>
      </c>
      <c r="I301" s="19"/>
      <c r="J301" s="19"/>
      <c r="K301" s="19"/>
      <c r="L301" s="20">
        <v>8</v>
      </c>
      <c r="M301" s="21">
        <v>0.66666666666666663</v>
      </c>
      <c r="N301" s="22">
        <v>8</v>
      </c>
      <c r="O301" s="22">
        <v>0</v>
      </c>
      <c r="P301" s="20">
        <v>0</v>
      </c>
      <c r="Q301" s="23">
        <v>0</v>
      </c>
      <c r="R301" s="20">
        <v>0</v>
      </c>
      <c r="S301" s="20">
        <v>0</v>
      </c>
      <c r="T301" s="18">
        <v>0</v>
      </c>
      <c r="U301" s="24"/>
      <c r="V301" s="25">
        <v>0</v>
      </c>
    </row>
    <row r="302" spans="1:22" ht="26.25">
      <c r="A302" s="67">
        <v>994</v>
      </c>
      <c r="B302" s="15"/>
      <c r="C302" s="16"/>
      <c r="D302" s="16">
        <v>283</v>
      </c>
      <c r="E302" s="16" t="s">
        <v>3365</v>
      </c>
      <c r="F302" s="17" t="s">
        <v>1185</v>
      </c>
      <c r="G302" s="18">
        <v>12</v>
      </c>
      <c r="H302" s="19">
        <v>1</v>
      </c>
      <c r="I302" s="19">
        <v>1</v>
      </c>
      <c r="J302" s="19"/>
      <c r="K302" s="19"/>
      <c r="L302" s="20">
        <v>13</v>
      </c>
      <c r="M302" s="21">
        <v>1.0833333333333333</v>
      </c>
      <c r="N302" s="22">
        <v>0.99999999999999911</v>
      </c>
      <c r="O302" s="22">
        <v>1</v>
      </c>
      <c r="P302" s="20">
        <v>0</v>
      </c>
      <c r="Q302" s="23">
        <v>0</v>
      </c>
      <c r="R302" s="20">
        <v>0</v>
      </c>
      <c r="S302" s="20">
        <v>0</v>
      </c>
      <c r="T302" s="18">
        <v>0</v>
      </c>
      <c r="U302" s="24"/>
      <c r="V302" s="25">
        <v>0</v>
      </c>
    </row>
    <row r="303" spans="1:22" ht="26.25">
      <c r="A303" s="66">
        <v>995</v>
      </c>
      <c r="B303" s="15"/>
      <c r="C303" s="16"/>
      <c r="D303" s="16">
        <v>283</v>
      </c>
      <c r="E303" s="16" t="s">
        <v>3365</v>
      </c>
      <c r="F303" s="17" t="s">
        <v>24</v>
      </c>
      <c r="G303" s="18">
        <v>1</v>
      </c>
      <c r="H303" s="19"/>
      <c r="I303" s="19"/>
      <c r="J303" s="19"/>
      <c r="K303" s="19"/>
      <c r="L303" s="20">
        <v>0</v>
      </c>
      <c r="M303" s="21">
        <v>0</v>
      </c>
      <c r="N303" s="22">
        <v>0</v>
      </c>
      <c r="O303" s="22">
        <v>0</v>
      </c>
      <c r="P303" s="20">
        <v>0</v>
      </c>
      <c r="Q303" s="23">
        <v>0</v>
      </c>
      <c r="R303" s="20">
        <v>0</v>
      </c>
      <c r="S303" s="20">
        <v>0</v>
      </c>
      <c r="T303" s="18">
        <v>0</v>
      </c>
      <c r="U303" s="24"/>
      <c r="V303" s="25">
        <v>0</v>
      </c>
    </row>
    <row r="304" spans="1:22" ht="26.25">
      <c r="A304" s="67">
        <v>994</v>
      </c>
      <c r="B304" s="15"/>
      <c r="C304" s="16"/>
      <c r="D304" s="16">
        <v>284</v>
      </c>
      <c r="E304" s="16" t="s">
        <v>3366</v>
      </c>
      <c r="F304" s="17" t="s">
        <v>1185</v>
      </c>
      <c r="G304" s="18">
        <v>12</v>
      </c>
      <c r="H304" s="19">
        <v>9</v>
      </c>
      <c r="I304" s="19"/>
      <c r="J304" s="19"/>
      <c r="K304" s="19"/>
      <c r="L304" s="20">
        <v>9</v>
      </c>
      <c r="M304" s="21">
        <v>0.75</v>
      </c>
      <c r="N304" s="22">
        <v>9</v>
      </c>
      <c r="O304" s="22">
        <v>0</v>
      </c>
      <c r="P304" s="20">
        <v>0</v>
      </c>
      <c r="Q304" s="23">
        <v>0</v>
      </c>
      <c r="R304" s="20">
        <v>0</v>
      </c>
      <c r="S304" s="20">
        <v>0</v>
      </c>
      <c r="T304" s="18">
        <v>0</v>
      </c>
      <c r="U304" s="24"/>
      <c r="V304" s="25">
        <v>0</v>
      </c>
    </row>
    <row r="305" spans="1:22" ht="26.25">
      <c r="A305" s="66">
        <v>995</v>
      </c>
      <c r="B305" s="15"/>
      <c r="C305" s="16"/>
      <c r="D305" s="16">
        <v>284</v>
      </c>
      <c r="E305" s="16" t="s">
        <v>3366</v>
      </c>
      <c r="F305" s="17" t="s">
        <v>24</v>
      </c>
      <c r="G305" s="18">
        <v>1</v>
      </c>
      <c r="H305" s="19"/>
      <c r="I305" s="19"/>
      <c r="J305" s="19"/>
      <c r="K305" s="19"/>
      <c r="L305" s="20">
        <v>0</v>
      </c>
      <c r="M305" s="21">
        <v>0</v>
      </c>
      <c r="N305" s="22">
        <v>0</v>
      </c>
      <c r="O305" s="22">
        <v>0</v>
      </c>
      <c r="P305" s="20">
        <v>0</v>
      </c>
      <c r="Q305" s="23">
        <v>0</v>
      </c>
      <c r="R305" s="20">
        <v>0</v>
      </c>
      <c r="S305" s="20">
        <v>0</v>
      </c>
      <c r="T305" s="18">
        <v>0</v>
      </c>
      <c r="U305" s="24"/>
      <c r="V305" s="25">
        <v>0</v>
      </c>
    </row>
    <row r="306" spans="1:22" ht="26.25">
      <c r="A306" s="66">
        <v>996</v>
      </c>
      <c r="B306" s="15"/>
      <c r="C306" s="16"/>
      <c r="D306" s="16">
        <v>285</v>
      </c>
      <c r="E306" s="16" t="s">
        <v>3367</v>
      </c>
      <c r="F306" s="17" t="s">
        <v>1185</v>
      </c>
      <c r="G306" s="18">
        <v>12</v>
      </c>
      <c r="H306" s="19">
        <v>7</v>
      </c>
      <c r="I306" s="19"/>
      <c r="J306" s="19"/>
      <c r="K306" s="19"/>
      <c r="L306" s="20">
        <v>7</v>
      </c>
      <c r="M306" s="21">
        <v>0.58333333333333337</v>
      </c>
      <c r="N306" s="22">
        <v>7</v>
      </c>
      <c r="O306" s="22">
        <v>0</v>
      </c>
      <c r="P306" s="20">
        <v>0</v>
      </c>
      <c r="Q306" s="23">
        <v>0</v>
      </c>
      <c r="R306" s="20">
        <v>0</v>
      </c>
      <c r="S306" s="20">
        <v>0</v>
      </c>
      <c r="T306" s="18">
        <v>0</v>
      </c>
      <c r="U306" s="24"/>
      <c r="V306" s="25">
        <v>0</v>
      </c>
    </row>
    <row r="307" spans="1:22" ht="26.25">
      <c r="A307" s="67">
        <v>997</v>
      </c>
      <c r="B307" s="15"/>
      <c r="C307" s="16"/>
      <c r="D307" s="16">
        <v>285</v>
      </c>
      <c r="E307" s="16" t="s">
        <v>3367</v>
      </c>
      <c r="F307" s="17" t="s">
        <v>24</v>
      </c>
      <c r="G307" s="18">
        <v>1</v>
      </c>
      <c r="H307" s="19"/>
      <c r="I307" s="19"/>
      <c r="J307" s="19"/>
      <c r="K307" s="19"/>
      <c r="L307" s="20">
        <v>0</v>
      </c>
      <c r="M307" s="21">
        <v>0</v>
      </c>
      <c r="N307" s="22">
        <v>0</v>
      </c>
      <c r="O307" s="22">
        <v>0</v>
      </c>
      <c r="P307" s="20">
        <v>0</v>
      </c>
      <c r="Q307" s="23">
        <v>0</v>
      </c>
      <c r="R307" s="20">
        <v>0</v>
      </c>
      <c r="S307" s="20">
        <v>0</v>
      </c>
      <c r="T307" s="18">
        <v>0</v>
      </c>
      <c r="U307" s="24"/>
      <c r="V307" s="25">
        <v>0</v>
      </c>
    </row>
    <row r="308" spans="1:22" ht="26.25">
      <c r="A308" s="66">
        <v>1022</v>
      </c>
      <c r="B308" s="15"/>
      <c r="C308" s="16"/>
      <c r="D308" s="16">
        <v>286</v>
      </c>
      <c r="E308" s="16" t="s">
        <v>3368</v>
      </c>
      <c r="F308" s="17" t="s">
        <v>1185</v>
      </c>
      <c r="G308" s="18">
        <v>12</v>
      </c>
      <c r="H308" s="19">
        <v>9</v>
      </c>
      <c r="I308" s="19">
        <v>25</v>
      </c>
      <c r="J308" s="19"/>
      <c r="K308" s="19"/>
      <c r="L308" s="20">
        <v>309</v>
      </c>
      <c r="M308" s="21">
        <v>25.75</v>
      </c>
      <c r="N308" s="22">
        <v>9</v>
      </c>
      <c r="O308" s="22">
        <v>25</v>
      </c>
      <c r="P308" s="20">
        <v>0</v>
      </c>
      <c r="Q308" s="23">
        <v>0</v>
      </c>
      <c r="R308" s="20">
        <v>0</v>
      </c>
      <c r="S308" s="20">
        <v>0</v>
      </c>
      <c r="T308" s="18">
        <v>0</v>
      </c>
      <c r="U308" s="24"/>
      <c r="V308" s="25">
        <v>0</v>
      </c>
    </row>
    <row r="309" spans="1:22" ht="26.25">
      <c r="A309" s="66">
        <v>1023</v>
      </c>
      <c r="B309" s="15"/>
      <c r="C309" s="16"/>
      <c r="D309" s="16">
        <v>286</v>
      </c>
      <c r="E309" s="16" t="s">
        <v>3368</v>
      </c>
      <c r="F309" s="17" t="s">
        <v>24</v>
      </c>
      <c r="G309" s="18">
        <v>1</v>
      </c>
      <c r="H309" s="19"/>
      <c r="I309" s="19"/>
      <c r="J309" s="19"/>
      <c r="K309" s="19"/>
      <c r="L309" s="20">
        <v>0</v>
      </c>
      <c r="M309" s="21">
        <v>0</v>
      </c>
      <c r="N309" s="22">
        <v>0</v>
      </c>
      <c r="O309" s="22">
        <v>0</v>
      </c>
      <c r="P309" s="20">
        <v>0</v>
      </c>
      <c r="Q309" s="23">
        <v>0</v>
      </c>
      <c r="R309" s="20">
        <v>0</v>
      </c>
      <c r="S309" s="20">
        <v>0</v>
      </c>
      <c r="T309" s="18">
        <v>0</v>
      </c>
      <c r="U309" s="24"/>
      <c r="V309" s="25">
        <v>0</v>
      </c>
    </row>
    <row r="310" spans="1:22" ht="26.25">
      <c r="A310" s="67">
        <v>1024</v>
      </c>
      <c r="B310" s="15"/>
      <c r="C310" s="16"/>
      <c r="D310" s="16">
        <v>287</v>
      </c>
      <c r="E310" s="16" t="s">
        <v>3369</v>
      </c>
      <c r="F310" s="17" t="s">
        <v>1185</v>
      </c>
      <c r="G310" s="18">
        <v>12</v>
      </c>
      <c r="H310" s="19">
        <v>3</v>
      </c>
      <c r="I310" s="19">
        <v>20</v>
      </c>
      <c r="J310" s="19"/>
      <c r="K310" s="19"/>
      <c r="L310" s="20">
        <v>243</v>
      </c>
      <c r="M310" s="21">
        <v>20.25</v>
      </c>
      <c r="N310" s="22">
        <v>3</v>
      </c>
      <c r="O310" s="22">
        <v>20</v>
      </c>
      <c r="P310" s="20">
        <v>0</v>
      </c>
      <c r="Q310" s="23">
        <v>0</v>
      </c>
      <c r="R310" s="20">
        <v>0</v>
      </c>
      <c r="S310" s="20">
        <v>0</v>
      </c>
      <c r="T310" s="18">
        <v>0</v>
      </c>
      <c r="U310" s="24"/>
      <c r="V310" s="25">
        <v>0</v>
      </c>
    </row>
    <row r="311" spans="1:22" ht="26.25">
      <c r="A311" s="67">
        <v>1024</v>
      </c>
      <c r="B311" s="15"/>
      <c r="C311" s="16"/>
      <c r="D311" s="16">
        <v>287</v>
      </c>
      <c r="E311" s="16" t="s">
        <v>3369</v>
      </c>
      <c r="F311" s="17" t="s">
        <v>1185</v>
      </c>
      <c r="G311" s="18">
        <v>12</v>
      </c>
      <c r="H311" s="19"/>
      <c r="I311" s="19"/>
      <c r="J311" s="19"/>
      <c r="K311" s="19"/>
      <c r="L311" s="20">
        <v>0</v>
      </c>
      <c r="M311" s="21">
        <v>0</v>
      </c>
      <c r="N311" s="22">
        <v>0</v>
      </c>
      <c r="O311" s="22">
        <v>0</v>
      </c>
      <c r="P311" s="20">
        <v>0</v>
      </c>
      <c r="Q311" s="23">
        <v>0</v>
      </c>
      <c r="R311" s="20">
        <v>0</v>
      </c>
      <c r="S311" s="20">
        <v>0</v>
      </c>
      <c r="T311" s="18">
        <v>0</v>
      </c>
      <c r="U311" s="24"/>
      <c r="V311" s="25">
        <v>0</v>
      </c>
    </row>
    <row r="312" spans="1:22" ht="26.25">
      <c r="A312" s="67">
        <v>1198</v>
      </c>
      <c r="B312" s="15"/>
      <c r="C312" s="16"/>
      <c r="D312" s="16">
        <v>288</v>
      </c>
      <c r="E312" s="16" t="s">
        <v>3370</v>
      </c>
      <c r="F312" s="17" t="s">
        <v>1185</v>
      </c>
      <c r="G312" s="18">
        <v>24</v>
      </c>
      <c r="H312" s="19">
        <v>21</v>
      </c>
      <c r="I312" s="19"/>
      <c r="J312" s="19"/>
      <c r="K312" s="19"/>
      <c r="L312" s="20">
        <v>21</v>
      </c>
      <c r="M312" s="21">
        <v>0.875</v>
      </c>
      <c r="N312" s="22">
        <v>21</v>
      </c>
      <c r="O312" s="22">
        <v>0</v>
      </c>
      <c r="P312" s="20">
        <v>0</v>
      </c>
      <c r="Q312" s="23">
        <v>0</v>
      </c>
      <c r="R312" s="20">
        <v>0</v>
      </c>
      <c r="S312" s="20">
        <v>0</v>
      </c>
      <c r="T312" s="18">
        <v>0</v>
      </c>
      <c r="U312" s="24"/>
      <c r="V312" s="25">
        <v>0</v>
      </c>
    </row>
    <row r="313" spans="1:22" ht="26.25">
      <c r="A313" s="66">
        <v>930</v>
      </c>
      <c r="B313" s="15"/>
      <c r="C313" s="16"/>
      <c r="D313" s="16">
        <v>289</v>
      </c>
      <c r="E313" s="16" t="s">
        <v>3371</v>
      </c>
      <c r="F313" s="17" t="s">
        <v>1185</v>
      </c>
      <c r="G313" s="18">
        <v>24</v>
      </c>
      <c r="H313" s="19"/>
      <c r="I313" s="19">
        <v>2</v>
      </c>
      <c r="J313" s="19"/>
      <c r="K313" s="19"/>
      <c r="L313" s="20">
        <v>48</v>
      </c>
      <c r="M313" s="21">
        <v>2</v>
      </c>
      <c r="N313" s="22">
        <v>0</v>
      </c>
      <c r="O313" s="22">
        <v>2</v>
      </c>
      <c r="P313" s="20">
        <v>0</v>
      </c>
      <c r="Q313" s="23">
        <v>0</v>
      </c>
      <c r="R313" s="20">
        <v>0</v>
      </c>
      <c r="S313" s="20">
        <v>0</v>
      </c>
      <c r="T313" s="18">
        <v>0</v>
      </c>
      <c r="U313" s="24"/>
      <c r="V313" s="25">
        <v>0</v>
      </c>
    </row>
    <row r="314" spans="1:22" ht="26.25">
      <c r="A314" s="67">
        <v>931</v>
      </c>
      <c r="B314" s="15"/>
      <c r="C314" s="16"/>
      <c r="D314" s="16">
        <v>289</v>
      </c>
      <c r="E314" s="16" t="s">
        <v>3371</v>
      </c>
      <c r="F314" s="17" t="s">
        <v>24</v>
      </c>
      <c r="G314" s="18">
        <v>1</v>
      </c>
      <c r="H314" s="19"/>
      <c r="I314" s="19"/>
      <c r="J314" s="19"/>
      <c r="K314" s="19"/>
      <c r="L314" s="20">
        <v>0</v>
      </c>
      <c r="M314" s="21">
        <v>0</v>
      </c>
      <c r="N314" s="22">
        <v>0</v>
      </c>
      <c r="O314" s="22">
        <v>0</v>
      </c>
      <c r="P314" s="20">
        <v>0</v>
      </c>
      <c r="Q314" s="23">
        <v>0</v>
      </c>
      <c r="R314" s="20">
        <v>0</v>
      </c>
      <c r="S314" s="20">
        <v>0</v>
      </c>
      <c r="T314" s="18">
        <v>0</v>
      </c>
      <c r="U314" s="24"/>
      <c r="V314" s="25">
        <v>0</v>
      </c>
    </row>
    <row r="315" spans="1:22" ht="26.25">
      <c r="A315" s="66">
        <v>1023</v>
      </c>
      <c r="B315" s="15"/>
      <c r="C315" s="16"/>
      <c r="D315" s="16">
        <v>290</v>
      </c>
      <c r="E315" s="16" t="s">
        <v>3372</v>
      </c>
      <c r="F315" s="17" t="s">
        <v>1185</v>
      </c>
      <c r="G315" s="18">
        <v>12</v>
      </c>
      <c r="H315" s="19">
        <v>8</v>
      </c>
      <c r="I315" s="19">
        <v>2</v>
      </c>
      <c r="J315" s="19"/>
      <c r="K315" s="19"/>
      <c r="L315" s="20">
        <v>32</v>
      </c>
      <c r="M315" s="21">
        <v>2.6666666666666665</v>
      </c>
      <c r="N315" s="22">
        <v>7.9999999999999982</v>
      </c>
      <c r="O315" s="22">
        <v>2</v>
      </c>
      <c r="P315" s="20">
        <v>0</v>
      </c>
      <c r="Q315" s="23">
        <v>0</v>
      </c>
      <c r="R315" s="20">
        <v>0</v>
      </c>
      <c r="S315" s="20">
        <v>0</v>
      </c>
      <c r="T315" s="18">
        <v>0</v>
      </c>
      <c r="U315" s="24"/>
      <c r="V315" s="25">
        <v>0</v>
      </c>
    </row>
    <row r="316" spans="1:22" ht="26.25">
      <c r="A316" s="67">
        <v>862</v>
      </c>
      <c r="B316" s="15"/>
      <c r="C316" s="16"/>
      <c r="D316" s="16">
        <v>291</v>
      </c>
      <c r="E316" s="16" t="s">
        <v>3373</v>
      </c>
      <c r="F316" s="17" t="s">
        <v>1272</v>
      </c>
      <c r="G316" s="18">
        <v>10</v>
      </c>
      <c r="H316" s="19">
        <v>5</v>
      </c>
      <c r="I316" s="19">
        <v>24</v>
      </c>
      <c r="J316" s="19"/>
      <c r="K316" s="19"/>
      <c r="L316" s="20">
        <v>245</v>
      </c>
      <c r="M316" s="21">
        <v>24.5</v>
      </c>
      <c r="N316" s="22">
        <v>5</v>
      </c>
      <c r="O316" s="22">
        <v>24</v>
      </c>
      <c r="P316" s="20">
        <v>0</v>
      </c>
      <c r="Q316" s="23">
        <v>0</v>
      </c>
      <c r="R316" s="20">
        <v>0</v>
      </c>
      <c r="S316" s="20">
        <v>0</v>
      </c>
      <c r="T316" s="18">
        <v>0</v>
      </c>
      <c r="U316" s="24"/>
      <c r="V316" s="25">
        <v>0</v>
      </c>
    </row>
    <row r="317" spans="1:22" ht="26.25">
      <c r="A317" s="66">
        <v>863</v>
      </c>
      <c r="B317" s="15"/>
      <c r="C317" s="16"/>
      <c r="D317" s="16">
        <v>291</v>
      </c>
      <c r="E317" s="16" t="s">
        <v>3374</v>
      </c>
      <c r="F317" s="17" t="s">
        <v>24</v>
      </c>
      <c r="G317" s="18">
        <v>1</v>
      </c>
      <c r="H317" s="19"/>
      <c r="I317" s="19"/>
      <c r="J317" s="19"/>
      <c r="K317" s="19"/>
      <c r="L317" s="20">
        <v>0</v>
      </c>
      <c r="M317" s="21">
        <v>0</v>
      </c>
      <c r="N317" s="22">
        <v>0</v>
      </c>
      <c r="O317" s="22">
        <v>0</v>
      </c>
      <c r="P317" s="20">
        <v>0</v>
      </c>
      <c r="Q317" s="23">
        <v>0</v>
      </c>
      <c r="R317" s="20">
        <v>0</v>
      </c>
      <c r="S317" s="20">
        <v>0</v>
      </c>
      <c r="T317" s="18">
        <v>0</v>
      </c>
      <c r="U317" s="24"/>
      <c r="V317" s="25">
        <v>0</v>
      </c>
    </row>
    <row r="318" spans="1:22" ht="26.25">
      <c r="A318" s="66">
        <v>846</v>
      </c>
      <c r="B318" s="15"/>
      <c r="C318" s="16"/>
      <c r="D318" s="16">
        <v>292</v>
      </c>
      <c r="E318" s="16" t="s">
        <v>3375</v>
      </c>
      <c r="F318" s="17" t="s">
        <v>1272</v>
      </c>
      <c r="G318" s="18">
        <v>10</v>
      </c>
      <c r="H318" s="19"/>
      <c r="I318" s="19">
        <v>6</v>
      </c>
      <c r="J318" s="19"/>
      <c r="K318" s="19"/>
      <c r="L318" s="20">
        <v>60</v>
      </c>
      <c r="M318" s="21">
        <v>6</v>
      </c>
      <c r="N318" s="22">
        <v>0</v>
      </c>
      <c r="O318" s="22">
        <v>6</v>
      </c>
      <c r="P318" s="20">
        <v>0</v>
      </c>
      <c r="Q318" s="23">
        <v>0</v>
      </c>
      <c r="R318" s="20">
        <v>0</v>
      </c>
      <c r="S318" s="20">
        <v>0</v>
      </c>
      <c r="T318" s="18">
        <v>0</v>
      </c>
      <c r="U318" s="24"/>
      <c r="V318" s="25">
        <v>0</v>
      </c>
    </row>
    <row r="319" spans="1:22" ht="26.25">
      <c r="A319" s="66">
        <v>854</v>
      </c>
      <c r="B319" s="15"/>
      <c r="C319" s="16"/>
      <c r="D319" s="16">
        <v>293</v>
      </c>
      <c r="E319" s="16" t="s">
        <v>3376</v>
      </c>
      <c r="F319" s="17" t="s">
        <v>1272</v>
      </c>
      <c r="G319" s="18">
        <v>10</v>
      </c>
      <c r="H319" s="19"/>
      <c r="I319" s="19">
        <v>3</v>
      </c>
      <c r="J319" s="19"/>
      <c r="K319" s="19"/>
      <c r="L319" s="20">
        <v>30</v>
      </c>
      <c r="M319" s="21">
        <v>3</v>
      </c>
      <c r="N319" s="22">
        <v>0</v>
      </c>
      <c r="O319" s="22">
        <v>3</v>
      </c>
      <c r="P319" s="20">
        <v>0</v>
      </c>
      <c r="Q319" s="23">
        <v>0</v>
      </c>
      <c r="R319" s="20">
        <v>0</v>
      </c>
      <c r="S319" s="20">
        <v>0</v>
      </c>
      <c r="T319" s="18">
        <v>0</v>
      </c>
      <c r="U319" s="24"/>
      <c r="V319" s="25">
        <v>0</v>
      </c>
    </row>
    <row r="320" spans="1:22" ht="26.25">
      <c r="A320" s="66">
        <v>855</v>
      </c>
      <c r="B320" s="15"/>
      <c r="C320" s="16"/>
      <c r="D320" s="16">
        <v>293</v>
      </c>
      <c r="E320" s="16" t="s">
        <v>3376</v>
      </c>
      <c r="F320" s="17" t="s">
        <v>24</v>
      </c>
      <c r="G320" s="18">
        <v>1</v>
      </c>
      <c r="H320" s="19"/>
      <c r="I320" s="19"/>
      <c r="J320" s="19"/>
      <c r="K320" s="19"/>
      <c r="L320" s="20">
        <v>0</v>
      </c>
      <c r="M320" s="21">
        <v>0</v>
      </c>
      <c r="N320" s="22">
        <v>0</v>
      </c>
      <c r="O320" s="22">
        <v>0</v>
      </c>
      <c r="P320" s="20">
        <v>0</v>
      </c>
      <c r="Q320" s="23">
        <v>0</v>
      </c>
      <c r="R320" s="20">
        <v>0</v>
      </c>
      <c r="S320" s="20">
        <v>0</v>
      </c>
      <c r="T320" s="18">
        <v>0</v>
      </c>
      <c r="U320" s="24"/>
      <c r="V320" s="25">
        <v>0</v>
      </c>
    </row>
    <row r="321" spans="1:22" ht="26.25">
      <c r="A321" s="66">
        <v>1157</v>
      </c>
      <c r="B321" s="15"/>
      <c r="C321" s="16">
        <v>294</v>
      </c>
      <c r="D321" s="16">
        <v>294</v>
      </c>
      <c r="E321" s="16" t="s">
        <v>1382</v>
      </c>
      <c r="F321" s="17" t="s">
        <v>1185</v>
      </c>
      <c r="G321" s="18">
        <v>12</v>
      </c>
      <c r="H321" s="19"/>
      <c r="I321" s="19"/>
      <c r="J321" s="19"/>
      <c r="K321" s="19"/>
      <c r="L321" s="20">
        <v>0</v>
      </c>
      <c r="M321" s="21">
        <v>0</v>
      </c>
      <c r="N321" s="22">
        <v>0</v>
      </c>
      <c r="O321" s="22">
        <v>0</v>
      </c>
      <c r="P321" s="20">
        <v>0</v>
      </c>
      <c r="Q321" s="23">
        <v>0</v>
      </c>
      <c r="R321" s="20">
        <v>0</v>
      </c>
      <c r="S321" s="20">
        <v>0</v>
      </c>
      <c r="T321" s="18">
        <v>0</v>
      </c>
      <c r="U321" s="24" t="s">
        <v>3377</v>
      </c>
      <c r="V321" s="25">
        <v>0</v>
      </c>
    </row>
    <row r="322" spans="1:22" ht="26.25">
      <c r="A322" s="66">
        <v>864</v>
      </c>
      <c r="B322" s="15"/>
      <c r="C322" s="16"/>
      <c r="D322" s="16">
        <v>295</v>
      </c>
      <c r="E322" s="16" t="s">
        <v>3378</v>
      </c>
      <c r="F322" s="17" t="s">
        <v>1272</v>
      </c>
      <c r="G322" s="18">
        <v>6</v>
      </c>
      <c r="H322" s="19"/>
      <c r="I322" s="19">
        <v>4</v>
      </c>
      <c r="J322" s="19"/>
      <c r="K322" s="19"/>
      <c r="L322" s="20">
        <v>24</v>
      </c>
      <c r="M322" s="21">
        <v>4</v>
      </c>
      <c r="N322" s="22">
        <v>0</v>
      </c>
      <c r="O322" s="22">
        <v>4</v>
      </c>
      <c r="P322" s="20">
        <v>0</v>
      </c>
      <c r="Q322" s="23">
        <v>0</v>
      </c>
      <c r="R322" s="20">
        <v>0</v>
      </c>
      <c r="S322" s="20">
        <v>0</v>
      </c>
      <c r="T322" s="18">
        <v>0</v>
      </c>
      <c r="U322" s="24"/>
      <c r="V322" s="25">
        <v>0</v>
      </c>
    </row>
    <row r="323" spans="1:22" ht="26.25">
      <c r="A323" s="66">
        <v>864</v>
      </c>
      <c r="B323" s="15"/>
      <c r="C323" s="16"/>
      <c r="D323" s="16">
        <v>296</v>
      </c>
      <c r="E323" s="16" t="s">
        <v>3379</v>
      </c>
      <c r="F323" s="17" t="s">
        <v>1272</v>
      </c>
      <c r="G323" s="18">
        <v>10</v>
      </c>
      <c r="H323" s="19">
        <v>4</v>
      </c>
      <c r="I323" s="19">
        <v>8</v>
      </c>
      <c r="J323" s="19"/>
      <c r="K323" s="19"/>
      <c r="L323" s="20">
        <v>84</v>
      </c>
      <c r="M323" s="21">
        <v>8.4</v>
      </c>
      <c r="N323" s="22">
        <v>4.0000000000000036</v>
      </c>
      <c r="O323" s="22">
        <v>8</v>
      </c>
      <c r="P323" s="20">
        <v>0</v>
      </c>
      <c r="Q323" s="23">
        <v>0</v>
      </c>
      <c r="R323" s="20">
        <v>0</v>
      </c>
      <c r="S323" s="20">
        <v>0</v>
      </c>
      <c r="T323" s="18">
        <v>0</v>
      </c>
      <c r="U323" s="24"/>
      <c r="V323" s="25">
        <v>0</v>
      </c>
    </row>
    <row r="324" spans="1:22" ht="26.25">
      <c r="A324" s="67">
        <v>874</v>
      </c>
      <c r="B324" s="15"/>
      <c r="C324" s="16"/>
      <c r="D324" s="16">
        <v>297</v>
      </c>
      <c r="E324" s="16" t="s">
        <v>3380</v>
      </c>
      <c r="F324" s="17" t="s">
        <v>1272</v>
      </c>
      <c r="G324" s="18">
        <v>8</v>
      </c>
      <c r="H324" s="19">
        <v>7</v>
      </c>
      <c r="I324" s="19">
        <v>1</v>
      </c>
      <c r="J324" s="19"/>
      <c r="K324" s="19"/>
      <c r="L324" s="20">
        <v>15</v>
      </c>
      <c r="M324" s="21">
        <v>1.875</v>
      </c>
      <c r="N324" s="22">
        <v>7</v>
      </c>
      <c r="O324" s="22">
        <v>1</v>
      </c>
      <c r="P324" s="20">
        <v>0</v>
      </c>
      <c r="Q324" s="23">
        <v>0</v>
      </c>
      <c r="R324" s="20">
        <v>0</v>
      </c>
      <c r="S324" s="20">
        <v>0</v>
      </c>
      <c r="T324" s="18">
        <v>0</v>
      </c>
      <c r="U324" s="24"/>
      <c r="V324" s="25">
        <v>0</v>
      </c>
    </row>
    <row r="325" spans="1:22" ht="26.25">
      <c r="A325" s="66">
        <v>875</v>
      </c>
      <c r="B325" s="15"/>
      <c r="C325" s="16"/>
      <c r="D325" s="16">
        <v>297</v>
      </c>
      <c r="E325" s="16" t="s">
        <v>3380</v>
      </c>
      <c r="F325" s="17" t="s">
        <v>24</v>
      </c>
      <c r="G325" s="18">
        <v>1</v>
      </c>
      <c r="H325" s="19"/>
      <c r="I325" s="19"/>
      <c r="J325" s="19"/>
      <c r="K325" s="19"/>
      <c r="L325" s="20">
        <v>0</v>
      </c>
      <c r="M325" s="21">
        <v>0</v>
      </c>
      <c r="N325" s="22">
        <v>0</v>
      </c>
      <c r="O325" s="22">
        <v>0</v>
      </c>
      <c r="P325" s="20">
        <v>0</v>
      </c>
      <c r="Q325" s="23">
        <v>0</v>
      </c>
      <c r="R325" s="20">
        <v>0</v>
      </c>
      <c r="S325" s="20">
        <v>0</v>
      </c>
      <c r="T325" s="18">
        <v>0</v>
      </c>
      <c r="U325" s="24"/>
      <c r="V325" s="25">
        <v>0</v>
      </c>
    </row>
    <row r="326" spans="1:22" ht="26.25">
      <c r="A326" s="66">
        <v>866</v>
      </c>
      <c r="B326" s="15"/>
      <c r="C326" s="16"/>
      <c r="D326" s="16">
        <v>298</v>
      </c>
      <c r="E326" s="16" t="s">
        <v>3381</v>
      </c>
      <c r="F326" s="17" t="s">
        <v>1272</v>
      </c>
      <c r="G326" s="18">
        <v>12</v>
      </c>
      <c r="H326" s="19"/>
      <c r="I326" s="19">
        <v>4</v>
      </c>
      <c r="J326" s="19"/>
      <c r="K326" s="19"/>
      <c r="L326" s="20">
        <v>48</v>
      </c>
      <c r="M326" s="21">
        <v>4</v>
      </c>
      <c r="N326" s="22">
        <v>0</v>
      </c>
      <c r="O326" s="22">
        <v>4</v>
      </c>
      <c r="P326" s="20">
        <v>0</v>
      </c>
      <c r="Q326" s="23">
        <v>0</v>
      </c>
      <c r="R326" s="20">
        <v>0</v>
      </c>
      <c r="S326" s="20">
        <v>0</v>
      </c>
      <c r="T326" s="18">
        <v>0</v>
      </c>
      <c r="U326" s="24"/>
      <c r="V326" s="25">
        <v>0</v>
      </c>
    </row>
    <row r="327" spans="1:22" ht="26.25">
      <c r="A327" s="66">
        <v>867</v>
      </c>
      <c r="B327" s="15"/>
      <c r="C327" s="16"/>
      <c r="D327" s="16">
        <v>298</v>
      </c>
      <c r="E327" s="16" t="s">
        <v>3381</v>
      </c>
      <c r="F327" s="17" t="s">
        <v>24</v>
      </c>
      <c r="G327" s="18">
        <v>1</v>
      </c>
      <c r="H327" s="19"/>
      <c r="I327" s="19"/>
      <c r="J327" s="19"/>
      <c r="K327" s="19"/>
      <c r="L327" s="20">
        <v>0</v>
      </c>
      <c r="M327" s="21">
        <v>0</v>
      </c>
      <c r="N327" s="22">
        <v>0</v>
      </c>
      <c r="O327" s="22">
        <v>0</v>
      </c>
      <c r="P327" s="20">
        <v>0</v>
      </c>
      <c r="Q327" s="23">
        <v>0</v>
      </c>
      <c r="R327" s="20">
        <v>0</v>
      </c>
      <c r="S327" s="20">
        <v>0</v>
      </c>
      <c r="T327" s="18">
        <v>0</v>
      </c>
      <c r="U327" s="24"/>
      <c r="V327" s="25">
        <v>0</v>
      </c>
    </row>
    <row r="328" spans="1:22" ht="26.25">
      <c r="A328" s="67">
        <v>868</v>
      </c>
      <c r="B328" s="15"/>
      <c r="C328" s="16"/>
      <c r="D328" s="16">
        <v>299</v>
      </c>
      <c r="E328" s="16" t="s">
        <v>3382</v>
      </c>
      <c r="F328" s="17" t="s">
        <v>1272</v>
      </c>
      <c r="G328" s="18">
        <v>10</v>
      </c>
      <c r="H328" s="19"/>
      <c r="I328" s="19">
        <v>5</v>
      </c>
      <c r="J328" s="19"/>
      <c r="K328" s="19"/>
      <c r="L328" s="20">
        <v>50</v>
      </c>
      <c r="M328" s="21">
        <v>5</v>
      </c>
      <c r="N328" s="22">
        <v>0</v>
      </c>
      <c r="O328" s="22">
        <v>5</v>
      </c>
      <c r="P328" s="20">
        <v>0</v>
      </c>
      <c r="Q328" s="23">
        <v>0</v>
      </c>
      <c r="R328" s="20">
        <v>0</v>
      </c>
      <c r="S328" s="20">
        <v>0</v>
      </c>
      <c r="T328" s="18">
        <v>0</v>
      </c>
      <c r="U328" s="24"/>
      <c r="V328" s="25">
        <v>0</v>
      </c>
    </row>
    <row r="329" spans="1:22" ht="26.25">
      <c r="A329" s="66">
        <v>869</v>
      </c>
      <c r="B329" s="15"/>
      <c r="C329" s="16"/>
      <c r="D329" s="16">
        <v>299</v>
      </c>
      <c r="E329" s="16" t="s">
        <v>3382</v>
      </c>
      <c r="F329" s="17" t="s">
        <v>24</v>
      </c>
      <c r="G329" s="18">
        <v>1</v>
      </c>
      <c r="H329" s="19"/>
      <c r="I329" s="19"/>
      <c r="J329" s="19"/>
      <c r="K329" s="19"/>
      <c r="L329" s="20">
        <v>0</v>
      </c>
      <c r="M329" s="21">
        <v>0</v>
      </c>
      <c r="N329" s="22">
        <v>0</v>
      </c>
      <c r="O329" s="22">
        <v>0</v>
      </c>
      <c r="P329" s="20">
        <v>0</v>
      </c>
      <c r="Q329" s="23">
        <v>0</v>
      </c>
      <c r="R329" s="20">
        <v>0</v>
      </c>
      <c r="S329" s="20">
        <v>0</v>
      </c>
      <c r="T329" s="18">
        <v>0</v>
      </c>
      <c r="U329" s="24"/>
      <c r="V329" s="25">
        <v>0</v>
      </c>
    </row>
    <row r="330" spans="1:22" ht="26.25">
      <c r="A330" s="67">
        <v>865</v>
      </c>
      <c r="B330" s="15"/>
      <c r="C330" s="16"/>
      <c r="D330" s="16">
        <v>300</v>
      </c>
      <c r="E330" s="16" t="s">
        <v>3383</v>
      </c>
      <c r="F330" s="17" t="s">
        <v>1272</v>
      </c>
      <c r="G330" s="18">
        <v>6</v>
      </c>
      <c r="H330" s="19"/>
      <c r="I330" s="19">
        <v>5</v>
      </c>
      <c r="J330" s="19"/>
      <c r="K330" s="19"/>
      <c r="L330" s="20">
        <v>30</v>
      </c>
      <c r="M330" s="21">
        <v>5</v>
      </c>
      <c r="N330" s="22">
        <v>0</v>
      </c>
      <c r="O330" s="22">
        <v>5</v>
      </c>
      <c r="P330" s="20">
        <v>0</v>
      </c>
      <c r="Q330" s="23">
        <v>0</v>
      </c>
      <c r="R330" s="20">
        <v>0</v>
      </c>
      <c r="S330" s="20">
        <v>0</v>
      </c>
      <c r="T330" s="18">
        <v>0</v>
      </c>
      <c r="U330" s="24"/>
      <c r="V330" s="25">
        <v>0</v>
      </c>
    </row>
    <row r="331" spans="1:22" ht="26.25">
      <c r="A331" s="67">
        <v>949</v>
      </c>
      <c r="B331" s="15"/>
      <c r="C331" s="16"/>
      <c r="D331" s="16">
        <v>301</v>
      </c>
      <c r="E331" s="16" t="s">
        <v>3384</v>
      </c>
      <c r="F331" s="17" t="s">
        <v>1222</v>
      </c>
      <c r="G331" s="18">
        <v>50</v>
      </c>
      <c r="H331" s="19">
        <v>46</v>
      </c>
      <c r="I331" s="19"/>
      <c r="J331" s="19"/>
      <c r="K331" s="19">
        <v>1700</v>
      </c>
      <c r="L331" s="20">
        <v>46</v>
      </c>
      <c r="M331" s="21">
        <v>0.92</v>
      </c>
      <c r="N331" s="22">
        <v>46</v>
      </c>
      <c r="O331" s="22">
        <v>0</v>
      </c>
      <c r="P331" s="20">
        <v>34</v>
      </c>
      <c r="Q331" s="23">
        <v>0</v>
      </c>
      <c r="R331" s="20">
        <v>34</v>
      </c>
      <c r="S331" s="20">
        <v>1700</v>
      </c>
      <c r="T331" s="18">
        <v>1564</v>
      </c>
      <c r="U331" s="24"/>
      <c r="V331" s="25">
        <v>0</v>
      </c>
    </row>
    <row r="332" spans="1:22" ht="26.25">
      <c r="A332" s="66">
        <v>950</v>
      </c>
      <c r="B332" s="15"/>
      <c r="C332" s="16"/>
      <c r="D332" s="16">
        <v>302</v>
      </c>
      <c r="E332" s="16" t="s">
        <v>3385</v>
      </c>
      <c r="F332" s="17" t="s">
        <v>1185</v>
      </c>
      <c r="G332" s="18">
        <v>10</v>
      </c>
      <c r="H332" s="19">
        <v>4</v>
      </c>
      <c r="I332" s="19">
        <v>2</v>
      </c>
      <c r="J332" s="19"/>
      <c r="K332" s="19">
        <v>1034.4827586206898</v>
      </c>
      <c r="L332" s="20">
        <v>24</v>
      </c>
      <c r="M332" s="21">
        <v>2.4</v>
      </c>
      <c r="N332" s="22">
        <v>3.9999999999999991</v>
      </c>
      <c r="O332" s="22">
        <v>2</v>
      </c>
      <c r="P332" s="20">
        <v>103.44827586206898</v>
      </c>
      <c r="Q332" s="23">
        <v>0</v>
      </c>
      <c r="R332" s="20">
        <v>103.44827586206898</v>
      </c>
      <c r="S332" s="20">
        <v>1034.4827586206898</v>
      </c>
      <c r="T332" s="18">
        <v>2482.7586206896553</v>
      </c>
      <c r="U332" s="24" t="s">
        <v>3386</v>
      </c>
      <c r="V332" s="25">
        <v>0</v>
      </c>
    </row>
    <row r="333" spans="1:22" ht="26.25">
      <c r="A333" s="66">
        <v>951</v>
      </c>
      <c r="B333" s="15"/>
      <c r="C333" s="16"/>
      <c r="D333" s="16">
        <v>302</v>
      </c>
      <c r="E333" s="16" t="s">
        <v>3385</v>
      </c>
      <c r="F333" s="17" t="s">
        <v>24</v>
      </c>
      <c r="G333" s="18">
        <v>1</v>
      </c>
      <c r="H333" s="19"/>
      <c r="I333" s="19"/>
      <c r="J333" s="19"/>
      <c r="K333" s="19"/>
      <c r="L333" s="20">
        <v>0</v>
      </c>
      <c r="M333" s="21">
        <v>0</v>
      </c>
      <c r="N333" s="22">
        <v>0</v>
      </c>
      <c r="O333" s="22">
        <v>0</v>
      </c>
      <c r="P333" s="20">
        <v>0</v>
      </c>
      <c r="Q333" s="23">
        <v>0</v>
      </c>
      <c r="R333" s="20">
        <v>0</v>
      </c>
      <c r="S333" s="20">
        <v>0</v>
      </c>
      <c r="T333" s="18">
        <v>0</v>
      </c>
      <c r="U333" s="24" t="s">
        <v>3386</v>
      </c>
      <c r="V333" s="25">
        <v>0</v>
      </c>
    </row>
    <row r="334" spans="1:22" ht="26.25">
      <c r="A334" s="67">
        <v>1078</v>
      </c>
      <c r="B334" s="15"/>
      <c r="C334" s="16"/>
      <c r="D334" s="16">
        <v>303</v>
      </c>
      <c r="E334" s="16" t="s">
        <v>3387</v>
      </c>
      <c r="F334" s="17" t="s">
        <v>1185</v>
      </c>
      <c r="G334" s="18">
        <v>10</v>
      </c>
      <c r="H334" s="19">
        <v>6</v>
      </c>
      <c r="I334" s="19"/>
      <c r="J334" s="19"/>
      <c r="K334" s="19"/>
      <c r="L334" s="20">
        <v>6</v>
      </c>
      <c r="M334" s="21">
        <v>0.6</v>
      </c>
      <c r="N334" s="22">
        <v>6</v>
      </c>
      <c r="O334" s="22">
        <v>0</v>
      </c>
      <c r="P334" s="20">
        <v>0</v>
      </c>
      <c r="Q334" s="23">
        <v>0</v>
      </c>
      <c r="R334" s="20">
        <v>0</v>
      </c>
      <c r="S334" s="20">
        <v>0</v>
      </c>
      <c r="T334" s="18">
        <v>0</v>
      </c>
      <c r="U334" s="24"/>
      <c r="V334" s="25">
        <v>0</v>
      </c>
    </row>
    <row r="335" spans="1:22" ht="26.25">
      <c r="A335" s="67">
        <v>1078</v>
      </c>
      <c r="B335" s="15"/>
      <c r="C335" s="16"/>
      <c r="D335" s="16">
        <v>304</v>
      </c>
      <c r="E335" s="16" t="s">
        <v>3388</v>
      </c>
      <c r="F335" s="17" t="s">
        <v>1185</v>
      </c>
      <c r="G335" s="18">
        <v>12</v>
      </c>
      <c r="H335" s="19">
        <v>6</v>
      </c>
      <c r="I335" s="19"/>
      <c r="J335" s="19"/>
      <c r="K335" s="19"/>
      <c r="L335" s="20">
        <v>6</v>
      </c>
      <c r="M335" s="21">
        <v>0.5</v>
      </c>
      <c r="N335" s="22">
        <v>6</v>
      </c>
      <c r="O335" s="22">
        <v>0</v>
      </c>
      <c r="P335" s="20">
        <v>0</v>
      </c>
      <c r="Q335" s="23">
        <v>0</v>
      </c>
      <c r="R335" s="20">
        <v>0</v>
      </c>
      <c r="S335" s="20">
        <v>0</v>
      </c>
      <c r="T335" s="18">
        <v>0</v>
      </c>
      <c r="U335" s="24"/>
      <c r="V335" s="25">
        <v>0</v>
      </c>
    </row>
    <row r="336" spans="1:22" ht="26.25">
      <c r="A336" s="67">
        <v>1078</v>
      </c>
      <c r="B336" s="15"/>
      <c r="C336" s="16"/>
      <c r="D336" s="16">
        <v>304</v>
      </c>
      <c r="E336" s="16" t="s">
        <v>3388</v>
      </c>
      <c r="F336" s="17" t="s">
        <v>1185</v>
      </c>
      <c r="G336" s="18">
        <v>12</v>
      </c>
      <c r="H336" s="19">
        <v>6</v>
      </c>
      <c r="I336" s="19"/>
      <c r="J336" s="19"/>
      <c r="K336" s="19"/>
      <c r="L336" s="20">
        <v>6</v>
      </c>
      <c r="M336" s="21">
        <v>0.5</v>
      </c>
      <c r="N336" s="22">
        <v>6</v>
      </c>
      <c r="O336" s="22">
        <v>0</v>
      </c>
      <c r="P336" s="20">
        <v>0</v>
      </c>
      <c r="Q336" s="23">
        <v>0</v>
      </c>
      <c r="R336" s="20">
        <v>0</v>
      </c>
      <c r="S336" s="20">
        <v>0</v>
      </c>
      <c r="T336" s="18">
        <v>0</v>
      </c>
      <c r="U336" s="24"/>
      <c r="V336" s="25">
        <v>0</v>
      </c>
    </row>
    <row r="337" spans="1:23" ht="26.25">
      <c r="A337" s="66">
        <v>74</v>
      </c>
      <c r="B337" s="15"/>
      <c r="C337" s="16"/>
      <c r="D337" s="16">
        <v>305</v>
      </c>
      <c r="E337" s="16" t="s">
        <v>1595</v>
      </c>
      <c r="F337" s="17" t="s">
        <v>24</v>
      </c>
      <c r="G337" s="18">
        <v>1</v>
      </c>
      <c r="H337" s="19">
        <v>1</v>
      </c>
      <c r="I337" s="19"/>
      <c r="J337" s="19"/>
      <c r="K337" s="19"/>
      <c r="L337" s="20">
        <v>1</v>
      </c>
      <c r="M337" s="21">
        <v>1</v>
      </c>
      <c r="N337" s="22">
        <v>1</v>
      </c>
      <c r="O337" s="22">
        <v>0</v>
      </c>
      <c r="P337" s="20">
        <v>0</v>
      </c>
      <c r="Q337" s="23">
        <v>0</v>
      </c>
      <c r="R337" s="20">
        <v>0</v>
      </c>
      <c r="S337" s="20">
        <v>0</v>
      </c>
      <c r="T337" s="18">
        <v>0</v>
      </c>
      <c r="U337" s="24"/>
      <c r="V337" s="25">
        <v>0</v>
      </c>
    </row>
    <row r="338" spans="1:23" ht="26.25">
      <c r="A338" s="66">
        <v>74</v>
      </c>
      <c r="B338" s="15"/>
      <c r="C338" s="16"/>
      <c r="D338" s="16">
        <v>306</v>
      </c>
      <c r="E338" s="16" t="s">
        <v>3389</v>
      </c>
      <c r="F338" s="17" t="s">
        <v>24</v>
      </c>
      <c r="G338" s="18">
        <v>1</v>
      </c>
      <c r="H338" s="19">
        <v>1</v>
      </c>
      <c r="I338" s="19"/>
      <c r="J338" s="19"/>
      <c r="K338" s="19">
        <v>170</v>
      </c>
      <c r="L338" s="20">
        <v>1</v>
      </c>
      <c r="M338" s="21">
        <v>1</v>
      </c>
      <c r="N338" s="22">
        <v>1</v>
      </c>
      <c r="O338" s="22">
        <v>0</v>
      </c>
      <c r="P338" s="20">
        <v>170</v>
      </c>
      <c r="Q338" s="23">
        <v>0</v>
      </c>
      <c r="R338" s="20">
        <v>170</v>
      </c>
      <c r="S338" s="20">
        <v>170</v>
      </c>
      <c r="T338" s="18">
        <v>170</v>
      </c>
      <c r="U338" s="24" t="s">
        <v>3119</v>
      </c>
      <c r="V338" s="25">
        <v>0</v>
      </c>
    </row>
    <row r="339" spans="1:23" ht="26.25">
      <c r="A339" s="67">
        <v>856</v>
      </c>
      <c r="B339" s="15"/>
      <c r="C339" s="16"/>
      <c r="D339" s="16">
        <v>307</v>
      </c>
      <c r="E339" s="16" t="s">
        <v>3390</v>
      </c>
      <c r="F339" s="17" t="s">
        <v>1272</v>
      </c>
      <c r="G339" s="18">
        <v>12</v>
      </c>
      <c r="H339" s="19"/>
      <c r="I339" s="19">
        <v>1</v>
      </c>
      <c r="J339" s="19"/>
      <c r="K339" s="19"/>
      <c r="L339" s="20">
        <v>12</v>
      </c>
      <c r="M339" s="21">
        <v>1</v>
      </c>
      <c r="N339" s="22">
        <v>0</v>
      </c>
      <c r="O339" s="22">
        <v>1</v>
      </c>
      <c r="P339" s="20">
        <v>0</v>
      </c>
      <c r="Q339" s="23">
        <v>0</v>
      </c>
      <c r="R339" s="20">
        <v>0</v>
      </c>
      <c r="S339" s="20">
        <v>0</v>
      </c>
      <c r="T339" s="18">
        <v>0</v>
      </c>
      <c r="U339" s="24"/>
      <c r="V339" s="25">
        <v>0</v>
      </c>
    </row>
    <row r="340" spans="1:23" ht="26.25">
      <c r="A340" s="67">
        <v>856</v>
      </c>
      <c r="B340" s="15"/>
      <c r="C340" s="16"/>
      <c r="D340" s="16">
        <v>308</v>
      </c>
      <c r="E340" s="16" t="s">
        <v>3391</v>
      </c>
      <c r="F340" s="17" t="s">
        <v>1185</v>
      </c>
      <c r="G340" s="18">
        <v>1</v>
      </c>
      <c r="H340" s="19">
        <v>31</v>
      </c>
      <c r="I340" s="19"/>
      <c r="J340" s="19">
        <v>30</v>
      </c>
      <c r="K340" s="19"/>
      <c r="L340" s="20">
        <v>31</v>
      </c>
      <c r="M340" s="21">
        <v>31</v>
      </c>
      <c r="N340" s="22">
        <v>31</v>
      </c>
      <c r="O340" s="22">
        <v>0</v>
      </c>
      <c r="P340" s="20">
        <v>0</v>
      </c>
      <c r="Q340" s="23">
        <v>30</v>
      </c>
      <c r="R340" s="20">
        <v>30</v>
      </c>
      <c r="S340" s="20">
        <v>30</v>
      </c>
      <c r="T340" s="18">
        <v>930</v>
      </c>
      <c r="U340" s="24" t="s">
        <v>3119</v>
      </c>
      <c r="V340" s="25">
        <v>0</v>
      </c>
    </row>
    <row r="341" spans="1:23" ht="26.25">
      <c r="A341" s="67">
        <v>1198</v>
      </c>
      <c r="B341" s="15"/>
      <c r="C341" s="16"/>
      <c r="D341" s="16">
        <v>309</v>
      </c>
      <c r="E341" s="16" t="s">
        <v>3392</v>
      </c>
      <c r="F341" s="17" t="s">
        <v>24</v>
      </c>
      <c r="G341" s="18">
        <v>1</v>
      </c>
      <c r="H341" s="19">
        <v>63</v>
      </c>
      <c r="I341" s="19"/>
      <c r="J341" s="19"/>
      <c r="K341" s="19"/>
      <c r="L341" s="20">
        <v>63</v>
      </c>
      <c r="M341" s="21">
        <v>63</v>
      </c>
      <c r="N341" s="22">
        <v>63</v>
      </c>
      <c r="O341" s="22">
        <v>0</v>
      </c>
      <c r="P341" s="20">
        <v>0</v>
      </c>
      <c r="Q341" s="23">
        <v>0</v>
      </c>
      <c r="R341" s="20">
        <v>0</v>
      </c>
      <c r="S341" s="20">
        <v>0</v>
      </c>
      <c r="T341" s="18">
        <v>0</v>
      </c>
      <c r="U341" s="24"/>
      <c r="V341" s="25">
        <v>0</v>
      </c>
    </row>
    <row r="342" spans="1:23" ht="26.25">
      <c r="A342" s="67">
        <v>1198</v>
      </c>
      <c r="B342" s="15"/>
      <c r="C342" s="16"/>
      <c r="D342" s="16">
        <v>310</v>
      </c>
      <c r="E342" s="16" t="s">
        <v>3393</v>
      </c>
      <c r="F342" s="17" t="s">
        <v>24</v>
      </c>
      <c r="G342" s="18">
        <v>1</v>
      </c>
      <c r="H342" s="19">
        <v>9</v>
      </c>
      <c r="I342" s="19"/>
      <c r="J342" s="19"/>
      <c r="K342" s="19"/>
      <c r="L342" s="20">
        <v>9</v>
      </c>
      <c r="M342" s="21">
        <v>9</v>
      </c>
      <c r="N342" s="22">
        <v>9</v>
      </c>
      <c r="O342" s="22">
        <v>0</v>
      </c>
      <c r="P342" s="20">
        <v>0</v>
      </c>
      <c r="Q342" s="23">
        <v>0</v>
      </c>
      <c r="R342" s="20">
        <v>0</v>
      </c>
      <c r="S342" s="20">
        <v>0</v>
      </c>
      <c r="T342" s="18">
        <v>0</v>
      </c>
      <c r="U342" s="24"/>
      <c r="V342" s="25">
        <v>0</v>
      </c>
    </row>
    <row r="343" spans="1:23" ht="26.25">
      <c r="A343" s="66">
        <v>1955</v>
      </c>
      <c r="B343" s="15"/>
      <c r="C343" s="16"/>
      <c r="D343" s="16">
        <v>311</v>
      </c>
      <c r="E343" s="16" t="s">
        <v>1442</v>
      </c>
      <c r="F343" s="17" t="s">
        <v>24</v>
      </c>
      <c r="G343" s="18">
        <v>1</v>
      </c>
      <c r="H343" s="19">
        <v>78</v>
      </c>
      <c r="I343" s="19"/>
      <c r="J343" s="19">
        <v>50</v>
      </c>
      <c r="K343" s="19"/>
      <c r="L343" s="20">
        <v>78</v>
      </c>
      <c r="M343" s="21">
        <v>78</v>
      </c>
      <c r="N343" s="22">
        <v>78</v>
      </c>
      <c r="O343" s="22">
        <v>0</v>
      </c>
      <c r="P343" s="20">
        <v>0</v>
      </c>
      <c r="Q343" s="23">
        <v>50</v>
      </c>
      <c r="R343" s="20">
        <v>50</v>
      </c>
      <c r="S343" s="20">
        <v>50</v>
      </c>
      <c r="T343" s="18">
        <v>3900</v>
      </c>
      <c r="U343" s="24" t="s">
        <v>3101</v>
      </c>
      <c r="V343" s="25">
        <v>0</v>
      </c>
    </row>
    <row r="344" spans="1:23" ht="26.25">
      <c r="A344" s="66">
        <v>381</v>
      </c>
      <c r="B344" s="15"/>
      <c r="C344" s="16"/>
      <c r="D344" s="16">
        <v>312</v>
      </c>
      <c r="E344" s="16" t="s">
        <v>3394</v>
      </c>
      <c r="F344" s="17" t="s">
        <v>24</v>
      </c>
      <c r="G344" s="18">
        <v>1</v>
      </c>
      <c r="H344" s="19">
        <v>1</v>
      </c>
      <c r="I344" s="19"/>
      <c r="J344" s="19"/>
      <c r="K344" s="19">
        <v>600</v>
      </c>
      <c r="L344" s="20">
        <v>1</v>
      </c>
      <c r="M344" s="21">
        <v>1</v>
      </c>
      <c r="N344" s="22">
        <v>1</v>
      </c>
      <c r="O344" s="22">
        <v>0</v>
      </c>
      <c r="P344" s="20">
        <v>600</v>
      </c>
      <c r="Q344" s="23">
        <v>0</v>
      </c>
      <c r="R344" s="20">
        <v>600</v>
      </c>
      <c r="S344" s="20">
        <v>600</v>
      </c>
      <c r="T344" s="18">
        <v>600</v>
      </c>
      <c r="U344" s="24" t="s">
        <v>3101</v>
      </c>
      <c r="V344" s="25">
        <v>0</v>
      </c>
    </row>
    <row r="345" spans="1:23" ht="26.25">
      <c r="A345" s="66">
        <v>716</v>
      </c>
      <c r="B345" s="15"/>
      <c r="C345" s="16"/>
      <c r="D345" s="16">
        <v>313</v>
      </c>
      <c r="E345" s="16" t="s">
        <v>3395</v>
      </c>
      <c r="F345" s="17" t="s">
        <v>24</v>
      </c>
      <c r="G345" s="18">
        <v>1</v>
      </c>
      <c r="H345" s="19">
        <v>1</v>
      </c>
      <c r="I345" s="19"/>
      <c r="J345" s="19">
        <v>117</v>
      </c>
      <c r="K345" s="19"/>
      <c r="L345" s="20">
        <v>1</v>
      </c>
      <c r="M345" s="21">
        <v>1</v>
      </c>
      <c r="N345" s="22">
        <v>1</v>
      </c>
      <c r="O345" s="22">
        <v>0</v>
      </c>
      <c r="P345" s="20">
        <v>0</v>
      </c>
      <c r="Q345" s="23">
        <v>117</v>
      </c>
      <c r="R345" s="20">
        <v>117</v>
      </c>
      <c r="S345" s="20">
        <v>117</v>
      </c>
      <c r="T345" s="18">
        <v>117</v>
      </c>
      <c r="U345" s="24"/>
      <c r="V345" s="25">
        <v>0</v>
      </c>
    </row>
    <row r="346" spans="1:23" ht="26.25">
      <c r="A346" s="66">
        <v>1097</v>
      </c>
      <c r="B346" s="15"/>
      <c r="C346" s="16"/>
      <c r="D346" s="16">
        <v>314</v>
      </c>
      <c r="E346" s="16" t="s">
        <v>3396</v>
      </c>
      <c r="F346" s="17" t="s">
        <v>24</v>
      </c>
      <c r="G346" s="18">
        <v>1</v>
      </c>
      <c r="H346" s="19">
        <v>1</v>
      </c>
      <c r="I346" s="19"/>
      <c r="J346" s="19">
        <v>100</v>
      </c>
      <c r="K346" s="19"/>
      <c r="L346" s="20">
        <v>1</v>
      </c>
      <c r="M346" s="21">
        <v>1</v>
      </c>
      <c r="N346" s="22">
        <v>1</v>
      </c>
      <c r="O346" s="22">
        <v>0</v>
      </c>
      <c r="P346" s="20">
        <v>0</v>
      </c>
      <c r="Q346" s="23">
        <v>100</v>
      </c>
      <c r="R346" s="20">
        <v>100</v>
      </c>
      <c r="S346" s="20">
        <v>100</v>
      </c>
      <c r="T346" s="18">
        <v>100</v>
      </c>
      <c r="U346" s="24"/>
      <c r="V346" s="25">
        <v>0</v>
      </c>
      <c r="W346" s="3"/>
    </row>
    <row r="347" spans="1:23" ht="26.25">
      <c r="A347" s="66">
        <v>794</v>
      </c>
      <c r="B347" s="15"/>
      <c r="C347" s="16"/>
      <c r="D347" s="16">
        <v>315</v>
      </c>
      <c r="E347" s="16" t="s">
        <v>3397</v>
      </c>
      <c r="F347" s="17" t="s">
        <v>24</v>
      </c>
      <c r="G347" s="18">
        <v>1</v>
      </c>
      <c r="H347" s="19">
        <v>1</v>
      </c>
      <c r="I347" s="19"/>
      <c r="J347" s="19"/>
      <c r="K347" s="19">
        <v>2200</v>
      </c>
      <c r="L347" s="20">
        <v>1</v>
      </c>
      <c r="M347" s="21">
        <v>1</v>
      </c>
      <c r="N347" s="22">
        <v>1</v>
      </c>
      <c r="O347" s="22">
        <v>0</v>
      </c>
      <c r="P347" s="20">
        <v>2200</v>
      </c>
      <c r="Q347" s="23">
        <v>0</v>
      </c>
      <c r="R347" s="20">
        <v>2200</v>
      </c>
      <c r="S347" s="20">
        <v>2200</v>
      </c>
      <c r="T347" s="18">
        <v>2200</v>
      </c>
      <c r="U347" s="24" t="s">
        <v>3119</v>
      </c>
      <c r="V347" s="25">
        <v>0</v>
      </c>
    </row>
    <row r="348" spans="1:23" ht="26.25">
      <c r="A348" s="66">
        <v>1955</v>
      </c>
      <c r="B348" s="15"/>
      <c r="C348" s="16"/>
      <c r="D348" s="16">
        <v>316</v>
      </c>
      <c r="E348" s="16" t="s">
        <v>3398</v>
      </c>
      <c r="F348" s="17" t="s">
        <v>24</v>
      </c>
      <c r="G348" s="18">
        <v>1</v>
      </c>
      <c r="H348" s="19">
        <v>6</v>
      </c>
      <c r="I348" s="19"/>
      <c r="J348" s="19"/>
      <c r="K348" s="19"/>
      <c r="L348" s="20">
        <v>6</v>
      </c>
      <c r="M348" s="21">
        <v>6</v>
      </c>
      <c r="N348" s="22">
        <v>6</v>
      </c>
      <c r="O348" s="22">
        <v>0</v>
      </c>
      <c r="P348" s="20">
        <v>0</v>
      </c>
      <c r="Q348" s="23">
        <v>0</v>
      </c>
      <c r="R348" s="20">
        <v>0</v>
      </c>
      <c r="S348" s="20">
        <v>0</v>
      </c>
      <c r="T348" s="18">
        <v>0</v>
      </c>
      <c r="U348" s="24"/>
      <c r="V348" s="25">
        <v>0</v>
      </c>
    </row>
    <row r="349" spans="1:23" ht="26.25">
      <c r="A349" s="67">
        <v>1762</v>
      </c>
      <c r="B349" s="15"/>
      <c r="C349" s="16"/>
      <c r="D349" s="16">
        <v>317</v>
      </c>
      <c r="E349" s="16" t="s">
        <v>3399</v>
      </c>
      <c r="F349" s="17" t="s">
        <v>1185</v>
      </c>
      <c r="G349" s="18">
        <v>100</v>
      </c>
      <c r="H349" s="19">
        <v>20</v>
      </c>
      <c r="I349" s="19">
        <v>2</v>
      </c>
      <c r="J349" s="19"/>
      <c r="K349" s="19"/>
      <c r="L349" s="20">
        <v>220</v>
      </c>
      <c r="M349" s="21">
        <v>2.2000000000000002</v>
      </c>
      <c r="N349" s="22">
        <v>20.000000000000018</v>
      </c>
      <c r="O349" s="22">
        <v>2</v>
      </c>
      <c r="P349" s="20">
        <v>0</v>
      </c>
      <c r="Q349" s="23">
        <v>0</v>
      </c>
      <c r="R349" s="20">
        <v>0</v>
      </c>
      <c r="S349" s="20">
        <v>0</v>
      </c>
      <c r="T349" s="18">
        <v>0</v>
      </c>
      <c r="U349" s="24"/>
      <c r="V349" s="25">
        <v>0</v>
      </c>
    </row>
    <row r="350" spans="1:23" ht="26.25">
      <c r="A350" s="66">
        <v>1172</v>
      </c>
      <c r="B350" s="15"/>
      <c r="C350" s="16"/>
      <c r="D350" s="16">
        <v>318</v>
      </c>
      <c r="E350" s="16" t="s">
        <v>3400</v>
      </c>
      <c r="F350" s="17" t="s">
        <v>24</v>
      </c>
      <c r="G350" s="18">
        <v>1</v>
      </c>
      <c r="H350" s="19">
        <v>6</v>
      </c>
      <c r="I350" s="19"/>
      <c r="J350" s="19">
        <v>600</v>
      </c>
      <c r="K350" s="19"/>
      <c r="L350" s="20">
        <v>6</v>
      </c>
      <c r="M350" s="21">
        <v>6</v>
      </c>
      <c r="N350" s="22">
        <v>6</v>
      </c>
      <c r="O350" s="22">
        <v>0</v>
      </c>
      <c r="P350" s="20">
        <v>0</v>
      </c>
      <c r="Q350" s="23">
        <v>600</v>
      </c>
      <c r="R350" s="20">
        <v>600</v>
      </c>
      <c r="S350" s="20">
        <v>600</v>
      </c>
      <c r="T350" s="18">
        <v>3600</v>
      </c>
      <c r="U350" s="24"/>
      <c r="V350" s="25">
        <v>0</v>
      </c>
    </row>
    <row r="351" spans="1:23" ht="26.25">
      <c r="A351" s="66">
        <v>1854</v>
      </c>
      <c r="B351" s="15"/>
      <c r="C351" s="16"/>
      <c r="D351" s="16">
        <v>319</v>
      </c>
      <c r="E351" s="16" t="s">
        <v>1441</v>
      </c>
      <c r="F351" s="17" t="s">
        <v>1198</v>
      </c>
      <c r="G351" s="18">
        <v>12</v>
      </c>
      <c r="H351" s="19">
        <v>5</v>
      </c>
      <c r="I351" s="19"/>
      <c r="J351" s="19"/>
      <c r="K351" s="19">
        <v>500</v>
      </c>
      <c r="L351" s="20">
        <v>5</v>
      </c>
      <c r="M351" s="21">
        <v>0.41666666666666669</v>
      </c>
      <c r="N351" s="22">
        <v>5</v>
      </c>
      <c r="O351" s="22">
        <v>0</v>
      </c>
      <c r="P351" s="20">
        <v>41.666666666666664</v>
      </c>
      <c r="Q351" s="23">
        <v>0</v>
      </c>
      <c r="R351" s="20">
        <v>41.666666666666664</v>
      </c>
      <c r="S351" s="20">
        <v>500</v>
      </c>
      <c r="T351" s="18">
        <v>208.33333333333331</v>
      </c>
      <c r="U351" s="24"/>
      <c r="V351" s="25">
        <v>0</v>
      </c>
    </row>
    <row r="352" spans="1:23" ht="26.25">
      <c r="A352" s="67">
        <v>1858</v>
      </c>
      <c r="B352" s="15"/>
      <c r="C352" s="16"/>
      <c r="D352" s="16">
        <v>320</v>
      </c>
      <c r="E352" s="16" t="s">
        <v>2693</v>
      </c>
      <c r="F352" s="17" t="s">
        <v>24</v>
      </c>
      <c r="G352" s="18">
        <v>1</v>
      </c>
      <c r="H352" s="19">
        <v>1</v>
      </c>
      <c r="I352" s="19"/>
      <c r="J352" s="19">
        <v>120</v>
      </c>
      <c r="K352" s="19"/>
      <c r="L352" s="20">
        <v>1</v>
      </c>
      <c r="M352" s="21">
        <v>1</v>
      </c>
      <c r="N352" s="22">
        <v>1</v>
      </c>
      <c r="O352" s="22">
        <v>0</v>
      </c>
      <c r="P352" s="20">
        <v>0</v>
      </c>
      <c r="Q352" s="23">
        <v>120</v>
      </c>
      <c r="R352" s="20">
        <v>120</v>
      </c>
      <c r="S352" s="20">
        <v>120</v>
      </c>
      <c r="T352" s="18">
        <v>120</v>
      </c>
      <c r="U352" s="24"/>
      <c r="V352" s="25">
        <v>0</v>
      </c>
    </row>
    <row r="353" spans="1:22" ht="26.25">
      <c r="A353" s="66">
        <v>1859</v>
      </c>
      <c r="B353" s="15"/>
      <c r="C353" s="16"/>
      <c r="D353" s="16">
        <v>321</v>
      </c>
      <c r="E353" s="16" t="s">
        <v>3401</v>
      </c>
      <c r="F353" s="17" t="s">
        <v>24</v>
      </c>
      <c r="G353" s="18">
        <v>1</v>
      </c>
      <c r="H353" s="19">
        <v>9</v>
      </c>
      <c r="I353" s="19"/>
      <c r="J353" s="19">
        <v>240</v>
      </c>
      <c r="K353" s="19"/>
      <c r="L353" s="20">
        <v>9</v>
      </c>
      <c r="M353" s="21">
        <v>9</v>
      </c>
      <c r="N353" s="22">
        <v>9</v>
      </c>
      <c r="O353" s="22">
        <v>0</v>
      </c>
      <c r="P353" s="20">
        <v>0</v>
      </c>
      <c r="Q353" s="23">
        <v>240</v>
      </c>
      <c r="R353" s="20">
        <v>240</v>
      </c>
      <c r="S353" s="20">
        <v>240</v>
      </c>
      <c r="T353" s="18">
        <v>2160</v>
      </c>
      <c r="U353" s="24" t="s">
        <v>3119</v>
      </c>
      <c r="V353" s="25">
        <v>0</v>
      </c>
    </row>
    <row r="354" spans="1:22" ht="26.25">
      <c r="A354" s="66">
        <v>809</v>
      </c>
      <c r="B354" s="15"/>
      <c r="C354" s="16"/>
      <c r="D354" s="16">
        <v>323</v>
      </c>
      <c r="E354" s="16" t="s">
        <v>3402</v>
      </c>
      <c r="F354" s="17" t="s">
        <v>24</v>
      </c>
      <c r="G354" s="18">
        <v>1</v>
      </c>
      <c r="H354" s="19">
        <v>3</v>
      </c>
      <c r="I354" s="19"/>
      <c r="J354" s="19">
        <v>450</v>
      </c>
      <c r="K354" s="19"/>
      <c r="L354" s="20">
        <v>3</v>
      </c>
      <c r="M354" s="21">
        <v>3</v>
      </c>
      <c r="N354" s="22">
        <v>3</v>
      </c>
      <c r="O354" s="22">
        <v>0</v>
      </c>
      <c r="P354" s="20">
        <v>0</v>
      </c>
      <c r="Q354" s="23">
        <v>450</v>
      </c>
      <c r="R354" s="20">
        <v>450</v>
      </c>
      <c r="S354" s="20">
        <v>450</v>
      </c>
      <c r="T354" s="18">
        <v>1350</v>
      </c>
      <c r="U354" s="24"/>
      <c r="V354" s="25">
        <v>0</v>
      </c>
    </row>
    <row r="355" spans="1:22" ht="26.25">
      <c r="A355" s="67">
        <v>1861</v>
      </c>
      <c r="B355" s="15"/>
      <c r="C355" s="16"/>
      <c r="D355" s="16">
        <v>324</v>
      </c>
      <c r="E355" s="16" t="s">
        <v>3403</v>
      </c>
      <c r="F355" s="17" t="s">
        <v>24</v>
      </c>
      <c r="G355" s="18">
        <v>1</v>
      </c>
      <c r="H355" s="19">
        <v>5</v>
      </c>
      <c r="I355" s="19"/>
      <c r="J355" s="19">
        <v>200</v>
      </c>
      <c r="K355" s="19"/>
      <c r="L355" s="20">
        <v>5</v>
      </c>
      <c r="M355" s="21">
        <v>5</v>
      </c>
      <c r="N355" s="22">
        <v>5</v>
      </c>
      <c r="O355" s="22">
        <v>0</v>
      </c>
      <c r="P355" s="20">
        <v>0</v>
      </c>
      <c r="Q355" s="23">
        <v>200</v>
      </c>
      <c r="R355" s="20">
        <v>200</v>
      </c>
      <c r="S355" s="20">
        <v>200</v>
      </c>
      <c r="T355" s="18">
        <v>1000</v>
      </c>
      <c r="U355" s="24"/>
      <c r="V355" s="25">
        <v>0</v>
      </c>
    </row>
    <row r="356" spans="1:22" ht="26.25">
      <c r="A356" s="66">
        <v>1853</v>
      </c>
      <c r="B356" s="15"/>
      <c r="C356" s="16"/>
      <c r="D356" s="16">
        <v>325</v>
      </c>
      <c r="E356" s="16" t="s">
        <v>3404</v>
      </c>
      <c r="F356" s="17" t="s">
        <v>24</v>
      </c>
      <c r="G356" s="18">
        <v>1</v>
      </c>
      <c r="H356" s="19">
        <v>4</v>
      </c>
      <c r="I356" s="19"/>
      <c r="J356" s="19">
        <v>100</v>
      </c>
      <c r="K356" s="19"/>
      <c r="L356" s="20">
        <v>4</v>
      </c>
      <c r="M356" s="21">
        <v>4</v>
      </c>
      <c r="N356" s="22">
        <v>4</v>
      </c>
      <c r="O356" s="22">
        <v>0</v>
      </c>
      <c r="P356" s="20">
        <v>0</v>
      </c>
      <c r="Q356" s="23">
        <v>100</v>
      </c>
      <c r="R356" s="20">
        <v>100</v>
      </c>
      <c r="S356" s="20">
        <v>100</v>
      </c>
      <c r="T356" s="18">
        <v>400</v>
      </c>
      <c r="U356" s="24"/>
      <c r="V356" s="25">
        <v>0</v>
      </c>
    </row>
    <row r="357" spans="1:22" ht="26.25">
      <c r="A357" s="67">
        <v>1852</v>
      </c>
      <c r="B357" s="15"/>
      <c r="C357" s="16"/>
      <c r="D357" s="16">
        <v>326</v>
      </c>
      <c r="E357" s="16" t="s">
        <v>3405</v>
      </c>
      <c r="F357" s="17" t="s">
        <v>24</v>
      </c>
      <c r="G357" s="18">
        <v>1</v>
      </c>
      <c r="H357" s="19">
        <v>25</v>
      </c>
      <c r="I357" s="19"/>
      <c r="J357" s="19">
        <v>450</v>
      </c>
      <c r="K357" s="19"/>
      <c r="L357" s="20">
        <v>25</v>
      </c>
      <c r="M357" s="21">
        <v>25</v>
      </c>
      <c r="N357" s="22">
        <v>25</v>
      </c>
      <c r="O357" s="22">
        <v>0</v>
      </c>
      <c r="P357" s="20">
        <v>0</v>
      </c>
      <c r="Q357" s="23">
        <v>450</v>
      </c>
      <c r="R357" s="20">
        <v>450</v>
      </c>
      <c r="S357" s="20">
        <v>450</v>
      </c>
      <c r="T357" s="18">
        <v>11250</v>
      </c>
      <c r="U357" s="24"/>
      <c r="V357" s="25">
        <v>0</v>
      </c>
    </row>
    <row r="358" spans="1:22" ht="26.25">
      <c r="A358" s="66">
        <v>1851</v>
      </c>
      <c r="B358" s="15"/>
      <c r="C358" s="16"/>
      <c r="D358" s="16">
        <v>327</v>
      </c>
      <c r="E358" s="16" t="s">
        <v>3406</v>
      </c>
      <c r="F358" s="17" t="s">
        <v>24</v>
      </c>
      <c r="G358" s="18">
        <v>1</v>
      </c>
      <c r="H358" s="19">
        <v>2</v>
      </c>
      <c r="I358" s="19"/>
      <c r="J358" s="19">
        <v>340</v>
      </c>
      <c r="K358" s="19"/>
      <c r="L358" s="20">
        <v>2</v>
      </c>
      <c r="M358" s="21">
        <v>2</v>
      </c>
      <c r="N358" s="22">
        <v>2</v>
      </c>
      <c r="O358" s="22">
        <v>0</v>
      </c>
      <c r="P358" s="20">
        <v>0</v>
      </c>
      <c r="Q358" s="23">
        <v>340</v>
      </c>
      <c r="R358" s="20">
        <v>340</v>
      </c>
      <c r="S358" s="20">
        <v>340</v>
      </c>
      <c r="T358" s="18">
        <v>680</v>
      </c>
      <c r="U358" s="24"/>
      <c r="V358" s="25">
        <v>0</v>
      </c>
    </row>
    <row r="359" spans="1:22" ht="26.25">
      <c r="A359" s="67">
        <v>1327</v>
      </c>
      <c r="B359" s="15"/>
      <c r="C359" s="16"/>
      <c r="D359" s="16">
        <v>328</v>
      </c>
      <c r="E359" s="16" t="s">
        <v>2346</v>
      </c>
      <c r="F359" s="17" t="s">
        <v>24</v>
      </c>
      <c r="G359" s="18">
        <v>1</v>
      </c>
      <c r="H359" s="19">
        <v>2</v>
      </c>
      <c r="I359" s="19"/>
      <c r="J359" s="19"/>
      <c r="K359" s="19"/>
      <c r="L359" s="20">
        <v>2</v>
      </c>
      <c r="M359" s="21">
        <v>2</v>
      </c>
      <c r="N359" s="22">
        <v>2</v>
      </c>
      <c r="O359" s="22">
        <v>0</v>
      </c>
      <c r="P359" s="20">
        <v>0</v>
      </c>
      <c r="Q359" s="23">
        <v>0</v>
      </c>
      <c r="R359" s="20">
        <v>0</v>
      </c>
      <c r="S359" s="20">
        <v>0</v>
      </c>
      <c r="T359" s="18">
        <v>0</v>
      </c>
      <c r="U359" s="24"/>
      <c r="V359" s="25">
        <v>0</v>
      </c>
    </row>
    <row r="360" spans="1:22" ht="26.25">
      <c r="A360" s="67">
        <v>1522</v>
      </c>
      <c r="B360" s="15"/>
      <c r="C360" s="16"/>
      <c r="D360" s="16">
        <v>329</v>
      </c>
      <c r="E360" s="16" t="s">
        <v>3407</v>
      </c>
      <c r="F360" s="17" t="s">
        <v>3332</v>
      </c>
      <c r="G360" s="18">
        <v>1</v>
      </c>
      <c r="H360" s="19"/>
      <c r="I360" s="19">
        <v>6</v>
      </c>
      <c r="J360" s="19"/>
      <c r="K360" s="19">
        <v>1600</v>
      </c>
      <c r="L360" s="20">
        <v>6</v>
      </c>
      <c r="M360" s="21">
        <v>6</v>
      </c>
      <c r="N360" s="22">
        <v>6</v>
      </c>
      <c r="O360" s="22">
        <v>0</v>
      </c>
      <c r="P360" s="20">
        <v>1600</v>
      </c>
      <c r="Q360" s="23">
        <v>0</v>
      </c>
      <c r="R360" s="20">
        <v>1600</v>
      </c>
      <c r="S360" s="20">
        <v>1600</v>
      </c>
      <c r="T360" s="18">
        <v>9600</v>
      </c>
      <c r="U360" s="24" t="s">
        <v>3101</v>
      </c>
      <c r="V360" s="25">
        <v>0</v>
      </c>
    </row>
    <row r="361" spans="1:22" ht="26.25">
      <c r="A361" s="67">
        <v>262</v>
      </c>
      <c r="B361" s="15" t="s">
        <v>3166</v>
      </c>
      <c r="C361" s="16"/>
      <c r="D361" s="16">
        <v>330</v>
      </c>
      <c r="E361" s="16" t="s">
        <v>3408</v>
      </c>
      <c r="F361" s="17" t="s">
        <v>24</v>
      </c>
      <c r="G361" s="18">
        <v>1</v>
      </c>
      <c r="H361" s="19">
        <v>1</v>
      </c>
      <c r="I361" s="19"/>
      <c r="J361" s="19"/>
      <c r="K361" s="19"/>
      <c r="L361" s="20">
        <v>1</v>
      </c>
      <c r="M361" s="21">
        <v>1</v>
      </c>
      <c r="N361" s="22">
        <v>1</v>
      </c>
      <c r="O361" s="22">
        <v>0</v>
      </c>
      <c r="P361" s="20">
        <v>0</v>
      </c>
      <c r="Q361" s="23">
        <v>0</v>
      </c>
      <c r="R361" s="20">
        <v>0</v>
      </c>
      <c r="S361" s="20">
        <v>0</v>
      </c>
      <c r="T361" s="18">
        <v>0</v>
      </c>
      <c r="U361" s="24"/>
      <c r="V361" s="25" t="s">
        <v>3166</v>
      </c>
    </row>
    <row r="362" spans="1:22" ht="26.25">
      <c r="A362" s="67">
        <v>262</v>
      </c>
      <c r="B362" s="15" t="s">
        <v>3166</v>
      </c>
      <c r="C362" s="16"/>
      <c r="D362" s="16">
        <v>331</v>
      </c>
      <c r="E362" s="16" t="s">
        <v>3409</v>
      </c>
      <c r="F362" s="17" t="s">
        <v>24</v>
      </c>
      <c r="G362" s="18">
        <v>1</v>
      </c>
      <c r="H362" s="19">
        <v>4</v>
      </c>
      <c r="I362" s="19"/>
      <c r="J362" s="19"/>
      <c r="K362" s="19"/>
      <c r="L362" s="20">
        <v>4</v>
      </c>
      <c r="M362" s="21">
        <v>4</v>
      </c>
      <c r="N362" s="22">
        <v>4</v>
      </c>
      <c r="O362" s="22">
        <v>0</v>
      </c>
      <c r="P362" s="20">
        <v>0</v>
      </c>
      <c r="Q362" s="23">
        <v>0</v>
      </c>
      <c r="R362" s="20">
        <v>0</v>
      </c>
      <c r="S362" s="20">
        <v>0</v>
      </c>
      <c r="T362" s="18">
        <v>0</v>
      </c>
      <c r="U362" s="24"/>
      <c r="V362" s="25" t="s">
        <v>3166</v>
      </c>
    </row>
    <row r="363" spans="1:22" ht="26.25">
      <c r="A363" s="67">
        <v>262</v>
      </c>
      <c r="B363" s="15" t="s">
        <v>3166</v>
      </c>
      <c r="C363" s="16"/>
      <c r="D363" s="16">
        <v>332</v>
      </c>
      <c r="E363" s="16" t="s">
        <v>3410</v>
      </c>
      <c r="F363" s="17" t="s">
        <v>24</v>
      </c>
      <c r="G363" s="18">
        <v>1</v>
      </c>
      <c r="H363" s="19">
        <v>1</v>
      </c>
      <c r="I363" s="19"/>
      <c r="J363" s="19"/>
      <c r="K363" s="19"/>
      <c r="L363" s="20">
        <v>1</v>
      </c>
      <c r="M363" s="21">
        <v>1</v>
      </c>
      <c r="N363" s="22">
        <v>1</v>
      </c>
      <c r="O363" s="22">
        <v>0</v>
      </c>
      <c r="P363" s="20">
        <v>0</v>
      </c>
      <c r="Q363" s="23">
        <v>0</v>
      </c>
      <c r="R363" s="20">
        <v>0</v>
      </c>
      <c r="S363" s="20">
        <v>0</v>
      </c>
      <c r="T363" s="18">
        <v>0</v>
      </c>
      <c r="U363" s="24"/>
      <c r="V363" s="25" t="s">
        <v>3166</v>
      </c>
    </row>
    <row r="364" spans="1:22" ht="26.25">
      <c r="A364" s="67">
        <v>262</v>
      </c>
      <c r="B364" s="15" t="s">
        <v>3166</v>
      </c>
      <c r="C364" s="16"/>
      <c r="D364" s="16">
        <v>333</v>
      </c>
      <c r="E364" s="16" t="s">
        <v>3411</v>
      </c>
      <c r="F364" s="17" t="s">
        <v>24</v>
      </c>
      <c r="G364" s="18">
        <v>1</v>
      </c>
      <c r="H364" s="19">
        <v>1</v>
      </c>
      <c r="I364" s="19"/>
      <c r="J364" s="19"/>
      <c r="K364" s="19"/>
      <c r="L364" s="20">
        <v>1</v>
      </c>
      <c r="M364" s="21">
        <v>1</v>
      </c>
      <c r="N364" s="22">
        <v>1</v>
      </c>
      <c r="O364" s="22">
        <v>0</v>
      </c>
      <c r="P364" s="20">
        <v>0</v>
      </c>
      <c r="Q364" s="23">
        <v>0</v>
      </c>
      <c r="R364" s="20">
        <v>0</v>
      </c>
      <c r="S364" s="20">
        <v>0</v>
      </c>
      <c r="T364" s="18">
        <v>0</v>
      </c>
      <c r="U364" s="24"/>
      <c r="V364" s="25" t="s">
        <v>3166</v>
      </c>
    </row>
    <row r="365" spans="1:22" ht="26.25">
      <c r="A365" s="67">
        <v>262</v>
      </c>
      <c r="B365" s="15" t="s">
        <v>3166</v>
      </c>
      <c r="C365" s="16"/>
      <c r="D365" s="16">
        <v>334</v>
      </c>
      <c r="E365" s="16" t="s">
        <v>3412</v>
      </c>
      <c r="F365" s="17" t="s">
        <v>24</v>
      </c>
      <c r="G365" s="18">
        <v>1</v>
      </c>
      <c r="H365" s="19">
        <v>1</v>
      </c>
      <c r="I365" s="19"/>
      <c r="J365" s="19"/>
      <c r="K365" s="19"/>
      <c r="L365" s="20">
        <v>1</v>
      </c>
      <c r="M365" s="21">
        <v>1</v>
      </c>
      <c r="N365" s="22">
        <v>1</v>
      </c>
      <c r="O365" s="22">
        <v>0</v>
      </c>
      <c r="P365" s="20">
        <v>0</v>
      </c>
      <c r="Q365" s="23">
        <v>0</v>
      </c>
      <c r="R365" s="20">
        <v>0</v>
      </c>
      <c r="S365" s="20">
        <v>0</v>
      </c>
      <c r="T365" s="18">
        <v>0</v>
      </c>
      <c r="U365" s="24"/>
      <c r="V365" s="25" t="s">
        <v>3166</v>
      </c>
    </row>
    <row r="366" spans="1:22" ht="26.25">
      <c r="A366" s="67">
        <v>262</v>
      </c>
      <c r="B366" s="15" t="s">
        <v>3166</v>
      </c>
      <c r="C366" s="16"/>
      <c r="D366" s="16">
        <v>335</v>
      </c>
      <c r="E366" s="16" t="s">
        <v>3413</v>
      </c>
      <c r="F366" s="17" t="s">
        <v>24</v>
      </c>
      <c r="G366" s="18">
        <v>1</v>
      </c>
      <c r="H366" s="19">
        <v>1</v>
      </c>
      <c r="I366" s="19"/>
      <c r="J366" s="19"/>
      <c r="K366" s="19"/>
      <c r="L366" s="20">
        <v>1</v>
      </c>
      <c r="M366" s="21">
        <v>1</v>
      </c>
      <c r="N366" s="22">
        <v>1</v>
      </c>
      <c r="O366" s="22">
        <v>0</v>
      </c>
      <c r="P366" s="20">
        <v>0</v>
      </c>
      <c r="Q366" s="23">
        <v>0</v>
      </c>
      <c r="R366" s="20">
        <v>0</v>
      </c>
      <c r="S366" s="20">
        <v>0</v>
      </c>
      <c r="T366" s="18">
        <v>0</v>
      </c>
      <c r="U366" s="24"/>
      <c r="V366" s="25" t="s">
        <v>3166</v>
      </c>
    </row>
    <row r="367" spans="1:22" ht="26.25">
      <c r="A367" s="66">
        <v>809</v>
      </c>
      <c r="B367" s="15"/>
      <c r="C367" s="16"/>
      <c r="D367" s="16">
        <v>336</v>
      </c>
      <c r="E367" s="16" t="s">
        <v>3414</v>
      </c>
      <c r="F367" s="17" t="s">
        <v>24</v>
      </c>
      <c r="G367" s="18">
        <v>1</v>
      </c>
      <c r="H367" s="19">
        <v>1</v>
      </c>
      <c r="I367" s="19"/>
      <c r="J367" s="19">
        <v>1500</v>
      </c>
      <c r="K367" s="19"/>
      <c r="L367" s="20">
        <v>1</v>
      </c>
      <c r="M367" s="21">
        <v>1</v>
      </c>
      <c r="N367" s="22">
        <v>1</v>
      </c>
      <c r="O367" s="22">
        <v>0</v>
      </c>
      <c r="P367" s="20">
        <v>0</v>
      </c>
      <c r="Q367" s="23">
        <v>1500</v>
      </c>
      <c r="R367" s="20">
        <v>1500</v>
      </c>
      <c r="S367" s="20">
        <v>1500</v>
      </c>
      <c r="T367" s="18">
        <v>1500</v>
      </c>
      <c r="U367" s="24" t="s">
        <v>3101</v>
      </c>
      <c r="V367" s="25">
        <v>0</v>
      </c>
    </row>
    <row r="368" spans="1:22" ht="26.25">
      <c r="A368" s="67">
        <v>478</v>
      </c>
      <c r="B368" s="15"/>
      <c r="C368" s="16"/>
      <c r="D368" s="16">
        <v>337</v>
      </c>
      <c r="E368" s="16" t="s">
        <v>3415</v>
      </c>
      <c r="F368" s="17" t="s">
        <v>24</v>
      </c>
      <c r="G368" s="18">
        <v>1</v>
      </c>
      <c r="H368" s="19">
        <v>3</v>
      </c>
      <c r="I368" s="19"/>
      <c r="J368" s="19"/>
      <c r="K368" s="19">
        <v>250</v>
      </c>
      <c r="L368" s="20">
        <v>3</v>
      </c>
      <c r="M368" s="21">
        <v>3</v>
      </c>
      <c r="N368" s="22">
        <v>3</v>
      </c>
      <c r="O368" s="22">
        <v>0</v>
      </c>
      <c r="P368" s="20">
        <v>250</v>
      </c>
      <c r="Q368" s="23">
        <v>0</v>
      </c>
      <c r="R368" s="20">
        <v>250</v>
      </c>
      <c r="S368" s="20">
        <v>250</v>
      </c>
      <c r="T368" s="18">
        <v>750</v>
      </c>
      <c r="U368" s="24"/>
      <c r="V368" s="25">
        <v>0</v>
      </c>
    </row>
    <row r="369" spans="1:22" ht="26.25">
      <c r="A369" s="66">
        <v>401</v>
      </c>
      <c r="B369" s="15"/>
      <c r="C369" s="16"/>
      <c r="D369" s="16">
        <v>338</v>
      </c>
      <c r="E369" s="16" t="s">
        <v>3416</v>
      </c>
      <c r="F369" s="17" t="s">
        <v>24</v>
      </c>
      <c r="G369" s="18">
        <v>1</v>
      </c>
      <c r="H369" s="19">
        <v>3</v>
      </c>
      <c r="I369" s="19"/>
      <c r="J369" s="19">
        <v>800</v>
      </c>
      <c r="K369" s="19"/>
      <c r="L369" s="20">
        <v>3</v>
      </c>
      <c r="M369" s="21">
        <v>3</v>
      </c>
      <c r="N369" s="22">
        <v>3</v>
      </c>
      <c r="O369" s="22">
        <v>0</v>
      </c>
      <c r="P369" s="20">
        <v>0</v>
      </c>
      <c r="Q369" s="23">
        <v>800</v>
      </c>
      <c r="R369" s="20">
        <v>800</v>
      </c>
      <c r="S369" s="20">
        <v>800</v>
      </c>
      <c r="T369" s="18">
        <v>2400</v>
      </c>
      <c r="U369" s="24" t="s">
        <v>3119</v>
      </c>
      <c r="V369" s="25">
        <v>0</v>
      </c>
    </row>
    <row r="370" spans="1:22" ht="26.25">
      <c r="A370" s="66">
        <v>401</v>
      </c>
      <c r="B370" s="15"/>
      <c r="C370" s="16"/>
      <c r="D370" s="16">
        <v>339</v>
      </c>
      <c r="E370" s="16" t="s">
        <v>3417</v>
      </c>
      <c r="F370" s="17" t="s">
        <v>24</v>
      </c>
      <c r="G370" s="18">
        <v>1</v>
      </c>
      <c r="H370" s="19">
        <v>5</v>
      </c>
      <c r="I370" s="19"/>
      <c r="J370" s="19">
        <v>400</v>
      </c>
      <c r="K370" s="19"/>
      <c r="L370" s="20">
        <v>5</v>
      </c>
      <c r="M370" s="21">
        <v>5</v>
      </c>
      <c r="N370" s="22">
        <v>5</v>
      </c>
      <c r="O370" s="22">
        <v>0</v>
      </c>
      <c r="P370" s="20">
        <v>0</v>
      </c>
      <c r="Q370" s="23">
        <v>400</v>
      </c>
      <c r="R370" s="20">
        <v>400</v>
      </c>
      <c r="S370" s="20">
        <v>400</v>
      </c>
      <c r="T370" s="18">
        <v>2000</v>
      </c>
      <c r="U370" s="24" t="s">
        <v>3119</v>
      </c>
      <c r="V370" s="25">
        <v>0</v>
      </c>
    </row>
    <row r="371" spans="1:22" ht="26.25">
      <c r="A371" s="67">
        <v>406</v>
      </c>
      <c r="B371" s="15"/>
      <c r="C371" s="16"/>
      <c r="D371" s="16">
        <v>340</v>
      </c>
      <c r="E371" s="16" t="s">
        <v>3418</v>
      </c>
      <c r="F371" s="17" t="s">
        <v>24</v>
      </c>
      <c r="G371" s="18">
        <v>1</v>
      </c>
      <c r="H371" s="19">
        <v>3</v>
      </c>
      <c r="I371" s="19"/>
      <c r="J371" s="19">
        <v>400</v>
      </c>
      <c r="K371" s="19"/>
      <c r="L371" s="20">
        <v>3</v>
      </c>
      <c r="M371" s="21">
        <v>3</v>
      </c>
      <c r="N371" s="22">
        <v>3</v>
      </c>
      <c r="O371" s="22">
        <v>0</v>
      </c>
      <c r="P371" s="20">
        <v>0</v>
      </c>
      <c r="Q371" s="23">
        <v>400</v>
      </c>
      <c r="R371" s="20">
        <v>400</v>
      </c>
      <c r="S371" s="20">
        <v>400</v>
      </c>
      <c r="T371" s="18">
        <v>1200</v>
      </c>
      <c r="U371" s="24" t="s">
        <v>3119</v>
      </c>
      <c r="V371" s="25">
        <v>0</v>
      </c>
    </row>
    <row r="372" spans="1:22" ht="26.25">
      <c r="A372" s="66">
        <v>411</v>
      </c>
      <c r="B372" s="15"/>
      <c r="C372" s="16"/>
      <c r="D372" s="16">
        <v>341</v>
      </c>
      <c r="E372" s="16" t="s">
        <v>1840</v>
      </c>
      <c r="F372" s="17" t="s">
        <v>24</v>
      </c>
      <c r="G372" s="18">
        <v>1</v>
      </c>
      <c r="H372" s="19">
        <v>1</v>
      </c>
      <c r="I372" s="19"/>
      <c r="J372" s="19">
        <v>700</v>
      </c>
      <c r="K372" s="19"/>
      <c r="L372" s="20">
        <v>1</v>
      </c>
      <c r="M372" s="21">
        <v>1</v>
      </c>
      <c r="N372" s="22">
        <v>1</v>
      </c>
      <c r="O372" s="22">
        <v>0</v>
      </c>
      <c r="P372" s="20">
        <v>0</v>
      </c>
      <c r="Q372" s="23">
        <v>700</v>
      </c>
      <c r="R372" s="20">
        <v>700</v>
      </c>
      <c r="S372" s="20">
        <v>700</v>
      </c>
      <c r="T372" s="18">
        <v>700</v>
      </c>
      <c r="U372" s="24"/>
      <c r="V372" s="25">
        <v>0</v>
      </c>
    </row>
    <row r="373" spans="1:22" ht="26.25">
      <c r="A373" s="67">
        <v>478</v>
      </c>
      <c r="B373" s="15"/>
      <c r="C373" s="16"/>
      <c r="D373" s="16">
        <v>342</v>
      </c>
      <c r="E373" s="16" t="s">
        <v>3419</v>
      </c>
      <c r="F373" s="17" t="s">
        <v>24</v>
      </c>
      <c r="G373" s="18">
        <v>1</v>
      </c>
      <c r="H373" s="19"/>
      <c r="I373" s="19"/>
      <c r="J373" s="19"/>
      <c r="K373" s="19"/>
      <c r="L373" s="20">
        <v>0</v>
      </c>
      <c r="M373" s="21">
        <v>0</v>
      </c>
      <c r="N373" s="22">
        <v>0</v>
      </c>
      <c r="O373" s="22">
        <v>0</v>
      </c>
      <c r="P373" s="20">
        <v>0</v>
      </c>
      <c r="Q373" s="23">
        <v>0</v>
      </c>
      <c r="R373" s="20">
        <v>0</v>
      </c>
      <c r="S373" s="20">
        <v>0</v>
      </c>
      <c r="T373" s="18">
        <v>0</v>
      </c>
      <c r="U373" s="24" t="s">
        <v>3420</v>
      </c>
      <c r="V373" s="25">
        <v>0</v>
      </c>
    </row>
    <row r="374" spans="1:22" ht="26.25">
      <c r="A374" s="66">
        <v>411</v>
      </c>
      <c r="B374" s="15"/>
      <c r="C374" s="16"/>
      <c r="D374" s="16">
        <v>343</v>
      </c>
      <c r="E374" s="16" t="s">
        <v>3421</v>
      </c>
      <c r="F374" s="17" t="s">
        <v>24</v>
      </c>
      <c r="G374" s="18">
        <v>1</v>
      </c>
      <c r="H374" s="19">
        <v>1</v>
      </c>
      <c r="I374" s="19"/>
      <c r="J374" s="19">
        <v>700</v>
      </c>
      <c r="K374" s="19"/>
      <c r="L374" s="20">
        <v>1</v>
      </c>
      <c r="M374" s="21">
        <v>1</v>
      </c>
      <c r="N374" s="22">
        <v>1</v>
      </c>
      <c r="O374" s="22">
        <v>0</v>
      </c>
      <c r="P374" s="20">
        <v>0</v>
      </c>
      <c r="Q374" s="23">
        <v>700</v>
      </c>
      <c r="R374" s="20">
        <v>700</v>
      </c>
      <c r="S374" s="20">
        <v>700</v>
      </c>
      <c r="T374" s="18">
        <v>700</v>
      </c>
      <c r="U374" s="24" t="s">
        <v>3119</v>
      </c>
      <c r="V374" s="25">
        <v>0</v>
      </c>
    </row>
    <row r="375" spans="1:22" ht="26.25">
      <c r="A375" s="67">
        <v>478</v>
      </c>
      <c r="B375" s="15"/>
      <c r="C375" s="16"/>
      <c r="D375" s="16">
        <v>344</v>
      </c>
      <c r="E375" s="16" t="s">
        <v>3422</v>
      </c>
      <c r="F375" s="17" t="s">
        <v>24</v>
      </c>
      <c r="G375" s="18">
        <v>1</v>
      </c>
      <c r="H375" s="19">
        <v>1</v>
      </c>
      <c r="I375" s="19"/>
      <c r="J375" s="19"/>
      <c r="K375" s="19"/>
      <c r="L375" s="20">
        <v>1</v>
      </c>
      <c r="M375" s="21">
        <v>1</v>
      </c>
      <c r="N375" s="22">
        <v>1</v>
      </c>
      <c r="O375" s="22">
        <v>0</v>
      </c>
      <c r="P375" s="20">
        <v>0</v>
      </c>
      <c r="Q375" s="23">
        <v>0</v>
      </c>
      <c r="R375" s="20">
        <v>0</v>
      </c>
      <c r="S375" s="20">
        <v>0</v>
      </c>
      <c r="T375" s="18">
        <v>0</v>
      </c>
      <c r="U375" s="24"/>
      <c r="V375" s="25">
        <v>0</v>
      </c>
    </row>
    <row r="376" spans="1:22" ht="26.25">
      <c r="A376" s="67">
        <v>478</v>
      </c>
      <c r="B376" s="15"/>
      <c r="C376" s="16"/>
      <c r="D376" s="16">
        <v>347</v>
      </c>
      <c r="E376" s="16" t="s">
        <v>3423</v>
      </c>
      <c r="F376" s="17" t="s">
        <v>24</v>
      </c>
      <c r="G376" s="18">
        <v>1</v>
      </c>
      <c r="H376" s="19">
        <v>1</v>
      </c>
      <c r="I376" s="19"/>
      <c r="J376" s="19"/>
      <c r="K376" s="19">
        <v>750</v>
      </c>
      <c r="L376" s="20">
        <v>1</v>
      </c>
      <c r="M376" s="21">
        <v>1</v>
      </c>
      <c r="N376" s="22">
        <v>1</v>
      </c>
      <c r="O376" s="22">
        <v>0</v>
      </c>
      <c r="P376" s="20">
        <v>750</v>
      </c>
      <c r="Q376" s="23">
        <v>0</v>
      </c>
      <c r="R376" s="20">
        <v>750</v>
      </c>
      <c r="S376" s="20">
        <v>750</v>
      </c>
      <c r="T376" s="18">
        <v>750</v>
      </c>
      <c r="U376" s="24"/>
      <c r="V376" s="25">
        <v>0</v>
      </c>
    </row>
    <row r="377" spans="1:22" ht="26.25">
      <c r="A377" s="66">
        <v>494</v>
      </c>
      <c r="B377" s="15"/>
      <c r="C377" s="16"/>
      <c r="D377" s="16">
        <v>348</v>
      </c>
      <c r="E377" s="16" t="s">
        <v>1914</v>
      </c>
      <c r="F377" s="17" t="s">
        <v>24</v>
      </c>
      <c r="G377" s="18">
        <v>1</v>
      </c>
      <c r="H377" s="19">
        <v>1</v>
      </c>
      <c r="I377" s="19"/>
      <c r="J377" s="19"/>
      <c r="K377" s="19"/>
      <c r="L377" s="20">
        <v>1</v>
      </c>
      <c r="M377" s="21">
        <v>1</v>
      </c>
      <c r="N377" s="22">
        <v>1</v>
      </c>
      <c r="O377" s="22">
        <v>0</v>
      </c>
      <c r="P377" s="20">
        <v>0</v>
      </c>
      <c r="Q377" s="23">
        <v>0</v>
      </c>
      <c r="R377" s="20">
        <v>0</v>
      </c>
      <c r="S377" s="20">
        <v>0</v>
      </c>
      <c r="T377" s="18">
        <v>0</v>
      </c>
      <c r="U377" s="24"/>
      <c r="V377" s="25">
        <v>0</v>
      </c>
    </row>
    <row r="378" spans="1:22" ht="26.25">
      <c r="A378" s="66">
        <v>495</v>
      </c>
      <c r="B378" s="15"/>
      <c r="C378" s="16"/>
      <c r="D378" s="16">
        <v>351</v>
      </c>
      <c r="E378" s="16" t="s">
        <v>1915</v>
      </c>
      <c r="F378" s="17" t="s">
        <v>24</v>
      </c>
      <c r="G378" s="18">
        <v>1</v>
      </c>
      <c r="H378" s="19">
        <v>1</v>
      </c>
      <c r="I378" s="19"/>
      <c r="J378" s="19"/>
      <c r="K378" s="19"/>
      <c r="L378" s="20">
        <v>1</v>
      </c>
      <c r="M378" s="21">
        <v>1</v>
      </c>
      <c r="N378" s="22">
        <v>1</v>
      </c>
      <c r="O378" s="22">
        <v>0</v>
      </c>
      <c r="P378" s="20">
        <v>0</v>
      </c>
      <c r="Q378" s="23">
        <v>0</v>
      </c>
      <c r="R378" s="20">
        <v>0</v>
      </c>
      <c r="S378" s="20">
        <v>0</v>
      </c>
      <c r="T378" s="18">
        <v>0</v>
      </c>
      <c r="U378" s="24"/>
      <c r="V378" s="25">
        <v>0</v>
      </c>
    </row>
    <row r="379" spans="1:22" ht="26.25">
      <c r="A379" s="66">
        <v>837</v>
      </c>
      <c r="B379" s="15"/>
      <c r="C379" s="16">
        <v>368</v>
      </c>
      <c r="D379" s="16">
        <v>368</v>
      </c>
      <c r="E379" s="16" t="s">
        <v>3424</v>
      </c>
      <c r="F379" s="17" t="s">
        <v>24</v>
      </c>
      <c r="G379" s="18">
        <v>1</v>
      </c>
      <c r="H379" s="19">
        <v>2</v>
      </c>
      <c r="I379" s="19"/>
      <c r="J379" s="19"/>
      <c r="K379" s="19"/>
      <c r="L379" s="20">
        <v>2</v>
      </c>
      <c r="M379" s="21">
        <v>2</v>
      </c>
      <c r="N379" s="22">
        <v>2</v>
      </c>
      <c r="O379" s="22">
        <v>0</v>
      </c>
      <c r="P379" s="20">
        <v>0</v>
      </c>
      <c r="Q379" s="23">
        <v>0</v>
      </c>
      <c r="R379" s="20">
        <v>0</v>
      </c>
      <c r="S379" s="20">
        <v>0</v>
      </c>
      <c r="T379" s="18">
        <v>0</v>
      </c>
      <c r="U379" s="24"/>
      <c r="V379" s="25">
        <v>0</v>
      </c>
    </row>
    <row r="380" spans="1:22" ht="26.25">
      <c r="A380" s="66">
        <v>680</v>
      </c>
      <c r="B380" s="15"/>
      <c r="C380" s="16">
        <v>369</v>
      </c>
      <c r="D380" s="16">
        <v>369</v>
      </c>
      <c r="E380" s="16" t="s">
        <v>3425</v>
      </c>
      <c r="F380" s="17" t="s">
        <v>24</v>
      </c>
      <c r="G380" s="18">
        <v>1</v>
      </c>
      <c r="H380" s="19">
        <v>7</v>
      </c>
      <c r="I380" s="19"/>
      <c r="J380" s="19"/>
      <c r="K380" s="19"/>
      <c r="L380" s="20">
        <v>7</v>
      </c>
      <c r="M380" s="21">
        <v>7</v>
      </c>
      <c r="N380" s="22">
        <v>7</v>
      </c>
      <c r="O380" s="22">
        <v>0</v>
      </c>
      <c r="P380" s="20">
        <v>0</v>
      </c>
      <c r="Q380" s="23">
        <v>0</v>
      </c>
      <c r="R380" s="20">
        <v>0</v>
      </c>
      <c r="S380" s="20">
        <v>0</v>
      </c>
      <c r="T380" s="18">
        <v>0</v>
      </c>
      <c r="U380" s="24"/>
      <c r="V380" s="25">
        <v>0</v>
      </c>
    </row>
    <row r="381" spans="1:22" ht="26.25">
      <c r="A381" s="66">
        <v>828</v>
      </c>
      <c r="B381" s="15"/>
      <c r="C381" s="16">
        <v>370</v>
      </c>
      <c r="D381" s="16">
        <v>370</v>
      </c>
      <c r="E381" s="16" t="s">
        <v>3426</v>
      </c>
      <c r="F381" s="17" t="s">
        <v>24</v>
      </c>
      <c r="G381" s="18">
        <v>1</v>
      </c>
      <c r="H381" s="19">
        <v>1</v>
      </c>
      <c r="I381" s="19"/>
      <c r="J381" s="19"/>
      <c r="K381" s="19"/>
      <c r="L381" s="20">
        <v>1</v>
      </c>
      <c r="M381" s="21">
        <v>1</v>
      </c>
      <c r="N381" s="22">
        <v>1</v>
      </c>
      <c r="O381" s="22">
        <v>0</v>
      </c>
      <c r="P381" s="20">
        <v>0</v>
      </c>
      <c r="Q381" s="23">
        <v>0</v>
      </c>
      <c r="R381" s="20">
        <v>0</v>
      </c>
      <c r="S381" s="20">
        <v>0</v>
      </c>
      <c r="T381" s="18">
        <v>0</v>
      </c>
      <c r="U381" s="24"/>
      <c r="V381" s="25">
        <v>0</v>
      </c>
    </row>
    <row r="382" spans="1:22" ht="26.25">
      <c r="A382" s="66"/>
      <c r="B382" s="15"/>
      <c r="C382" s="16">
        <v>371</v>
      </c>
      <c r="D382" s="16">
        <v>371</v>
      </c>
      <c r="E382" s="16" t="s">
        <v>3427</v>
      </c>
      <c r="F382" s="17" t="s">
        <v>24</v>
      </c>
      <c r="G382" s="18">
        <v>1</v>
      </c>
      <c r="H382" s="19">
        <v>1</v>
      </c>
      <c r="I382" s="19"/>
      <c r="J382" s="19"/>
      <c r="K382" s="19"/>
      <c r="L382" s="20">
        <v>1</v>
      </c>
      <c r="M382" s="21">
        <v>1</v>
      </c>
      <c r="N382" s="22">
        <v>1</v>
      </c>
      <c r="O382" s="22">
        <v>0</v>
      </c>
      <c r="P382" s="20">
        <v>0</v>
      </c>
      <c r="Q382" s="23">
        <v>0</v>
      </c>
      <c r="R382" s="20">
        <v>0</v>
      </c>
      <c r="S382" s="20">
        <v>0</v>
      </c>
      <c r="T382" s="18">
        <v>0</v>
      </c>
      <c r="U382" s="24"/>
      <c r="V382" s="25"/>
    </row>
    <row r="383" spans="1:22" ht="26.25">
      <c r="A383" s="67">
        <v>826</v>
      </c>
      <c r="B383" s="15"/>
      <c r="C383" s="16">
        <v>372</v>
      </c>
      <c r="D383" s="16">
        <v>372</v>
      </c>
      <c r="E383" s="16" t="s">
        <v>3428</v>
      </c>
      <c r="F383" s="17" t="s">
        <v>24</v>
      </c>
      <c r="G383" s="18">
        <v>1</v>
      </c>
      <c r="H383" s="19">
        <v>4</v>
      </c>
      <c r="I383" s="19"/>
      <c r="J383" s="19"/>
      <c r="K383" s="19"/>
      <c r="L383" s="20">
        <v>4</v>
      </c>
      <c r="M383" s="21">
        <v>4</v>
      </c>
      <c r="N383" s="22">
        <v>4</v>
      </c>
      <c r="O383" s="22">
        <v>0</v>
      </c>
      <c r="P383" s="20">
        <v>0</v>
      </c>
      <c r="Q383" s="23">
        <v>0</v>
      </c>
      <c r="R383" s="20">
        <v>0</v>
      </c>
      <c r="S383" s="20">
        <v>0</v>
      </c>
      <c r="T383" s="18">
        <v>0</v>
      </c>
      <c r="U383" s="24"/>
      <c r="V383" s="25">
        <v>0</v>
      </c>
    </row>
    <row r="384" spans="1:22" ht="26.25">
      <c r="A384" s="66">
        <v>827</v>
      </c>
      <c r="B384" s="15"/>
      <c r="C384" s="16">
        <v>374</v>
      </c>
      <c r="D384" s="16">
        <v>374</v>
      </c>
      <c r="E384" s="69" t="s">
        <v>3429</v>
      </c>
      <c r="F384" s="17" t="s">
        <v>24</v>
      </c>
      <c r="G384" s="18">
        <v>1</v>
      </c>
      <c r="H384" s="19">
        <v>1</v>
      </c>
      <c r="I384" s="19"/>
      <c r="J384" s="19"/>
      <c r="K384" s="19"/>
      <c r="L384" s="20">
        <v>1</v>
      </c>
      <c r="M384" s="21">
        <v>1</v>
      </c>
      <c r="N384" s="22">
        <v>1</v>
      </c>
      <c r="O384" s="22">
        <v>0</v>
      </c>
      <c r="P384" s="20">
        <v>0</v>
      </c>
      <c r="Q384" s="23">
        <v>0</v>
      </c>
      <c r="R384" s="20">
        <v>0</v>
      </c>
      <c r="S384" s="20">
        <v>0</v>
      </c>
      <c r="T384" s="18">
        <v>0</v>
      </c>
      <c r="U384" s="24"/>
      <c r="V384" s="25">
        <v>0</v>
      </c>
    </row>
    <row r="385" spans="1:22" ht="26.25">
      <c r="A385" s="67">
        <v>832</v>
      </c>
      <c r="B385" s="15"/>
      <c r="C385" s="16">
        <v>385</v>
      </c>
      <c r="D385" s="16">
        <v>385</v>
      </c>
      <c r="E385" s="16" t="s">
        <v>3430</v>
      </c>
      <c r="F385" s="17" t="s">
        <v>24</v>
      </c>
      <c r="G385" s="18">
        <v>1</v>
      </c>
      <c r="H385" s="19">
        <v>1</v>
      </c>
      <c r="I385" s="19"/>
      <c r="J385" s="19"/>
      <c r="K385" s="19"/>
      <c r="L385" s="20">
        <v>1</v>
      </c>
      <c r="M385" s="21">
        <v>1</v>
      </c>
      <c r="N385" s="22">
        <v>1</v>
      </c>
      <c r="O385" s="22">
        <v>0</v>
      </c>
      <c r="P385" s="20">
        <v>0</v>
      </c>
      <c r="Q385" s="23">
        <v>0</v>
      </c>
      <c r="R385" s="20">
        <v>0</v>
      </c>
      <c r="S385" s="20">
        <v>0</v>
      </c>
      <c r="T385" s="18">
        <v>0</v>
      </c>
      <c r="U385" s="24"/>
      <c r="V385" s="25">
        <v>0</v>
      </c>
    </row>
    <row r="386" spans="1:22" ht="26.25">
      <c r="A386" s="66">
        <v>836</v>
      </c>
      <c r="B386" s="15"/>
      <c r="C386" s="16">
        <v>387</v>
      </c>
      <c r="D386" s="16">
        <v>387</v>
      </c>
      <c r="E386" s="16" t="s">
        <v>3431</v>
      </c>
      <c r="F386" s="17" t="s">
        <v>24</v>
      </c>
      <c r="G386" s="18">
        <v>1</v>
      </c>
      <c r="H386" s="19">
        <v>1</v>
      </c>
      <c r="I386" s="19"/>
      <c r="J386" s="19"/>
      <c r="K386" s="19"/>
      <c r="L386" s="20">
        <v>1</v>
      </c>
      <c r="M386" s="21">
        <v>1</v>
      </c>
      <c r="N386" s="22">
        <v>1</v>
      </c>
      <c r="O386" s="22">
        <v>0</v>
      </c>
      <c r="P386" s="20">
        <v>0</v>
      </c>
      <c r="Q386" s="23">
        <v>0</v>
      </c>
      <c r="R386" s="20">
        <v>0</v>
      </c>
      <c r="S386" s="20">
        <v>0</v>
      </c>
      <c r="T386" s="18">
        <v>0</v>
      </c>
      <c r="U386" s="24"/>
      <c r="V386" s="25">
        <v>0</v>
      </c>
    </row>
    <row r="387" spans="1:22" ht="26.25">
      <c r="A387" s="66">
        <v>831</v>
      </c>
      <c r="B387" s="15"/>
      <c r="C387" s="16">
        <v>388</v>
      </c>
      <c r="D387" s="16">
        <v>388</v>
      </c>
      <c r="E387" s="16" t="s">
        <v>3432</v>
      </c>
      <c r="F387" s="17" t="s">
        <v>24</v>
      </c>
      <c r="G387" s="18">
        <v>1</v>
      </c>
      <c r="H387" s="19">
        <v>1</v>
      </c>
      <c r="I387" s="19"/>
      <c r="J387" s="19"/>
      <c r="K387" s="19"/>
      <c r="L387" s="20">
        <v>1</v>
      </c>
      <c r="M387" s="21">
        <v>1</v>
      </c>
      <c r="N387" s="22">
        <v>1</v>
      </c>
      <c r="O387" s="22">
        <v>0</v>
      </c>
      <c r="P387" s="20">
        <v>0</v>
      </c>
      <c r="Q387" s="23">
        <v>0</v>
      </c>
      <c r="R387" s="20">
        <v>0</v>
      </c>
      <c r="S387" s="20">
        <v>0</v>
      </c>
      <c r="T387" s="18">
        <v>0</v>
      </c>
      <c r="U387" s="24"/>
      <c r="V387" s="25">
        <v>0</v>
      </c>
    </row>
    <row r="388" spans="1:22" ht="26.25">
      <c r="A388" s="66">
        <v>839</v>
      </c>
      <c r="B388" s="15"/>
      <c r="C388" s="16">
        <v>389</v>
      </c>
      <c r="D388" s="16">
        <v>389</v>
      </c>
      <c r="E388" s="16" t="s">
        <v>3433</v>
      </c>
      <c r="F388" s="17" t="s">
        <v>24</v>
      </c>
      <c r="G388" s="18">
        <v>1</v>
      </c>
      <c r="H388" s="19">
        <v>1</v>
      </c>
      <c r="I388" s="19"/>
      <c r="J388" s="19"/>
      <c r="K388" s="19"/>
      <c r="L388" s="20">
        <v>1</v>
      </c>
      <c r="M388" s="21">
        <v>1</v>
      </c>
      <c r="N388" s="22">
        <v>1</v>
      </c>
      <c r="O388" s="22">
        <v>0</v>
      </c>
      <c r="P388" s="20">
        <v>0</v>
      </c>
      <c r="Q388" s="23">
        <v>0</v>
      </c>
      <c r="R388" s="20">
        <v>0</v>
      </c>
      <c r="S388" s="20">
        <v>0</v>
      </c>
      <c r="T388" s="18">
        <v>0</v>
      </c>
      <c r="U388" s="24"/>
      <c r="V388" s="25">
        <v>0</v>
      </c>
    </row>
    <row r="389" spans="1:22" ht="26.25">
      <c r="A389" s="66">
        <v>689</v>
      </c>
      <c r="B389" s="15"/>
      <c r="C389" s="16">
        <v>393</v>
      </c>
      <c r="D389" s="16">
        <v>393</v>
      </c>
      <c r="E389" s="16" t="s">
        <v>3434</v>
      </c>
      <c r="F389" s="17" t="s">
        <v>1183</v>
      </c>
      <c r="G389" s="18">
        <v>12</v>
      </c>
      <c r="H389" s="19"/>
      <c r="I389" s="19">
        <v>1</v>
      </c>
      <c r="J389" s="19"/>
      <c r="K389" s="19"/>
      <c r="L389" s="20">
        <v>12</v>
      </c>
      <c r="M389" s="21">
        <v>1</v>
      </c>
      <c r="N389" s="22">
        <v>0</v>
      </c>
      <c r="O389" s="22">
        <v>1</v>
      </c>
      <c r="P389" s="20">
        <v>0</v>
      </c>
      <c r="Q389" s="23">
        <v>0</v>
      </c>
      <c r="R389" s="20">
        <v>0</v>
      </c>
      <c r="S389" s="20">
        <v>0</v>
      </c>
      <c r="T389" s="18">
        <v>0</v>
      </c>
      <c r="U389" s="24"/>
      <c r="V389" s="25">
        <v>0</v>
      </c>
    </row>
    <row r="390" spans="1:22" ht="26.25">
      <c r="A390" s="66">
        <v>690</v>
      </c>
      <c r="B390" s="15"/>
      <c r="C390" s="16">
        <v>393</v>
      </c>
      <c r="D390" s="16">
        <v>393</v>
      </c>
      <c r="E390" s="16" t="s">
        <v>3434</v>
      </c>
      <c r="F390" s="17" t="s">
        <v>24</v>
      </c>
      <c r="G390" s="18">
        <v>1</v>
      </c>
      <c r="H390" s="19">
        <v>5</v>
      </c>
      <c r="I390" s="19"/>
      <c r="J390" s="19"/>
      <c r="K390" s="19"/>
      <c r="L390" s="20">
        <v>5</v>
      </c>
      <c r="M390" s="21">
        <v>5</v>
      </c>
      <c r="N390" s="22">
        <v>5</v>
      </c>
      <c r="O390" s="22">
        <v>0</v>
      </c>
      <c r="P390" s="20">
        <v>0</v>
      </c>
      <c r="Q390" s="23">
        <v>0</v>
      </c>
      <c r="R390" s="20">
        <v>0</v>
      </c>
      <c r="S390" s="20">
        <v>0</v>
      </c>
      <c r="T390" s="18">
        <v>0</v>
      </c>
      <c r="U390" s="24"/>
      <c r="V390" s="25">
        <v>0</v>
      </c>
    </row>
    <row r="391" spans="1:22" ht="26.25">
      <c r="A391" s="67">
        <v>1690</v>
      </c>
      <c r="B391" s="15"/>
      <c r="C391" s="16">
        <v>394</v>
      </c>
      <c r="D391" s="16">
        <v>394</v>
      </c>
      <c r="E391" s="16" t="s">
        <v>3435</v>
      </c>
      <c r="F391" s="17" t="s">
        <v>24</v>
      </c>
      <c r="G391" s="18">
        <v>1</v>
      </c>
      <c r="H391" s="19">
        <v>16</v>
      </c>
      <c r="I391" s="19"/>
      <c r="J391" s="19"/>
      <c r="K391" s="19"/>
      <c r="L391" s="20">
        <v>16</v>
      </c>
      <c r="M391" s="21">
        <v>16</v>
      </c>
      <c r="N391" s="22">
        <v>16</v>
      </c>
      <c r="O391" s="22">
        <v>0</v>
      </c>
      <c r="P391" s="20">
        <v>0</v>
      </c>
      <c r="Q391" s="23">
        <v>0</v>
      </c>
      <c r="R391" s="20">
        <v>0</v>
      </c>
      <c r="S391" s="20">
        <v>0</v>
      </c>
      <c r="T391" s="18">
        <v>0</v>
      </c>
      <c r="U391" s="24"/>
      <c r="V391" s="25">
        <v>0</v>
      </c>
    </row>
    <row r="392" spans="1:22" ht="26.25">
      <c r="A392" s="67">
        <v>1939</v>
      </c>
      <c r="B392" s="15"/>
      <c r="C392" s="16">
        <v>397</v>
      </c>
      <c r="D392" s="16">
        <v>397</v>
      </c>
      <c r="E392" s="16" t="s">
        <v>2763</v>
      </c>
      <c r="F392" s="17" t="s">
        <v>24</v>
      </c>
      <c r="G392" s="18">
        <v>1</v>
      </c>
      <c r="H392" s="19">
        <v>5</v>
      </c>
      <c r="I392" s="19"/>
      <c r="J392" s="19"/>
      <c r="K392" s="19"/>
      <c r="L392" s="20">
        <v>5</v>
      </c>
      <c r="M392" s="21">
        <v>5</v>
      </c>
      <c r="N392" s="22">
        <v>5</v>
      </c>
      <c r="O392" s="22">
        <v>0</v>
      </c>
      <c r="P392" s="20">
        <v>0</v>
      </c>
      <c r="Q392" s="23">
        <v>0</v>
      </c>
      <c r="R392" s="20">
        <v>0</v>
      </c>
      <c r="S392" s="20">
        <v>0</v>
      </c>
      <c r="T392" s="18">
        <v>0</v>
      </c>
      <c r="U392" s="24"/>
      <c r="V392" s="25">
        <v>0</v>
      </c>
    </row>
    <row r="393" spans="1:22" ht="26.25">
      <c r="A393" s="66">
        <v>2198</v>
      </c>
      <c r="B393" s="15"/>
      <c r="C393" s="16">
        <v>397</v>
      </c>
      <c r="D393" s="16">
        <v>397</v>
      </c>
      <c r="E393" s="16" t="s">
        <v>3436</v>
      </c>
      <c r="F393" s="17" t="s">
        <v>24</v>
      </c>
      <c r="G393" s="18">
        <v>1</v>
      </c>
      <c r="H393" s="19">
        <v>1</v>
      </c>
      <c r="I393" s="19"/>
      <c r="J393" s="19"/>
      <c r="K393" s="19"/>
      <c r="L393" s="20">
        <v>1</v>
      </c>
      <c r="M393" s="21">
        <v>1</v>
      </c>
      <c r="N393" s="22">
        <v>1</v>
      </c>
      <c r="O393" s="22">
        <v>0</v>
      </c>
      <c r="P393" s="20">
        <v>0</v>
      </c>
      <c r="Q393" s="23">
        <v>0</v>
      </c>
      <c r="R393" s="20">
        <v>0</v>
      </c>
      <c r="S393" s="20">
        <v>0</v>
      </c>
      <c r="T393" s="18">
        <v>0</v>
      </c>
      <c r="U393" s="24"/>
      <c r="V393" s="25">
        <v>0</v>
      </c>
    </row>
    <row r="394" spans="1:22" ht="26.25">
      <c r="A394" s="67">
        <v>1624</v>
      </c>
      <c r="B394" s="15"/>
      <c r="C394" s="16">
        <v>398</v>
      </c>
      <c r="D394" s="16">
        <v>398</v>
      </c>
      <c r="E394" s="16" t="s">
        <v>3437</v>
      </c>
      <c r="F394" s="17" t="s">
        <v>24</v>
      </c>
      <c r="G394" s="18">
        <v>1</v>
      </c>
      <c r="H394" s="19">
        <v>11</v>
      </c>
      <c r="I394" s="19"/>
      <c r="J394" s="19">
        <v>300</v>
      </c>
      <c r="K394" s="19"/>
      <c r="L394" s="20">
        <v>11</v>
      </c>
      <c r="M394" s="21">
        <v>11</v>
      </c>
      <c r="N394" s="22">
        <v>11</v>
      </c>
      <c r="O394" s="22">
        <v>0</v>
      </c>
      <c r="P394" s="20">
        <v>0</v>
      </c>
      <c r="Q394" s="23">
        <v>300</v>
      </c>
      <c r="R394" s="20">
        <v>300</v>
      </c>
      <c r="S394" s="20">
        <v>300</v>
      </c>
      <c r="T394" s="18">
        <v>3300</v>
      </c>
      <c r="U394" s="24" t="s">
        <v>3101</v>
      </c>
      <c r="V394" s="25">
        <v>0</v>
      </c>
    </row>
    <row r="395" spans="1:22" ht="26.25">
      <c r="A395" s="67">
        <v>1624</v>
      </c>
      <c r="B395" s="15"/>
      <c r="C395" s="16">
        <v>399</v>
      </c>
      <c r="D395" s="16">
        <v>399</v>
      </c>
      <c r="E395" s="16" t="s">
        <v>3438</v>
      </c>
      <c r="F395" s="17" t="s">
        <v>24</v>
      </c>
      <c r="G395" s="18">
        <v>1</v>
      </c>
      <c r="H395" s="19">
        <v>10</v>
      </c>
      <c r="I395" s="19"/>
      <c r="J395" s="19">
        <v>200</v>
      </c>
      <c r="K395" s="19"/>
      <c r="L395" s="20">
        <v>10</v>
      </c>
      <c r="M395" s="21">
        <v>10</v>
      </c>
      <c r="N395" s="22">
        <v>10</v>
      </c>
      <c r="O395" s="22">
        <v>0</v>
      </c>
      <c r="P395" s="20">
        <v>0</v>
      </c>
      <c r="Q395" s="23">
        <v>200</v>
      </c>
      <c r="R395" s="20">
        <v>200</v>
      </c>
      <c r="S395" s="20">
        <v>200</v>
      </c>
      <c r="T395" s="18">
        <v>2000</v>
      </c>
      <c r="U395" s="24" t="s">
        <v>3101</v>
      </c>
      <c r="V395" s="25">
        <v>0</v>
      </c>
    </row>
    <row r="396" spans="1:22" ht="26.25">
      <c r="A396" s="66">
        <v>1373</v>
      </c>
      <c r="B396" s="15"/>
      <c r="C396" s="16">
        <v>400</v>
      </c>
      <c r="D396" s="16">
        <v>400</v>
      </c>
      <c r="E396" s="16" t="s">
        <v>3165</v>
      </c>
      <c r="F396" s="17" t="s">
        <v>1190</v>
      </c>
      <c r="G396" s="18">
        <v>50</v>
      </c>
      <c r="H396" s="19"/>
      <c r="I396" s="19">
        <v>1</v>
      </c>
      <c r="J396" s="19"/>
      <c r="K396" s="19">
        <v>600</v>
      </c>
      <c r="L396" s="20">
        <v>50</v>
      </c>
      <c r="M396" s="21">
        <v>1</v>
      </c>
      <c r="N396" s="22">
        <v>0</v>
      </c>
      <c r="O396" s="22">
        <v>1</v>
      </c>
      <c r="P396" s="20">
        <v>12</v>
      </c>
      <c r="Q396" s="23">
        <v>0</v>
      </c>
      <c r="R396" s="20">
        <v>12</v>
      </c>
      <c r="S396" s="20">
        <v>600</v>
      </c>
      <c r="T396" s="18">
        <v>600</v>
      </c>
      <c r="U396" s="24" t="s">
        <v>3101</v>
      </c>
      <c r="V396" s="25">
        <v>0</v>
      </c>
    </row>
    <row r="397" spans="1:22" ht="26.25">
      <c r="A397" s="67">
        <v>1624</v>
      </c>
      <c r="B397" s="15"/>
      <c r="C397" s="16">
        <v>402</v>
      </c>
      <c r="D397" s="16">
        <v>402</v>
      </c>
      <c r="E397" s="16" t="s">
        <v>3439</v>
      </c>
      <c r="F397" s="17" t="s">
        <v>24</v>
      </c>
      <c r="G397" s="18">
        <v>1</v>
      </c>
      <c r="H397" s="19">
        <v>1</v>
      </c>
      <c r="I397" s="19"/>
      <c r="J397" s="19">
        <v>250</v>
      </c>
      <c r="K397" s="19"/>
      <c r="L397" s="20">
        <v>1</v>
      </c>
      <c r="M397" s="21">
        <v>1</v>
      </c>
      <c r="N397" s="22">
        <v>1</v>
      </c>
      <c r="O397" s="22">
        <v>0</v>
      </c>
      <c r="P397" s="20">
        <v>0</v>
      </c>
      <c r="Q397" s="23">
        <v>250</v>
      </c>
      <c r="R397" s="20">
        <v>250</v>
      </c>
      <c r="S397" s="20">
        <v>250</v>
      </c>
      <c r="T397" s="18">
        <v>250</v>
      </c>
      <c r="U397" s="24" t="s">
        <v>3101</v>
      </c>
      <c r="V397" s="25">
        <v>0</v>
      </c>
    </row>
    <row r="398" spans="1:22" ht="26.25">
      <c r="A398" s="67">
        <v>1423</v>
      </c>
      <c r="B398" s="15"/>
      <c r="C398" s="16">
        <v>404</v>
      </c>
      <c r="D398" s="16">
        <v>404</v>
      </c>
      <c r="E398" s="16" t="s">
        <v>3440</v>
      </c>
      <c r="F398" s="17" t="s">
        <v>24</v>
      </c>
      <c r="G398" s="18">
        <v>1</v>
      </c>
      <c r="H398" s="19">
        <v>7</v>
      </c>
      <c r="I398" s="19"/>
      <c r="J398" s="19">
        <v>300</v>
      </c>
      <c r="K398" s="19"/>
      <c r="L398" s="20">
        <v>7</v>
      </c>
      <c r="M398" s="21">
        <v>7</v>
      </c>
      <c r="N398" s="22">
        <v>7</v>
      </c>
      <c r="O398" s="22">
        <v>0</v>
      </c>
      <c r="P398" s="20">
        <v>0</v>
      </c>
      <c r="Q398" s="23">
        <v>300</v>
      </c>
      <c r="R398" s="20">
        <v>300</v>
      </c>
      <c r="S398" s="20">
        <v>300</v>
      </c>
      <c r="T398" s="18">
        <v>2100</v>
      </c>
      <c r="U398" s="24" t="s">
        <v>3101</v>
      </c>
      <c r="V398" s="25">
        <v>0</v>
      </c>
    </row>
    <row r="399" spans="1:22" ht="26.25">
      <c r="A399" s="67">
        <v>1618</v>
      </c>
      <c r="B399" s="15"/>
      <c r="C399" s="16">
        <v>410</v>
      </c>
      <c r="D399" s="16">
        <v>410</v>
      </c>
      <c r="E399" s="16" t="s">
        <v>3441</v>
      </c>
      <c r="F399" s="17" t="s">
        <v>24</v>
      </c>
      <c r="G399" s="18">
        <v>1</v>
      </c>
      <c r="H399" s="19">
        <v>13</v>
      </c>
      <c r="I399" s="19"/>
      <c r="J399" s="19"/>
      <c r="K399" s="19"/>
      <c r="L399" s="20">
        <v>13</v>
      </c>
      <c r="M399" s="21">
        <v>13</v>
      </c>
      <c r="N399" s="22">
        <v>13</v>
      </c>
      <c r="O399" s="22">
        <v>0</v>
      </c>
      <c r="P399" s="20">
        <v>0</v>
      </c>
      <c r="Q399" s="23">
        <v>0</v>
      </c>
      <c r="R399" s="20">
        <v>0</v>
      </c>
      <c r="S399" s="20">
        <v>0</v>
      </c>
      <c r="T399" s="18">
        <v>0</v>
      </c>
      <c r="U399" s="24"/>
      <c r="V399" s="25">
        <v>0</v>
      </c>
    </row>
    <row r="400" spans="1:22" ht="26.25">
      <c r="A400" s="67">
        <v>1618</v>
      </c>
      <c r="B400" s="15"/>
      <c r="C400" s="16">
        <v>411</v>
      </c>
      <c r="D400" s="16">
        <v>411</v>
      </c>
      <c r="E400" s="16" t="s">
        <v>3442</v>
      </c>
      <c r="F400" s="17" t="s">
        <v>24</v>
      </c>
      <c r="G400" s="18">
        <v>1</v>
      </c>
      <c r="H400" s="19">
        <v>3</v>
      </c>
      <c r="I400" s="19"/>
      <c r="J400" s="19"/>
      <c r="K400" s="19"/>
      <c r="L400" s="20">
        <v>3</v>
      </c>
      <c r="M400" s="21">
        <v>3</v>
      </c>
      <c r="N400" s="22">
        <v>3</v>
      </c>
      <c r="O400" s="22">
        <v>0</v>
      </c>
      <c r="P400" s="20">
        <v>0</v>
      </c>
      <c r="Q400" s="23">
        <v>0</v>
      </c>
      <c r="R400" s="20">
        <v>0</v>
      </c>
      <c r="S400" s="20">
        <v>0</v>
      </c>
      <c r="T400" s="18">
        <v>0</v>
      </c>
      <c r="U400" s="24"/>
      <c r="V400" s="25">
        <v>0</v>
      </c>
    </row>
    <row r="401" spans="1:22" ht="26.25">
      <c r="A401" s="66">
        <v>1616</v>
      </c>
      <c r="B401" s="15"/>
      <c r="C401" s="16">
        <v>412</v>
      </c>
      <c r="D401" s="16">
        <v>412</v>
      </c>
      <c r="E401" s="16" t="s">
        <v>2522</v>
      </c>
      <c r="F401" s="17" t="s">
        <v>24</v>
      </c>
      <c r="G401" s="18">
        <v>1</v>
      </c>
      <c r="H401" s="19">
        <v>5</v>
      </c>
      <c r="I401" s="19"/>
      <c r="J401" s="19">
        <v>300</v>
      </c>
      <c r="K401" s="19"/>
      <c r="L401" s="20">
        <v>5</v>
      </c>
      <c r="M401" s="21">
        <v>5</v>
      </c>
      <c r="N401" s="22">
        <v>5</v>
      </c>
      <c r="O401" s="22">
        <v>0</v>
      </c>
      <c r="P401" s="20">
        <v>0</v>
      </c>
      <c r="Q401" s="23">
        <v>300</v>
      </c>
      <c r="R401" s="20">
        <v>300</v>
      </c>
      <c r="S401" s="20">
        <v>300</v>
      </c>
      <c r="T401" s="18">
        <v>1500</v>
      </c>
      <c r="U401" s="24" t="s">
        <v>3101</v>
      </c>
      <c r="V401" s="25">
        <v>0</v>
      </c>
    </row>
    <row r="402" spans="1:22" ht="26.25">
      <c r="A402" s="67">
        <v>1621</v>
      </c>
      <c r="B402" s="15"/>
      <c r="C402" s="16">
        <v>413</v>
      </c>
      <c r="D402" s="16">
        <v>413</v>
      </c>
      <c r="E402" s="16" t="s">
        <v>1431</v>
      </c>
      <c r="F402" s="17" t="s">
        <v>24</v>
      </c>
      <c r="G402" s="18">
        <v>1</v>
      </c>
      <c r="H402" s="19">
        <v>6</v>
      </c>
      <c r="I402" s="19"/>
      <c r="J402" s="19">
        <v>100</v>
      </c>
      <c r="K402" s="19"/>
      <c r="L402" s="20">
        <v>6</v>
      </c>
      <c r="M402" s="21">
        <v>6</v>
      </c>
      <c r="N402" s="22">
        <v>6</v>
      </c>
      <c r="O402" s="22">
        <v>0</v>
      </c>
      <c r="P402" s="20">
        <v>0</v>
      </c>
      <c r="Q402" s="23">
        <v>100</v>
      </c>
      <c r="R402" s="20">
        <v>100</v>
      </c>
      <c r="S402" s="20">
        <v>100</v>
      </c>
      <c r="T402" s="18">
        <v>600</v>
      </c>
      <c r="U402" s="24" t="s">
        <v>3101</v>
      </c>
      <c r="V402" s="25">
        <v>0</v>
      </c>
    </row>
    <row r="403" spans="1:22" ht="26.25">
      <c r="A403" s="66">
        <v>1425</v>
      </c>
      <c r="B403" s="15"/>
      <c r="C403" s="16">
        <v>418</v>
      </c>
      <c r="D403" s="16">
        <v>418</v>
      </c>
      <c r="E403" s="16" t="s">
        <v>3443</v>
      </c>
      <c r="F403" s="17" t="s">
        <v>24</v>
      </c>
      <c r="G403" s="18">
        <v>1</v>
      </c>
      <c r="H403" s="19">
        <v>92</v>
      </c>
      <c r="I403" s="19"/>
      <c r="J403" s="19"/>
      <c r="K403" s="19"/>
      <c r="L403" s="20">
        <v>92</v>
      </c>
      <c r="M403" s="21">
        <v>92</v>
      </c>
      <c r="N403" s="22">
        <v>92</v>
      </c>
      <c r="O403" s="22">
        <v>0</v>
      </c>
      <c r="P403" s="20">
        <v>0</v>
      </c>
      <c r="Q403" s="23">
        <v>0</v>
      </c>
      <c r="R403" s="20">
        <v>0</v>
      </c>
      <c r="S403" s="20">
        <v>0</v>
      </c>
      <c r="T403" s="18">
        <v>0</v>
      </c>
      <c r="U403" s="24"/>
      <c r="V403" s="25">
        <v>0</v>
      </c>
    </row>
    <row r="404" spans="1:22" ht="26.25">
      <c r="A404" s="67">
        <v>1636</v>
      </c>
      <c r="B404" s="15"/>
      <c r="C404" s="16">
        <v>421</v>
      </c>
      <c r="D404" s="16">
        <v>421</v>
      </c>
      <c r="E404" s="16" t="s">
        <v>3444</v>
      </c>
      <c r="F404" s="17" t="s">
        <v>1198</v>
      </c>
      <c r="G404" s="18">
        <v>100</v>
      </c>
      <c r="H404" s="19"/>
      <c r="I404" s="19"/>
      <c r="J404" s="19"/>
      <c r="K404" s="19"/>
      <c r="L404" s="20">
        <v>0</v>
      </c>
      <c r="M404" s="21">
        <v>0</v>
      </c>
      <c r="N404" s="22">
        <v>0</v>
      </c>
      <c r="O404" s="22">
        <v>0</v>
      </c>
      <c r="P404" s="20">
        <v>0</v>
      </c>
      <c r="Q404" s="23">
        <v>0</v>
      </c>
      <c r="R404" s="20">
        <v>0</v>
      </c>
      <c r="S404" s="20">
        <v>0</v>
      </c>
      <c r="T404" s="18">
        <v>0</v>
      </c>
      <c r="U404" s="24"/>
      <c r="V404" s="25">
        <v>0</v>
      </c>
    </row>
    <row r="405" spans="1:22" ht="26.25">
      <c r="A405" s="66">
        <v>1637</v>
      </c>
      <c r="B405" s="15"/>
      <c r="C405" s="16">
        <v>421</v>
      </c>
      <c r="D405" s="16">
        <v>421</v>
      </c>
      <c r="E405" s="16" t="s">
        <v>3444</v>
      </c>
      <c r="F405" s="17" t="s">
        <v>24</v>
      </c>
      <c r="G405" s="18">
        <v>1</v>
      </c>
      <c r="H405" s="19">
        <v>38</v>
      </c>
      <c r="I405" s="19"/>
      <c r="J405" s="19">
        <v>35</v>
      </c>
      <c r="K405" s="19"/>
      <c r="L405" s="20">
        <v>38</v>
      </c>
      <c r="M405" s="21">
        <v>38</v>
      </c>
      <c r="N405" s="22">
        <v>38</v>
      </c>
      <c r="O405" s="22">
        <v>0</v>
      </c>
      <c r="P405" s="20">
        <v>0</v>
      </c>
      <c r="Q405" s="23">
        <v>35</v>
      </c>
      <c r="R405" s="20">
        <v>35</v>
      </c>
      <c r="S405" s="20">
        <v>35</v>
      </c>
      <c r="T405" s="18">
        <v>1330</v>
      </c>
      <c r="U405" s="24" t="s">
        <v>3101</v>
      </c>
      <c r="V405" s="25">
        <v>0</v>
      </c>
    </row>
    <row r="406" spans="1:22" ht="26.25">
      <c r="A406" s="66">
        <v>1302</v>
      </c>
      <c r="B406" s="15"/>
      <c r="C406" s="16">
        <v>423</v>
      </c>
      <c r="D406" s="16">
        <v>423</v>
      </c>
      <c r="E406" s="16" t="s">
        <v>3445</v>
      </c>
      <c r="F406" s="17" t="s">
        <v>1198</v>
      </c>
      <c r="G406" s="18">
        <v>100</v>
      </c>
      <c r="H406" s="19"/>
      <c r="I406" s="19"/>
      <c r="J406" s="19"/>
      <c r="K406" s="19"/>
      <c r="L406" s="20">
        <v>0</v>
      </c>
      <c r="M406" s="21">
        <v>0</v>
      </c>
      <c r="N406" s="22">
        <v>0</v>
      </c>
      <c r="O406" s="22">
        <v>0</v>
      </c>
      <c r="P406" s="20">
        <v>0</v>
      </c>
      <c r="Q406" s="23">
        <v>0</v>
      </c>
      <c r="R406" s="20">
        <v>0</v>
      </c>
      <c r="S406" s="20">
        <v>0</v>
      </c>
      <c r="T406" s="18">
        <v>0</v>
      </c>
      <c r="U406" s="24"/>
      <c r="V406" s="25">
        <v>0</v>
      </c>
    </row>
    <row r="407" spans="1:22" ht="26.25">
      <c r="A407" s="67">
        <v>1303</v>
      </c>
      <c r="B407" s="15"/>
      <c r="C407" s="16">
        <v>423</v>
      </c>
      <c r="D407" s="16">
        <v>423</v>
      </c>
      <c r="E407" s="16" t="s">
        <v>3445</v>
      </c>
      <c r="F407" s="17" t="s">
        <v>1201</v>
      </c>
      <c r="G407" s="18">
        <v>1</v>
      </c>
      <c r="H407" s="19">
        <v>79</v>
      </c>
      <c r="I407" s="19"/>
      <c r="J407" s="19"/>
      <c r="K407" s="19"/>
      <c r="L407" s="20">
        <v>79</v>
      </c>
      <c r="M407" s="21">
        <v>79</v>
      </c>
      <c r="N407" s="22">
        <v>79</v>
      </c>
      <c r="O407" s="22">
        <v>0</v>
      </c>
      <c r="P407" s="20">
        <v>0</v>
      </c>
      <c r="Q407" s="23">
        <v>0</v>
      </c>
      <c r="R407" s="20">
        <v>0</v>
      </c>
      <c r="S407" s="20">
        <v>0</v>
      </c>
      <c r="T407" s="18">
        <v>0</v>
      </c>
      <c r="U407" s="24"/>
      <c r="V407" s="25">
        <v>0</v>
      </c>
    </row>
    <row r="408" spans="1:22" ht="26.25">
      <c r="A408" s="66">
        <v>1689</v>
      </c>
      <c r="B408" s="15"/>
      <c r="C408" s="16">
        <v>425</v>
      </c>
      <c r="D408" s="16">
        <v>424</v>
      </c>
      <c r="E408" s="16" t="s">
        <v>2586</v>
      </c>
      <c r="F408" s="17" t="s">
        <v>24</v>
      </c>
      <c r="G408" s="18">
        <v>1</v>
      </c>
      <c r="H408" s="19">
        <v>7</v>
      </c>
      <c r="I408" s="19"/>
      <c r="J408" s="19"/>
      <c r="K408" s="19"/>
      <c r="L408" s="20">
        <v>7</v>
      </c>
      <c r="M408" s="21">
        <v>7</v>
      </c>
      <c r="N408" s="22">
        <v>7</v>
      </c>
      <c r="O408" s="22">
        <v>0</v>
      </c>
      <c r="P408" s="20">
        <v>0</v>
      </c>
      <c r="Q408" s="23">
        <v>0</v>
      </c>
      <c r="R408" s="20">
        <v>0</v>
      </c>
      <c r="S408" s="20">
        <v>0</v>
      </c>
      <c r="T408" s="18">
        <v>0</v>
      </c>
      <c r="U408" s="24"/>
      <c r="V408" s="25">
        <v>0</v>
      </c>
    </row>
    <row r="409" spans="1:22" ht="26.25">
      <c r="A409" s="66">
        <v>1694</v>
      </c>
      <c r="B409" s="15"/>
      <c r="C409" s="16">
        <v>424</v>
      </c>
      <c r="D409" s="16">
        <v>425</v>
      </c>
      <c r="E409" s="16" t="s">
        <v>1203</v>
      </c>
      <c r="F409" s="17" t="s">
        <v>1198</v>
      </c>
      <c r="G409" s="18">
        <v>100</v>
      </c>
      <c r="H409" s="19"/>
      <c r="I409" s="19">
        <v>2</v>
      </c>
      <c r="J409" s="19"/>
      <c r="K409" s="19">
        <v>1500</v>
      </c>
      <c r="L409" s="20">
        <v>200</v>
      </c>
      <c r="M409" s="21">
        <v>2</v>
      </c>
      <c r="N409" s="22">
        <v>0</v>
      </c>
      <c r="O409" s="22">
        <v>2</v>
      </c>
      <c r="P409" s="20">
        <v>15</v>
      </c>
      <c r="Q409" s="23">
        <v>0</v>
      </c>
      <c r="R409" s="20">
        <v>15</v>
      </c>
      <c r="S409" s="20">
        <v>1500</v>
      </c>
      <c r="T409" s="18">
        <v>3000</v>
      </c>
      <c r="U409" s="24" t="s">
        <v>3101</v>
      </c>
      <c r="V409" s="25">
        <v>0</v>
      </c>
    </row>
    <row r="410" spans="1:22" ht="26.25">
      <c r="A410" s="66">
        <v>1695</v>
      </c>
      <c r="B410" s="15"/>
      <c r="C410" s="16">
        <v>425</v>
      </c>
      <c r="D410" s="16">
        <v>425</v>
      </c>
      <c r="E410" s="16" t="s">
        <v>1203</v>
      </c>
      <c r="F410" s="17" t="s">
        <v>24</v>
      </c>
      <c r="G410" s="18">
        <v>1</v>
      </c>
      <c r="H410" s="19"/>
      <c r="I410" s="19"/>
      <c r="J410" s="19"/>
      <c r="K410" s="19"/>
      <c r="L410" s="20">
        <v>0</v>
      </c>
      <c r="M410" s="21">
        <v>0</v>
      </c>
      <c r="N410" s="22">
        <v>0</v>
      </c>
      <c r="O410" s="22">
        <v>0</v>
      </c>
      <c r="P410" s="20">
        <v>0</v>
      </c>
      <c r="Q410" s="23">
        <v>0</v>
      </c>
      <c r="R410" s="20">
        <v>0</v>
      </c>
      <c r="S410" s="20">
        <v>0</v>
      </c>
      <c r="T410" s="18">
        <v>0</v>
      </c>
      <c r="U410" s="24"/>
      <c r="V410" s="25">
        <v>0</v>
      </c>
    </row>
    <row r="411" spans="1:22" ht="26.25">
      <c r="A411" s="67">
        <v>1696</v>
      </c>
      <c r="B411" s="15"/>
      <c r="C411" s="16">
        <v>425</v>
      </c>
      <c r="D411" s="16">
        <v>425</v>
      </c>
      <c r="E411" s="16" t="s">
        <v>1233</v>
      </c>
      <c r="F411" s="17" t="s">
        <v>1198</v>
      </c>
      <c r="G411" s="18">
        <v>50</v>
      </c>
      <c r="H411" s="19"/>
      <c r="I411" s="19">
        <v>6</v>
      </c>
      <c r="J411" s="19"/>
      <c r="K411" s="19">
        <v>1200</v>
      </c>
      <c r="L411" s="20">
        <v>300</v>
      </c>
      <c r="M411" s="21">
        <v>6</v>
      </c>
      <c r="N411" s="22">
        <v>0</v>
      </c>
      <c r="O411" s="22">
        <v>6</v>
      </c>
      <c r="P411" s="20">
        <v>24</v>
      </c>
      <c r="Q411" s="23">
        <v>0</v>
      </c>
      <c r="R411" s="20">
        <v>24</v>
      </c>
      <c r="S411" s="20">
        <v>1200</v>
      </c>
      <c r="T411" s="18">
        <v>7200</v>
      </c>
      <c r="U411" s="24" t="s">
        <v>3101</v>
      </c>
      <c r="V411" s="25">
        <v>0</v>
      </c>
    </row>
    <row r="412" spans="1:22" ht="26.25">
      <c r="A412" s="66">
        <v>1697</v>
      </c>
      <c r="B412" s="15"/>
      <c r="C412" s="16">
        <v>425</v>
      </c>
      <c r="D412" s="16">
        <v>425</v>
      </c>
      <c r="E412" s="16" t="s">
        <v>1233</v>
      </c>
      <c r="F412" s="17" t="s">
        <v>24</v>
      </c>
      <c r="G412" s="18">
        <v>1</v>
      </c>
      <c r="H412" s="19"/>
      <c r="I412" s="19"/>
      <c r="J412" s="19"/>
      <c r="K412" s="19"/>
      <c r="L412" s="20">
        <v>0</v>
      </c>
      <c r="M412" s="21">
        <v>0</v>
      </c>
      <c r="N412" s="22">
        <v>0</v>
      </c>
      <c r="O412" s="22">
        <v>0</v>
      </c>
      <c r="P412" s="20">
        <v>0</v>
      </c>
      <c r="Q412" s="23">
        <v>0</v>
      </c>
      <c r="R412" s="20">
        <v>0</v>
      </c>
      <c r="S412" s="20">
        <v>0</v>
      </c>
      <c r="T412" s="18">
        <v>0</v>
      </c>
      <c r="U412" s="24"/>
      <c r="V412" s="25">
        <v>0</v>
      </c>
    </row>
    <row r="413" spans="1:22" ht="26.25">
      <c r="A413" s="66">
        <v>1698</v>
      </c>
      <c r="B413" s="15"/>
      <c r="C413" s="16">
        <v>425</v>
      </c>
      <c r="D413" s="16">
        <v>425</v>
      </c>
      <c r="E413" s="16" t="s">
        <v>1434</v>
      </c>
      <c r="F413" s="17" t="s">
        <v>1198</v>
      </c>
      <c r="G413" s="18">
        <v>12</v>
      </c>
      <c r="H413" s="19"/>
      <c r="I413" s="19">
        <v>8</v>
      </c>
      <c r="J413" s="19"/>
      <c r="K413" s="19">
        <v>150</v>
      </c>
      <c r="L413" s="20">
        <v>96</v>
      </c>
      <c r="M413" s="21">
        <v>8</v>
      </c>
      <c r="N413" s="22">
        <v>0</v>
      </c>
      <c r="O413" s="22">
        <v>8</v>
      </c>
      <c r="P413" s="20">
        <v>12.5</v>
      </c>
      <c r="Q413" s="23">
        <v>0</v>
      </c>
      <c r="R413" s="20">
        <v>12.5</v>
      </c>
      <c r="S413" s="20">
        <v>150</v>
      </c>
      <c r="T413" s="18">
        <v>1200</v>
      </c>
      <c r="U413" s="24" t="s">
        <v>3101</v>
      </c>
      <c r="V413" s="25">
        <v>0</v>
      </c>
    </row>
    <row r="414" spans="1:22" ht="26.25">
      <c r="A414" s="67">
        <v>1699</v>
      </c>
      <c r="B414" s="15"/>
      <c r="C414" s="16">
        <v>425</v>
      </c>
      <c r="D414" s="16">
        <v>425</v>
      </c>
      <c r="E414" s="16" t="s">
        <v>1434</v>
      </c>
      <c r="F414" s="17" t="s">
        <v>24</v>
      </c>
      <c r="G414" s="18">
        <v>1</v>
      </c>
      <c r="H414" s="19"/>
      <c r="I414" s="19"/>
      <c r="J414" s="19"/>
      <c r="K414" s="19"/>
      <c r="L414" s="20">
        <v>0</v>
      </c>
      <c r="M414" s="21">
        <v>0</v>
      </c>
      <c r="N414" s="22">
        <v>0</v>
      </c>
      <c r="O414" s="22">
        <v>0</v>
      </c>
      <c r="P414" s="20">
        <v>0</v>
      </c>
      <c r="Q414" s="23">
        <v>0</v>
      </c>
      <c r="R414" s="20">
        <v>0</v>
      </c>
      <c r="S414" s="20">
        <v>0</v>
      </c>
      <c r="T414" s="18">
        <v>0</v>
      </c>
      <c r="U414" s="24"/>
      <c r="V414" s="25">
        <v>0</v>
      </c>
    </row>
    <row r="415" spans="1:22" ht="26.25">
      <c r="A415" s="66">
        <v>1700</v>
      </c>
      <c r="B415" s="15"/>
      <c r="C415" s="16">
        <v>425</v>
      </c>
      <c r="D415" s="16">
        <v>425</v>
      </c>
      <c r="E415" s="16" t="s">
        <v>1204</v>
      </c>
      <c r="F415" s="17" t="s">
        <v>1198</v>
      </c>
      <c r="G415" s="18">
        <v>100</v>
      </c>
      <c r="H415" s="19"/>
      <c r="I415" s="19">
        <v>2</v>
      </c>
      <c r="J415" s="19"/>
      <c r="K415" s="19">
        <v>1300</v>
      </c>
      <c r="L415" s="20">
        <v>200</v>
      </c>
      <c r="M415" s="21">
        <v>2</v>
      </c>
      <c r="N415" s="22">
        <v>0</v>
      </c>
      <c r="O415" s="22">
        <v>2</v>
      </c>
      <c r="P415" s="20">
        <v>13</v>
      </c>
      <c r="Q415" s="23">
        <v>0</v>
      </c>
      <c r="R415" s="20">
        <v>13</v>
      </c>
      <c r="S415" s="20">
        <v>1300</v>
      </c>
      <c r="T415" s="18">
        <v>2600</v>
      </c>
      <c r="U415" s="24" t="s">
        <v>3101</v>
      </c>
      <c r="V415" s="25">
        <v>0</v>
      </c>
    </row>
    <row r="416" spans="1:22" ht="26.25">
      <c r="A416" s="66">
        <v>1701</v>
      </c>
      <c r="B416" s="15"/>
      <c r="C416" s="16">
        <v>425</v>
      </c>
      <c r="D416" s="16">
        <v>425</v>
      </c>
      <c r="E416" s="16" t="s">
        <v>1204</v>
      </c>
      <c r="F416" s="17" t="s">
        <v>24</v>
      </c>
      <c r="G416" s="18">
        <v>1</v>
      </c>
      <c r="H416" s="19">
        <v>80</v>
      </c>
      <c r="I416" s="19"/>
      <c r="J416" s="19"/>
      <c r="K416" s="19"/>
      <c r="L416" s="20">
        <v>80</v>
      </c>
      <c r="M416" s="21">
        <v>80</v>
      </c>
      <c r="N416" s="22">
        <v>80</v>
      </c>
      <c r="O416" s="22">
        <v>0</v>
      </c>
      <c r="P416" s="20">
        <v>0</v>
      </c>
      <c r="Q416" s="23">
        <v>0</v>
      </c>
      <c r="R416" s="20">
        <v>0</v>
      </c>
      <c r="S416" s="20">
        <v>0</v>
      </c>
      <c r="T416" s="18">
        <v>0</v>
      </c>
      <c r="U416" s="24"/>
      <c r="V416" s="25">
        <v>0</v>
      </c>
    </row>
    <row r="417" spans="1:22" ht="26.25">
      <c r="A417" s="67">
        <v>1702</v>
      </c>
      <c r="B417" s="15"/>
      <c r="C417" s="16">
        <v>425</v>
      </c>
      <c r="D417" s="16">
        <v>425</v>
      </c>
      <c r="E417" s="16" t="s">
        <v>1205</v>
      </c>
      <c r="F417" s="17" t="s">
        <v>1198</v>
      </c>
      <c r="G417" s="18">
        <v>100</v>
      </c>
      <c r="H417" s="19"/>
      <c r="I417" s="19">
        <v>1</v>
      </c>
      <c r="J417" s="19"/>
      <c r="K417" s="19">
        <v>3000</v>
      </c>
      <c r="L417" s="20">
        <v>100</v>
      </c>
      <c r="M417" s="21">
        <v>1</v>
      </c>
      <c r="N417" s="22">
        <v>0</v>
      </c>
      <c r="O417" s="22">
        <v>1</v>
      </c>
      <c r="P417" s="20">
        <v>30</v>
      </c>
      <c r="Q417" s="23">
        <v>0</v>
      </c>
      <c r="R417" s="20">
        <v>30</v>
      </c>
      <c r="S417" s="20">
        <v>3000</v>
      </c>
      <c r="T417" s="18">
        <v>3000</v>
      </c>
      <c r="U417" s="24" t="s">
        <v>3101</v>
      </c>
      <c r="V417" s="25">
        <v>0</v>
      </c>
    </row>
    <row r="418" spans="1:22" ht="26.25">
      <c r="A418" s="66">
        <v>1703</v>
      </c>
      <c r="B418" s="15"/>
      <c r="C418" s="16">
        <v>425</v>
      </c>
      <c r="D418" s="16">
        <v>425</v>
      </c>
      <c r="E418" s="16" t="s">
        <v>1205</v>
      </c>
      <c r="F418" s="17" t="s">
        <v>24</v>
      </c>
      <c r="G418" s="18">
        <v>1</v>
      </c>
      <c r="H418" s="19"/>
      <c r="I418" s="19"/>
      <c r="J418" s="19"/>
      <c r="K418" s="19"/>
      <c r="L418" s="20">
        <v>0</v>
      </c>
      <c r="M418" s="21">
        <v>0</v>
      </c>
      <c r="N418" s="22">
        <v>0</v>
      </c>
      <c r="O418" s="22">
        <v>0</v>
      </c>
      <c r="P418" s="20">
        <v>0</v>
      </c>
      <c r="Q418" s="23">
        <v>0</v>
      </c>
      <c r="R418" s="20">
        <v>0</v>
      </c>
      <c r="S418" s="20">
        <v>0</v>
      </c>
      <c r="T418" s="18">
        <v>0</v>
      </c>
      <c r="U418" s="24"/>
      <c r="V418" s="25">
        <v>0</v>
      </c>
    </row>
    <row r="419" spans="1:22" ht="26.25">
      <c r="A419" s="66">
        <v>1704</v>
      </c>
      <c r="B419" s="15"/>
      <c r="C419" s="16">
        <v>425</v>
      </c>
      <c r="D419" s="16">
        <v>425</v>
      </c>
      <c r="E419" s="16" t="s">
        <v>1206</v>
      </c>
      <c r="F419" s="17" t="s">
        <v>1198</v>
      </c>
      <c r="G419" s="18">
        <v>100</v>
      </c>
      <c r="H419" s="19"/>
      <c r="I419" s="19">
        <v>4</v>
      </c>
      <c r="J419" s="19"/>
      <c r="K419" s="19">
        <v>1300</v>
      </c>
      <c r="L419" s="20">
        <v>400</v>
      </c>
      <c r="M419" s="21">
        <v>4</v>
      </c>
      <c r="N419" s="22">
        <v>0</v>
      </c>
      <c r="O419" s="22">
        <v>4</v>
      </c>
      <c r="P419" s="20">
        <v>13</v>
      </c>
      <c r="Q419" s="23">
        <v>0</v>
      </c>
      <c r="R419" s="20">
        <v>13</v>
      </c>
      <c r="S419" s="20">
        <v>1300</v>
      </c>
      <c r="T419" s="18">
        <v>5200</v>
      </c>
      <c r="U419" s="24" t="s">
        <v>3101</v>
      </c>
      <c r="V419" s="25">
        <v>0</v>
      </c>
    </row>
    <row r="420" spans="1:22" ht="26.25">
      <c r="A420" s="67">
        <v>1705</v>
      </c>
      <c r="B420" s="15"/>
      <c r="C420" s="16">
        <v>425</v>
      </c>
      <c r="D420" s="16">
        <v>425</v>
      </c>
      <c r="E420" s="16" t="s">
        <v>1206</v>
      </c>
      <c r="F420" s="17" t="s">
        <v>1201</v>
      </c>
      <c r="G420" s="18">
        <v>1</v>
      </c>
      <c r="H420" s="19"/>
      <c r="I420" s="19"/>
      <c r="J420" s="19"/>
      <c r="K420" s="19"/>
      <c r="L420" s="20">
        <v>0</v>
      </c>
      <c r="M420" s="21">
        <v>0</v>
      </c>
      <c r="N420" s="22">
        <v>0</v>
      </c>
      <c r="O420" s="22">
        <v>0</v>
      </c>
      <c r="P420" s="20">
        <v>0</v>
      </c>
      <c r="Q420" s="23">
        <v>0</v>
      </c>
      <c r="R420" s="20">
        <v>0</v>
      </c>
      <c r="S420" s="20">
        <v>0</v>
      </c>
      <c r="T420" s="18">
        <v>0</v>
      </c>
      <c r="U420" s="24"/>
      <c r="V420" s="25">
        <v>0</v>
      </c>
    </row>
    <row r="421" spans="1:22" ht="26.25">
      <c r="A421" s="66">
        <v>1319</v>
      </c>
      <c r="B421" s="15"/>
      <c r="C421" s="16">
        <v>428</v>
      </c>
      <c r="D421" s="16">
        <v>428</v>
      </c>
      <c r="E421" s="16" t="s">
        <v>3446</v>
      </c>
      <c r="F421" s="17" t="s">
        <v>24</v>
      </c>
      <c r="G421" s="18">
        <v>1</v>
      </c>
      <c r="H421" s="19">
        <v>20</v>
      </c>
      <c r="I421" s="19"/>
      <c r="J421" s="19"/>
      <c r="K421" s="19"/>
      <c r="L421" s="20">
        <v>20</v>
      </c>
      <c r="M421" s="21">
        <v>20</v>
      </c>
      <c r="N421" s="22">
        <v>20</v>
      </c>
      <c r="O421" s="22">
        <v>0</v>
      </c>
      <c r="P421" s="20">
        <v>0</v>
      </c>
      <c r="Q421" s="23">
        <v>0</v>
      </c>
      <c r="R421" s="20">
        <v>0</v>
      </c>
      <c r="S421" s="20">
        <v>0</v>
      </c>
      <c r="T421" s="18">
        <v>0</v>
      </c>
      <c r="U421" s="24"/>
      <c r="V421" s="25">
        <v>0</v>
      </c>
    </row>
    <row r="422" spans="1:22" ht="26.25">
      <c r="A422" s="66">
        <v>696</v>
      </c>
      <c r="B422" s="15"/>
      <c r="C422" s="16">
        <v>430</v>
      </c>
      <c r="D422" s="16">
        <v>430</v>
      </c>
      <c r="E422" s="16" t="s">
        <v>3447</v>
      </c>
      <c r="F422" s="17" t="s">
        <v>24</v>
      </c>
      <c r="G422" s="18">
        <v>1</v>
      </c>
      <c r="H422" s="19"/>
      <c r="I422" s="19"/>
      <c r="J422" s="19"/>
      <c r="K422" s="19"/>
      <c r="L422" s="20">
        <v>0</v>
      </c>
      <c r="M422" s="21">
        <v>0</v>
      </c>
      <c r="N422" s="22">
        <v>0</v>
      </c>
      <c r="O422" s="22">
        <v>0</v>
      </c>
      <c r="P422" s="20">
        <v>0</v>
      </c>
      <c r="Q422" s="23">
        <v>0</v>
      </c>
      <c r="R422" s="20">
        <v>0</v>
      </c>
      <c r="S422" s="20">
        <v>0</v>
      </c>
      <c r="T422" s="18">
        <v>0</v>
      </c>
      <c r="U422" s="24"/>
      <c r="V422" s="25">
        <v>0</v>
      </c>
    </row>
    <row r="423" spans="1:22" ht="26.25">
      <c r="A423" s="67">
        <v>1219</v>
      </c>
      <c r="B423" s="15"/>
      <c r="C423" s="16">
        <v>433</v>
      </c>
      <c r="D423" s="16">
        <v>433</v>
      </c>
      <c r="E423" s="16" t="s">
        <v>3448</v>
      </c>
      <c r="F423" s="17" t="s">
        <v>24</v>
      </c>
      <c r="G423" s="18">
        <v>1</v>
      </c>
      <c r="H423" s="19">
        <v>1</v>
      </c>
      <c r="I423" s="19"/>
      <c r="J423" s="19"/>
      <c r="K423" s="19"/>
      <c r="L423" s="20">
        <v>1</v>
      </c>
      <c r="M423" s="21">
        <v>1</v>
      </c>
      <c r="N423" s="22">
        <v>1</v>
      </c>
      <c r="O423" s="22">
        <v>0</v>
      </c>
      <c r="P423" s="20">
        <v>0</v>
      </c>
      <c r="Q423" s="23">
        <v>0</v>
      </c>
      <c r="R423" s="20">
        <v>0</v>
      </c>
      <c r="S423" s="20">
        <v>0</v>
      </c>
      <c r="T423" s="18">
        <v>0</v>
      </c>
      <c r="U423" s="24"/>
      <c r="V423" s="25">
        <v>0</v>
      </c>
    </row>
    <row r="424" spans="1:22" ht="26.25">
      <c r="A424" s="66">
        <v>1221</v>
      </c>
      <c r="B424" s="15"/>
      <c r="C424" s="16">
        <v>435</v>
      </c>
      <c r="D424" s="16">
        <v>435</v>
      </c>
      <c r="E424" s="16" t="s">
        <v>3449</v>
      </c>
      <c r="F424" s="17" t="s">
        <v>24</v>
      </c>
      <c r="G424" s="18">
        <v>1</v>
      </c>
      <c r="H424" s="19">
        <v>1</v>
      </c>
      <c r="I424" s="19"/>
      <c r="J424" s="19"/>
      <c r="K424" s="19"/>
      <c r="L424" s="20">
        <v>1</v>
      </c>
      <c r="M424" s="21">
        <v>1</v>
      </c>
      <c r="N424" s="22">
        <v>1</v>
      </c>
      <c r="O424" s="22">
        <v>0</v>
      </c>
      <c r="P424" s="20">
        <v>0</v>
      </c>
      <c r="Q424" s="23">
        <v>0</v>
      </c>
      <c r="R424" s="20">
        <v>0</v>
      </c>
      <c r="S424" s="20">
        <v>0</v>
      </c>
      <c r="T424" s="18">
        <v>0</v>
      </c>
      <c r="U424" s="24"/>
      <c r="V424" s="25">
        <v>0</v>
      </c>
    </row>
    <row r="425" spans="1:22" ht="26.25">
      <c r="A425" s="66">
        <v>1212</v>
      </c>
      <c r="B425" s="15"/>
      <c r="C425" s="16">
        <v>439</v>
      </c>
      <c r="D425" s="16">
        <v>439</v>
      </c>
      <c r="E425" s="16" t="s">
        <v>3450</v>
      </c>
      <c r="F425" s="17" t="s">
        <v>24</v>
      </c>
      <c r="G425" s="18">
        <v>1</v>
      </c>
      <c r="H425" s="19">
        <v>1</v>
      </c>
      <c r="I425" s="19"/>
      <c r="J425" s="19"/>
      <c r="K425" s="19"/>
      <c r="L425" s="20">
        <v>1</v>
      </c>
      <c r="M425" s="21">
        <v>1</v>
      </c>
      <c r="N425" s="22">
        <v>1</v>
      </c>
      <c r="O425" s="22">
        <v>0</v>
      </c>
      <c r="P425" s="20">
        <v>0</v>
      </c>
      <c r="Q425" s="23">
        <v>0</v>
      </c>
      <c r="R425" s="20">
        <v>0</v>
      </c>
      <c r="S425" s="20">
        <v>0</v>
      </c>
      <c r="T425" s="18">
        <v>0</v>
      </c>
      <c r="U425" s="24"/>
      <c r="V425" s="25">
        <v>0</v>
      </c>
    </row>
    <row r="426" spans="1:22" ht="26.25">
      <c r="A426" s="67">
        <v>1804</v>
      </c>
      <c r="B426" s="15"/>
      <c r="C426" s="70">
        <v>445</v>
      </c>
      <c r="D426" s="70">
        <v>445</v>
      </c>
      <c r="E426" s="16" t="s">
        <v>2648</v>
      </c>
      <c r="F426" s="17" t="s">
        <v>24</v>
      </c>
      <c r="G426" s="18">
        <v>1</v>
      </c>
      <c r="H426" s="71">
        <v>9</v>
      </c>
      <c r="I426" s="19"/>
      <c r="J426" s="19"/>
      <c r="K426" s="19"/>
      <c r="L426" s="20">
        <v>9</v>
      </c>
      <c r="M426" s="21">
        <v>9</v>
      </c>
      <c r="N426" s="22">
        <v>9</v>
      </c>
      <c r="O426" s="22">
        <v>0</v>
      </c>
      <c r="P426" s="20">
        <v>0</v>
      </c>
      <c r="Q426" s="23">
        <v>0</v>
      </c>
      <c r="R426" s="20">
        <v>0</v>
      </c>
      <c r="S426" s="20">
        <v>0</v>
      </c>
      <c r="T426" s="18">
        <v>0</v>
      </c>
      <c r="U426" s="24"/>
      <c r="V426" s="25">
        <v>0</v>
      </c>
    </row>
    <row r="427" spans="1:22" ht="26.25">
      <c r="A427" s="66">
        <v>1805</v>
      </c>
      <c r="B427" s="15"/>
      <c r="C427" s="70">
        <v>445</v>
      </c>
      <c r="D427" s="70">
        <v>445</v>
      </c>
      <c r="E427" s="16" t="s">
        <v>2649</v>
      </c>
      <c r="F427" s="17" t="s">
        <v>24</v>
      </c>
      <c r="G427" s="18">
        <v>1</v>
      </c>
      <c r="H427" s="71">
        <v>2</v>
      </c>
      <c r="I427" s="19"/>
      <c r="J427" s="19"/>
      <c r="K427" s="19"/>
      <c r="L427" s="20">
        <v>2</v>
      </c>
      <c r="M427" s="21">
        <v>2</v>
      </c>
      <c r="N427" s="22">
        <v>2</v>
      </c>
      <c r="O427" s="22">
        <v>0</v>
      </c>
      <c r="P427" s="20">
        <v>0</v>
      </c>
      <c r="Q427" s="23">
        <v>0</v>
      </c>
      <c r="R427" s="20">
        <v>0</v>
      </c>
      <c r="S427" s="20">
        <v>0</v>
      </c>
      <c r="T427" s="18">
        <v>0</v>
      </c>
      <c r="U427" s="24"/>
      <c r="V427" s="25">
        <v>0</v>
      </c>
    </row>
    <row r="428" spans="1:22" ht="26.25">
      <c r="A428" s="66">
        <v>1806</v>
      </c>
      <c r="B428" s="15"/>
      <c r="C428" s="70">
        <v>445</v>
      </c>
      <c r="D428" s="70">
        <v>445</v>
      </c>
      <c r="E428" s="16" t="s">
        <v>2650</v>
      </c>
      <c r="F428" s="17" t="s">
        <v>24</v>
      </c>
      <c r="G428" s="18">
        <v>1</v>
      </c>
      <c r="H428" s="71">
        <v>2</v>
      </c>
      <c r="I428" s="19"/>
      <c r="J428" s="19"/>
      <c r="K428" s="19"/>
      <c r="L428" s="20">
        <v>2</v>
      </c>
      <c r="M428" s="21">
        <v>2</v>
      </c>
      <c r="N428" s="22">
        <v>2</v>
      </c>
      <c r="O428" s="22">
        <v>0</v>
      </c>
      <c r="P428" s="20">
        <v>0</v>
      </c>
      <c r="Q428" s="23">
        <v>0</v>
      </c>
      <c r="R428" s="20">
        <v>0</v>
      </c>
      <c r="S428" s="20">
        <v>0</v>
      </c>
      <c r="T428" s="18">
        <v>0</v>
      </c>
      <c r="U428" s="24"/>
      <c r="V428" s="25">
        <v>0</v>
      </c>
    </row>
    <row r="429" spans="1:22" ht="26.25">
      <c r="A429" s="67">
        <v>1807</v>
      </c>
      <c r="B429" s="15"/>
      <c r="C429" s="70">
        <v>445</v>
      </c>
      <c r="D429" s="70">
        <v>445</v>
      </c>
      <c r="E429" s="16" t="s">
        <v>2651</v>
      </c>
      <c r="F429" s="17" t="s">
        <v>24</v>
      </c>
      <c r="G429" s="18">
        <v>1</v>
      </c>
      <c r="H429" s="71">
        <v>1</v>
      </c>
      <c r="I429" s="19"/>
      <c r="J429" s="19"/>
      <c r="K429" s="19"/>
      <c r="L429" s="20">
        <v>1</v>
      </c>
      <c r="M429" s="21">
        <v>1</v>
      </c>
      <c r="N429" s="22">
        <v>1</v>
      </c>
      <c r="O429" s="22">
        <v>0</v>
      </c>
      <c r="P429" s="20">
        <v>0</v>
      </c>
      <c r="Q429" s="23">
        <v>0</v>
      </c>
      <c r="R429" s="20">
        <v>0</v>
      </c>
      <c r="S429" s="20">
        <v>0</v>
      </c>
      <c r="T429" s="18">
        <v>0</v>
      </c>
      <c r="U429" s="24"/>
      <c r="V429" s="25">
        <v>0</v>
      </c>
    </row>
    <row r="430" spans="1:22" ht="26.25">
      <c r="A430" s="66">
        <v>1808</v>
      </c>
      <c r="B430" s="15"/>
      <c r="C430" s="70">
        <v>445</v>
      </c>
      <c r="D430" s="70">
        <v>445</v>
      </c>
      <c r="E430" s="16" t="s">
        <v>2652</v>
      </c>
      <c r="F430" s="17" t="s">
        <v>24</v>
      </c>
      <c r="G430" s="18">
        <v>1</v>
      </c>
      <c r="H430" s="71">
        <v>1</v>
      </c>
      <c r="I430" s="19"/>
      <c r="J430" s="19"/>
      <c r="K430" s="19"/>
      <c r="L430" s="20">
        <v>1</v>
      </c>
      <c r="M430" s="21">
        <v>1</v>
      </c>
      <c r="N430" s="22">
        <v>1</v>
      </c>
      <c r="O430" s="22">
        <v>0</v>
      </c>
      <c r="P430" s="20">
        <v>0</v>
      </c>
      <c r="Q430" s="23">
        <v>0</v>
      </c>
      <c r="R430" s="20">
        <v>0</v>
      </c>
      <c r="S430" s="20">
        <v>0</v>
      </c>
      <c r="T430" s="18">
        <v>0</v>
      </c>
      <c r="U430" s="24"/>
      <c r="V430" s="25">
        <v>0</v>
      </c>
    </row>
    <row r="431" spans="1:22" ht="26.25">
      <c r="A431" s="66">
        <v>1809</v>
      </c>
      <c r="B431" s="15"/>
      <c r="C431" s="70">
        <v>445</v>
      </c>
      <c r="D431" s="70">
        <v>445</v>
      </c>
      <c r="E431" s="16" t="s">
        <v>2653</v>
      </c>
      <c r="F431" s="17" t="s">
        <v>24</v>
      </c>
      <c r="G431" s="18">
        <v>1</v>
      </c>
      <c r="H431" s="71">
        <v>1</v>
      </c>
      <c r="I431" s="19"/>
      <c r="J431" s="19"/>
      <c r="K431" s="19"/>
      <c r="L431" s="20">
        <v>1</v>
      </c>
      <c r="M431" s="21">
        <v>1</v>
      </c>
      <c r="N431" s="22">
        <v>1</v>
      </c>
      <c r="O431" s="22">
        <v>0</v>
      </c>
      <c r="P431" s="20">
        <v>0</v>
      </c>
      <c r="Q431" s="23">
        <v>0</v>
      </c>
      <c r="R431" s="20">
        <v>0</v>
      </c>
      <c r="S431" s="20">
        <v>0</v>
      </c>
      <c r="T431" s="18">
        <v>0</v>
      </c>
      <c r="U431" s="24"/>
      <c r="V431" s="25">
        <v>0</v>
      </c>
    </row>
    <row r="432" spans="1:22" ht="26.25">
      <c r="A432" s="67">
        <v>1810</v>
      </c>
      <c r="B432" s="15"/>
      <c r="C432" s="70">
        <v>445</v>
      </c>
      <c r="D432" s="70">
        <v>445</v>
      </c>
      <c r="E432" s="16" t="s">
        <v>2654</v>
      </c>
      <c r="F432" s="17" t="s">
        <v>24</v>
      </c>
      <c r="G432" s="18">
        <v>1</v>
      </c>
      <c r="H432" s="71">
        <v>1</v>
      </c>
      <c r="I432" s="19"/>
      <c r="J432" s="19"/>
      <c r="K432" s="19"/>
      <c r="L432" s="20">
        <v>1</v>
      </c>
      <c r="M432" s="21">
        <v>1</v>
      </c>
      <c r="N432" s="22">
        <v>1</v>
      </c>
      <c r="O432" s="22">
        <v>0</v>
      </c>
      <c r="P432" s="20">
        <v>0</v>
      </c>
      <c r="Q432" s="23">
        <v>0</v>
      </c>
      <c r="R432" s="20">
        <v>0</v>
      </c>
      <c r="S432" s="20">
        <v>0</v>
      </c>
      <c r="T432" s="18">
        <v>0</v>
      </c>
      <c r="U432" s="24"/>
      <c r="V432" s="25">
        <v>0</v>
      </c>
    </row>
    <row r="433" spans="1:22" ht="26.25">
      <c r="A433" s="66">
        <v>1811</v>
      </c>
      <c r="B433" s="15"/>
      <c r="C433" s="70">
        <v>445</v>
      </c>
      <c r="D433" s="70">
        <v>445</v>
      </c>
      <c r="E433" s="16" t="s">
        <v>2655</v>
      </c>
      <c r="F433" s="17" t="s">
        <v>24</v>
      </c>
      <c r="G433" s="18">
        <v>1</v>
      </c>
      <c r="H433" s="71">
        <v>1</v>
      </c>
      <c r="I433" s="19"/>
      <c r="J433" s="19"/>
      <c r="K433" s="19"/>
      <c r="L433" s="20">
        <v>1</v>
      </c>
      <c r="M433" s="21">
        <v>1</v>
      </c>
      <c r="N433" s="22">
        <v>1</v>
      </c>
      <c r="O433" s="22">
        <v>0</v>
      </c>
      <c r="P433" s="20">
        <v>0</v>
      </c>
      <c r="Q433" s="23">
        <v>0</v>
      </c>
      <c r="R433" s="20">
        <v>0</v>
      </c>
      <c r="S433" s="20">
        <v>0</v>
      </c>
      <c r="T433" s="18">
        <v>0</v>
      </c>
      <c r="U433" s="24"/>
      <c r="V433" s="25">
        <v>0</v>
      </c>
    </row>
    <row r="434" spans="1:22" ht="26.25">
      <c r="A434" s="66">
        <v>1802</v>
      </c>
      <c r="B434" s="15"/>
      <c r="C434" s="16">
        <v>447</v>
      </c>
      <c r="D434" s="16">
        <v>447</v>
      </c>
      <c r="E434" s="16" t="s">
        <v>3451</v>
      </c>
      <c r="F434" s="17" t="s">
        <v>24</v>
      </c>
      <c r="G434" s="18">
        <v>1</v>
      </c>
      <c r="H434" s="19">
        <v>11</v>
      </c>
      <c r="I434" s="19"/>
      <c r="J434" s="19"/>
      <c r="K434" s="19"/>
      <c r="L434" s="20">
        <v>11</v>
      </c>
      <c r="M434" s="21">
        <v>11</v>
      </c>
      <c r="N434" s="22">
        <v>11</v>
      </c>
      <c r="O434" s="22">
        <v>0</v>
      </c>
      <c r="P434" s="20">
        <v>0</v>
      </c>
      <c r="Q434" s="23">
        <v>0</v>
      </c>
      <c r="R434" s="20">
        <v>0</v>
      </c>
      <c r="S434" s="20">
        <v>0</v>
      </c>
      <c r="T434" s="18">
        <v>0</v>
      </c>
      <c r="U434" s="24"/>
      <c r="V434" s="25">
        <v>0</v>
      </c>
    </row>
    <row r="435" spans="1:22" ht="26.25">
      <c r="A435" s="66">
        <v>1803</v>
      </c>
      <c r="B435" s="15"/>
      <c r="C435" s="16">
        <v>448</v>
      </c>
      <c r="D435" s="16">
        <v>448</v>
      </c>
      <c r="E435" s="16" t="s">
        <v>2647</v>
      </c>
      <c r="F435" s="17" t="s">
        <v>24</v>
      </c>
      <c r="G435" s="18">
        <v>1</v>
      </c>
      <c r="H435" s="19">
        <v>8</v>
      </c>
      <c r="I435" s="19"/>
      <c r="J435" s="19"/>
      <c r="K435" s="19"/>
      <c r="L435" s="20">
        <v>8</v>
      </c>
      <c r="M435" s="21">
        <v>8</v>
      </c>
      <c r="N435" s="22">
        <v>8</v>
      </c>
      <c r="O435" s="22">
        <v>0</v>
      </c>
      <c r="P435" s="20">
        <v>0</v>
      </c>
      <c r="Q435" s="23">
        <v>0</v>
      </c>
      <c r="R435" s="20">
        <v>0</v>
      </c>
      <c r="S435" s="20">
        <v>0</v>
      </c>
      <c r="T435" s="18">
        <v>0</v>
      </c>
      <c r="U435" s="24"/>
      <c r="V435" s="25">
        <v>0</v>
      </c>
    </row>
    <row r="436" spans="1:22" ht="26.25">
      <c r="A436" s="67">
        <v>1813</v>
      </c>
      <c r="B436" s="15"/>
      <c r="C436" s="16">
        <v>450</v>
      </c>
      <c r="D436" s="16">
        <v>450</v>
      </c>
      <c r="E436" s="16" t="s">
        <v>2657</v>
      </c>
      <c r="F436" s="17" t="s">
        <v>24</v>
      </c>
      <c r="G436" s="18">
        <v>1</v>
      </c>
      <c r="H436" s="19">
        <v>5</v>
      </c>
      <c r="I436" s="19"/>
      <c r="J436" s="19"/>
      <c r="K436" s="19"/>
      <c r="L436" s="20">
        <v>5</v>
      </c>
      <c r="M436" s="21">
        <v>5</v>
      </c>
      <c r="N436" s="22">
        <v>5</v>
      </c>
      <c r="O436" s="22">
        <v>0</v>
      </c>
      <c r="P436" s="20">
        <v>0</v>
      </c>
      <c r="Q436" s="23">
        <v>0</v>
      </c>
      <c r="R436" s="20">
        <v>0</v>
      </c>
      <c r="S436" s="20">
        <v>0</v>
      </c>
      <c r="T436" s="18">
        <v>0</v>
      </c>
      <c r="U436" s="24"/>
      <c r="V436" s="25">
        <v>0</v>
      </c>
    </row>
    <row r="437" spans="1:22" ht="26.25">
      <c r="A437" s="66">
        <v>1614</v>
      </c>
      <c r="B437" s="15"/>
      <c r="C437" s="16">
        <v>454</v>
      </c>
      <c r="D437" s="16">
        <v>454</v>
      </c>
      <c r="E437" s="16" t="s">
        <v>3452</v>
      </c>
      <c r="F437" s="17" t="s">
        <v>24</v>
      </c>
      <c r="G437" s="18">
        <v>1</v>
      </c>
      <c r="H437" s="19">
        <v>4</v>
      </c>
      <c r="I437" s="19"/>
      <c r="J437" s="19"/>
      <c r="K437" s="19"/>
      <c r="L437" s="20">
        <v>4</v>
      </c>
      <c r="M437" s="21">
        <v>4</v>
      </c>
      <c r="N437" s="22">
        <v>4</v>
      </c>
      <c r="O437" s="22">
        <v>0</v>
      </c>
      <c r="P437" s="20">
        <v>0</v>
      </c>
      <c r="Q437" s="23">
        <v>0</v>
      </c>
      <c r="R437" s="20">
        <v>0</v>
      </c>
      <c r="S437" s="20">
        <v>0</v>
      </c>
      <c r="T437" s="18">
        <v>0</v>
      </c>
      <c r="U437" s="24"/>
      <c r="V437" s="25">
        <v>0</v>
      </c>
    </row>
    <row r="438" spans="1:22" ht="26.25">
      <c r="A438" s="66">
        <v>1613</v>
      </c>
      <c r="B438" s="15"/>
      <c r="C438" s="16">
        <v>463</v>
      </c>
      <c r="D438" s="16">
        <v>463</v>
      </c>
      <c r="E438" s="16" t="s">
        <v>2519</v>
      </c>
      <c r="F438" s="17" t="s">
        <v>24</v>
      </c>
      <c r="G438" s="18">
        <v>1</v>
      </c>
      <c r="H438" s="19"/>
      <c r="I438" s="19"/>
      <c r="J438" s="19"/>
      <c r="K438" s="19"/>
      <c r="L438" s="20">
        <v>0</v>
      </c>
      <c r="M438" s="21">
        <v>0</v>
      </c>
      <c r="N438" s="22">
        <v>0</v>
      </c>
      <c r="O438" s="22">
        <v>0</v>
      </c>
      <c r="P438" s="20">
        <v>0</v>
      </c>
      <c r="Q438" s="23">
        <v>0</v>
      </c>
      <c r="R438" s="20">
        <v>0</v>
      </c>
      <c r="S438" s="20">
        <v>0</v>
      </c>
      <c r="T438" s="18">
        <v>0</v>
      </c>
      <c r="U438" s="24"/>
      <c r="V438" s="25">
        <v>0</v>
      </c>
    </row>
    <row r="439" spans="1:22" ht="26.25">
      <c r="A439" s="67">
        <v>1816</v>
      </c>
      <c r="B439" s="15"/>
      <c r="C439" s="16">
        <v>468</v>
      </c>
      <c r="D439" s="16">
        <v>468</v>
      </c>
      <c r="E439" s="16" t="s">
        <v>3453</v>
      </c>
      <c r="F439" s="17" t="s">
        <v>24</v>
      </c>
      <c r="G439" s="18">
        <v>1</v>
      </c>
      <c r="H439" s="19">
        <v>4</v>
      </c>
      <c r="I439" s="19"/>
      <c r="J439" s="19"/>
      <c r="K439" s="19"/>
      <c r="L439" s="20">
        <v>4</v>
      </c>
      <c r="M439" s="21">
        <v>4</v>
      </c>
      <c r="N439" s="22">
        <v>4</v>
      </c>
      <c r="O439" s="22">
        <v>0</v>
      </c>
      <c r="P439" s="20">
        <v>0</v>
      </c>
      <c r="Q439" s="23">
        <v>0</v>
      </c>
      <c r="R439" s="20">
        <v>0</v>
      </c>
      <c r="S439" s="20">
        <v>0</v>
      </c>
      <c r="T439" s="18">
        <v>0</v>
      </c>
      <c r="U439" s="24"/>
      <c r="V439" s="25">
        <v>0</v>
      </c>
    </row>
    <row r="440" spans="1:22" ht="26.25">
      <c r="A440" s="66">
        <v>1127</v>
      </c>
      <c r="B440" s="15"/>
      <c r="C440" s="16">
        <v>473</v>
      </c>
      <c r="D440" s="16">
        <v>473</v>
      </c>
      <c r="E440" s="16" t="s">
        <v>3454</v>
      </c>
      <c r="F440" s="17" t="s">
        <v>1185</v>
      </c>
      <c r="G440" s="18">
        <v>10</v>
      </c>
      <c r="H440" s="19"/>
      <c r="I440" s="19">
        <v>3</v>
      </c>
      <c r="J440" s="19"/>
      <c r="K440" s="19"/>
      <c r="L440" s="20">
        <v>30</v>
      </c>
      <c r="M440" s="21">
        <v>3</v>
      </c>
      <c r="N440" s="22">
        <v>0</v>
      </c>
      <c r="O440" s="22">
        <v>3</v>
      </c>
      <c r="P440" s="20">
        <v>0</v>
      </c>
      <c r="Q440" s="23">
        <v>0</v>
      </c>
      <c r="R440" s="20">
        <v>0</v>
      </c>
      <c r="S440" s="20">
        <v>0</v>
      </c>
      <c r="T440" s="18">
        <v>0</v>
      </c>
      <c r="U440" s="24"/>
      <c r="V440" s="25">
        <v>0</v>
      </c>
    </row>
    <row r="441" spans="1:22" ht="26.25">
      <c r="A441" s="66">
        <v>1128</v>
      </c>
      <c r="B441" s="15"/>
      <c r="C441" s="16">
        <v>473</v>
      </c>
      <c r="D441" s="16">
        <v>473</v>
      </c>
      <c r="E441" s="16" t="s">
        <v>3454</v>
      </c>
      <c r="F441" s="17" t="s">
        <v>24</v>
      </c>
      <c r="G441" s="18">
        <v>1</v>
      </c>
      <c r="H441" s="19"/>
      <c r="I441" s="19"/>
      <c r="J441" s="19"/>
      <c r="K441" s="19"/>
      <c r="L441" s="20">
        <v>0</v>
      </c>
      <c r="M441" s="21">
        <v>0</v>
      </c>
      <c r="N441" s="22">
        <v>0</v>
      </c>
      <c r="O441" s="22">
        <v>0</v>
      </c>
      <c r="P441" s="20">
        <v>0</v>
      </c>
      <c r="Q441" s="23">
        <v>0</v>
      </c>
      <c r="R441" s="20">
        <v>0</v>
      </c>
      <c r="S441" s="20">
        <v>0</v>
      </c>
      <c r="T441" s="18">
        <v>0</v>
      </c>
      <c r="U441" s="24"/>
      <c r="V441" s="25">
        <v>0</v>
      </c>
    </row>
    <row r="442" spans="1:22" ht="26.25">
      <c r="A442" s="66">
        <v>1131</v>
      </c>
      <c r="B442" s="15"/>
      <c r="C442" s="16">
        <v>475</v>
      </c>
      <c r="D442" s="16">
        <v>475</v>
      </c>
      <c r="E442" s="16" t="s">
        <v>3455</v>
      </c>
      <c r="F442" s="17" t="s">
        <v>1185</v>
      </c>
      <c r="G442" s="18">
        <v>10</v>
      </c>
      <c r="H442" s="19"/>
      <c r="I442" s="19">
        <v>1</v>
      </c>
      <c r="J442" s="19"/>
      <c r="K442" s="19"/>
      <c r="L442" s="20">
        <v>10</v>
      </c>
      <c r="M442" s="21">
        <v>1</v>
      </c>
      <c r="N442" s="22">
        <v>0</v>
      </c>
      <c r="O442" s="22">
        <v>1</v>
      </c>
      <c r="P442" s="20">
        <v>0</v>
      </c>
      <c r="Q442" s="23">
        <v>0</v>
      </c>
      <c r="R442" s="20">
        <v>0</v>
      </c>
      <c r="S442" s="20">
        <v>0</v>
      </c>
      <c r="T442" s="18">
        <v>0</v>
      </c>
      <c r="U442" s="24"/>
      <c r="V442" s="25">
        <v>0</v>
      </c>
    </row>
    <row r="443" spans="1:22" ht="26.25">
      <c r="A443" s="67">
        <v>1132</v>
      </c>
      <c r="B443" s="15"/>
      <c r="C443" s="16">
        <v>475</v>
      </c>
      <c r="D443" s="16">
        <v>475</v>
      </c>
      <c r="E443" s="16" t="s">
        <v>3455</v>
      </c>
      <c r="F443" s="17" t="s">
        <v>24</v>
      </c>
      <c r="G443" s="18">
        <v>1</v>
      </c>
      <c r="H443" s="19"/>
      <c r="I443" s="19"/>
      <c r="J443" s="19"/>
      <c r="K443" s="19"/>
      <c r="L443" s="20">
        <v>0</v>
      </c>
      <c r="M443" s="21">
        <v>0</v>
      </c>
      <c r="N443" s="22">
        <v>0</v>
      </c>
      <c r="O443" s="22">
        <v>0</v>
      </c>
      <c r="P443" s="20">
        <v>0</v>
      </c>
      <c r="Q443" s="23">
        <v>0</v>
      </c>
      <c r="R443" s="20">
        <v>0</v>
      </c>
      <c r="S443" s="20">
        <v>0</v>
      </c>
      <c r="T443" s="18">
        <v>0</v>
      </c>
      <c r="U443" s="24"/>
      <c r="V443" s="25">
        <v>0</v>
      </c>
    </row>
    <row r="444" spans="1:22" ht="26.25">
      <c r="A444" s="67">
        <v>1144</v>
      </c>
      <c r="B444" s="15"/>
      <c r="C444" s="16">
        <v>476</v>
      </c>
      <c r="D444" s="16">
        <v>476</v>
      </c>
      <c r="E444" s="16" t="s">
        <v>3456</v>
      </c>
      <c r="F444" s="17" t="s">
        <v>1185</v>
      </c>
      <c r="G444" s="18">
        <v>12</v>
      </c>
      <c r="H444" s="19"/>
      <c r="I444" s="19">
        <v>1</v>
      </c>
      <c r="J444" s="19"/>
      <c r="K444" s="19"/>
      <c r="L444" s="20">
        <v>12</v>
      </c>
      <c r="M444" s="21">
        <v>1</v>
      </c>
      <c r="N444" s="22">
        <v>0</v>
      </c>
      <c r="O444" s="22">
        <v>1</v>
      </c>
      <c r="P444" s="20">
        <v>0</v>
      </c>
      <c r="Q444" s="23">
        <v>0</v>
      </c>
      <c r="R444" s="20">
        <v>0</v>
      </c>
      <c r="S444" s="20">
        <v>0</v>
      </c>
      <c r="T444" s="18">
        <v>0</v>
      </c>
      <c r="U444" s="24"/>
      <c r="V444" s="25">
        <v>0</v>
      </c>
    </row>
    <row r="445" spans="1:22" ht="26.25">
      <c r="A445" s="66">
        <v>1145</v>
      </c>
      <c r="B445" s="15"/>
      <c r="C445" s="16">
        <v>476</v>
      </c>
      <c r="D445" s="16">
        <v>476</v>
      </c>
      <c r="E445" s="16" t="s">
        <v>3456</v>
      </c>
      <c r="F445" s="17" t="s">
        <v>24</v>
      </c>
      <c r="G445" s="18">
        <v>1</v>
      </c>
      <c r="H445" s="19">
        <v>2</v>
      </c>
      <c r="I445" s="19"/>
      <c r="J445" s="19"/>
      <c r="K445" s="19"/>
      <c r="L445" s="20">
        <v>2</v>
      </c>
      <c r="M445" s="21">
        <v>2</v>
      </c>
      <c r="N445" s="22">
        <v>2</v>
      </c>
      <c r="O445" s="22">
        <v>0</v>
      </c>
      <c r="P445" s="20">
        <v>0</v>
      </c>
      <c r="Q445" s="23">
        <v>0</v>
      </c>
      <c r="R445" s="20">
        <v>0</v>
      </c>
      <c r="S445" s="20">
        <v>0</v>
      </c>
      <c r="T445" s="18">
        <v>0</v>
      </c>
      <c r="U445" s="24"/>
      <c r="V445" s="25">
        <v>0</v>
      </c>
    </row>
    <row r="446" spans="1:22" ht="26.25">
      <c r="A446" s="67">
        <v>1141</v>
      </c>
      <c r="B446" s="15"/>
      <c r="C446" s="16">
        <v>483</v>
      </c>
      <c r="D446" s="16">
        <v>483</v>
      </c>
      <c r="E446" s="16" t="s">
        <v>3457</v>
      </c>
      <c r="F446" s="17" t="s">
        <v>24</v>
      </c>
      <c r="G446" s="18">
        <v>1</v>
      </c>
      <c r="H446" s="19">
        <v>3</v>
      </c>
      <c r="I446" s="19"/>
      <c r="J446" s="19"/>
      <c r="K446" s="19"/>
      <c r="L446" s="20">
        <v>3</v>
      </c>
      <c r="M446" s="21">
        <v>3</v>
      </c>
      <c r="N446" s="22">
        <v>3</v>
      </c>
      <c r="O446" s="22">
        <v>0</v>
      </c>
      <c r="P446" s="20">
        <v>0</v>
      </c>
      <c r="Q446" s="23">
        <v>0</v>
      </c>
      <c r="R446" s="20">
        <v>0</v>
      </c>
      <c r="S446" s="20">
        <v>0</v>
      </c>
      <c r="T446" s="18">
        <v>0</v>
      </c>
      <c r="U446" s="24"/>
      <c r="V446" s="25">
        <v>0</v>
      </c>
    </row>
    <row r="447" spans="1:22" ht="26.25">
      <c r="A447" s="66">
        <v>1191</v>
      </c>
      <c r="B447" s="15"/>
      <c r="C447" s="16">
        <v>484</v>
      </c>
      <c r="D447" s="16">
        <v>484</v>
      </c>
      <c r="E447" s="16" t="s">
        <v>3458</v>
      </c>
      <c r="F447" s="17" t="s">
        <v>1185</v>
      </c>
      <c r="G447" s="18">
        <v>12</v>
      </c>
      <c r="H447" s="19"/>
      <c r="I447" s="19">
        <v>1</v>
      </c>
      <c r="J447" s="19"/>
      <c r="K447" s="19">
        <v>600</v>
      </c>
      <c r="L447" s="20">
        <v>12</v>
      </c>
      <c r="M447" s="21">
        <v>1</v>
      </c>
      <c r="N447" s="22">
        <v>0</v>
      </c>
      <c r="O447" s="22">
        <v>1</v>
      </c>
      <c r="P447" s="20">
        <v>50</v>
      </c>
      <c r="Q447" s="23">
        <v>0</v>
      </c>
      <c r="R447" s="20">
        <v>50</v>
      </c>
      <c r="S447" s="20">
        <v>600</v>
      </c>
      <c r="T447" s="18">
        <v>600</v>
      </c>
      <c r="U447" s="24"/>
      <c r="V447" s="25">
        <v>0</v>
      </c>
    </row>
    <row r="448" spans="1:22" ht="26.25">
      <c r="A448" s="66">
        <v>1191</v>
      </c>
      <c r="B448" s="15"/>
      <c r="C448" s="16">
        <v>484</v>
      </c>
      <c r="D448" s="16">
        <v>484</v>
      </c>
      <c r="E448" s="16" t="s">
        <v>3458</v>
      </c>
      <c r="F448" s="17" t="s">
        <v>24</v>
      </c>
      <c r="G448" s="18">
        <v>1</v>
      </c>
      <c r="H448" s="19">
        <v>6</v>
      </c>
      <c r="I448" s="19"/>
      <c r="J448" s="19"/>
      <c r="K448" s="19"/>
      <c r="L448" s="20">
        <v>6</v>
      </c>
      <c r="M448" s="21">
        <v>6</v>
      </c>
      <c r="N448" s="22">
        <v>6</v>
      </c>
      <c r="O448" s="22">
        <v>0</v>
      </c>
      <c r="P448" s="20">
        <v>0</v>
      </c>
      <c r="Q448" s="23">
        <v>0</v>
      </c>
      <c r="R448" s="20">
        <v>0</v>
      </c>
      <c r="S448" s="20">
        <v>0</v>
      </c>
      <c r="T448" s="18">
        <v>0</v>
      </c>
      <c r="U448" s="24"/>
      <c r="V448" s="25">
        <v>0</v>
      </c>
    </row>
    <row r="449" spans="1:22" ht="26.25">
      <c r="A449" s="67">
        <v>1138</v>
      </c>
      <c r="B449" s="15"/>
      <c r="C449" s="16">
        <v>487</v>
      </c>
      <c r="D449" s="16">
        <v>487</v>
      </c>
      <c r="E449" s="16" t="s">
        <v>1523</v>
      </c>
      <c r="F449" s="17" t="s">
        <v>1185</v>
      </c>
      <c r="G449" s="18">
        <v>4</v>
      </c>
      <c r="H449" s="19"/>
      <c r="I449" s="19">
        <v>1</v>
      </c>
      <c r="J449" s="19"/>
      <c r="K449" s="19"/>
      <c r="L449" s="20">
        <v>4</v>
      </c>
      <c r="M449" s="21">
        <v>1</v>
      </c>
      <c r="N449" s="22">
        <v>0</v>
      </c>
      <c r="O449" s="22">
        <v>1</v>
      </c>
      <c r="P449" s="20">
        <v>0</v>
      </c>
      <c r="Q449" s="23">
        <v>0</v>
      </c>
      <c r="R449" s="20">
        <v>0</v>
      </c>
      <c r="S449" s="20">
        <v>0</v>
      </c>
      <c r="T449" s="18">
        <v>0</v>
      </c>
      <c r="U449" s="24"/>
      <c r="V449" s="25">
        <v>0</v>
      </c>
    </row>
    <row r="450" spans="1:22" ht="26.25">
      <c r="A450" s="66">
        <v>1139</v>
      </c>
      <c r="B450" s="15"/>
      <c r="C450" s="16">
        <v>487</v>
      </c>
      <c r="D450" s="16">
        <v>487</v>
      </c>
      <c r="E450" s="16" t="s">
        <v>1523</v>
      </c>
      <c r="F450" s="17" t="s">
        <v>24</v>
      </c>
      <c r="G450" s="18">
        <v>1</v>
      </c>
      <c r="H450" s="19">
        <v>4</v>
      </c>
      <c r="I450" s="19"/>
      <c r="J450" s="19"/>
      <c r="K450" s="19"/>
      <c r="L450" s="20">
        <v>4</v>
      </c>
      <c r="M450" s="21">
        <v>4</v>
      </c>
      <c r="N450" s="22">
        <v>4</v>
      </c>
      <c r="O450" s="22">
        <v>0</v>
      </c>
      <c r="P450" s="20">
        <v>0</v>
      </c>
      <c r="Q450" s="23">
        <v>0</v>
      </c>
      <c r="R450" s="20">
        <v>0</v>
      </c>
      <c r="S450" s="20">
        <v>0</v>
      </c>
      <c r="T450" s="18">
        <v>0</v>
      </c>
      <c r="U450" s="24"/>
      <c r="V450" s="25">
        <v>0</v>
      </c>
    </row>
    <row r="451" spans="1:22" ht="26.25">
      <c r="A451" s="66">
        <v>1755</v>
      </c>
      <c r="B451" s="15"/>
      <c r="C451" s="16">
        <v>488</v>
      </c>
      <c r="D451" s="16">
        <v>488</v>
      </c>
      <c r="E451" s="16" t="s">
        <v>3459</v>
      </c>
      <c r="F451" s="17" t="s">
        <v>1198</v>
      </c>
      <c r="G451" s="18">
        <v>20</v>
      </c>
      <c r="H451" s="19"/>
      <c r="I451" s="19">
        <v>1</v>
      </c>
      <c r="J451" s="19"/>
      <c r="K451" s="19"/>
      <c r="L451" s="20">
        <v>20</v>
      </c>
      <c r="M451" s="21">
        <v>1</v>
      </c>
      <c r="N451" s="22">
        <v>0</v>
      </c>
      <c r="O451" s="22">
        <v>1</v>
      </c>
      <c r="P451" s="20">
        <v>0</v>
      </c>
      <c r="Q451" s="23">
        <v>0</v>
      </c>
      <c r="R451" s="20">
        <v>0</v>
      </c>
      <c r="S451" s="20">
        <v>0</v>
      </c>
      <c r="T451" s="18">
        <v>0</v>
      </c>
      <c r="U451" s="24"/>
      <c r="V451" s="25">
        <v>0</v>
      </c>
    </row>
    <row r="452" spans="1:22" ht="26.25">
      <c r="A452" s="67">
        <v>1756</v>
      </c>
      <c r="B452" s="15"/>
      <c r="C452" s="16">
        <v>488</v>
      </c>
      <c r="D452" s="16">
        <v>488</v>
      </c>
      <c r="E452" s="16" t="s">
        <v>3459</v>
      </c>
      <c r="F452" s="17" t="s">
        <v>24</v>
      </c>
      <c r="G452" s="18">
        <v>1</v>
      </c>
      <c r="H452" s="19">
        <v>5</v>
      </c>
      <c r="I452" s="19"/>
      <c r="J452" s="19"/>
      <c r="K452" s="19"/>
      <c r="L452" s="20">
        <v>5</v>
      </c>
      <c r="M452" s="21">
        <v>5</v>
      </c>
      <c r="N452" s="22">
        <v>5</v>
      </c>
      <c r="O452" s="22">
        <v>0</v>
      </c>
      <c r="P452" s="20">
        <v>0</v>
      </c>
      <c r="Q452" s="23">
        <v>0</v>
      </c>
      <c r="R452" s="20">
        <v>0</v>
      </c>
      <c r="S452" s="20">
        <v>0</v>
      </c>
      <c r="T452" s="18">
        <v>0</v>
      </c>
      <c r="U452" s="24"/>
      <c r="V452" s="25">
        <v>0</v>
      </c>
    </row>
    <row r="453" spans="1:22" ht="26.25">
      <c r="A453" s="66">
        <v>1757</v>
      </c>
      <c r="B453" s="15"/>
      <c r="C453" s="16">
        <v>489</v>
      </c>
      <c r="D453" s="16">
        <v>489</v>
      </c>
      <c r="E453" s="16" t="s">
        <v>3460</v>
      </c>
      <c r="F453" s="17" t="s">
        <v>24</v>
      </c>
      <c r="G453" s="18">
        <v>1</v>
      </c>
      <c r="H453" s="19">
        <v>26</v>
      </c>
      <c r="I453" s="19"/>
      <c r="J453" s="19"/>
      <c r="K453" s="19"/>
      <c r="L453" s="20">
        <v>26</v>
      </c>
      <c r="M453" s="21">
        <v>26</v>
      </c>
      <c r="N453" s="22">
        <v>26</v>
      </c>
      <c r="O453" s="22">
        <v>0</v>
      </c>
      <c r="P453" s="20">
        <v>0</v>
      </c>
      <c r="Q453" s="23">
        <v>0</v>
      </c>
      <c r="R453" s="20">
        <v>0</v>
      </c>
      <c r="S453" s="20">
        <v>0</v>
      </c>
      <c r="T453" s="18">
        <v>0</v>
      </c>
      <c r="U453" s="24"/>
      <c r="V453" s="25">
        <v>0</v>
      </c>
    </row>
    <row r="454" spans="1:22" ht="26.25">
      <c r="A454" s="67">
        <v>712</v>
      </c>
      <c r="B454" s="15"/>
      <c r="C454" s="16">
        <v>490</v>
      </c>
      <c r="D454" s="16">
        <v>490</v>
      </c>
      <c r="E454" s="16" t="s">
        <v>2092</v>
      </c>
      <c r="F454" s="17" t="s">
        <v>24</v>
      </c>
      <c r="G454" s="18">
        <v>1</v>
      </c>
      <c r="H454" s="19">
        <v>8</v>
      </c>
      <c r="I454" s="19"/>
      <c r="J454" s="19"/>
      <c r="K454" s="19"/>
      <c r="L454" s="20">
        <v>8</v>
      </c>
      <c r="M454" s="21">
        <v>8</v>
      </c>
      <c r="N454" s="22">
        <v>8</v>
      </c>
      <c r="O454" s="22">
        <v>0</v>
      </c>
      <c r="P454" s="20">
        <v>0</v>
      </c>
      <c r="Q454" s="23">
        <v>0</v>
      </c>
      <c r="R454" s="20">
        <v>0</v>
      </c>
      <c r="S454" s="20">
        <v>0</v>
      </c>
      <c r="T454" s="18">
        <v>0</v>
      </c>
      <c r="U454" s="24"/>
      <c r="V454" s="25">
        <v>0</v>
      </c>
    </row>
    <row r="455" spans="1:22" ht="26.25">
      <c r="A455" s="66">
        <v>840</v>
      </c>
      <c r="B455" s="15"/>
      <c r="C455" s="16">
        <v>491</v>
      </c>
      <c r="D455" s="16">
        <v>491</v>
      </c>
      <c r="E455" s="16" t="s">
        <v>2217</v>
      </c>
      <c r="F455" s="17" t="s">
        <v>1198</v>
      </c>
      <c r="G455" s="18">
        <v>20</v>
      </c>
      <c r="H455" s="19"/>
      <c r="I455" s="19">
        <v>1</v>
      </c>
      <c r="J455" s="19"/>
      <c r="K455" s="19"/>
      <c r="L455" s="20">
        <v>20</v>
      </c>
      <c r="M455" s="21">
        <v>1</v>
      </c>
      <c r="N455" s="22">
        <v>0</v>
      </c>
      <c r="O455" s="22">
        <v>1</v>
      </c>
      <c r="P455" s="20">
        <v>0</v>
      </c>
      <c r="Q455" s="23">
        <v>0</v>
      </c>
      <c r="R455" s="20">
        <v>0</v>
      </c>
      <c r="S455" s="20">
        <v>0</v>
      </c>
      <c r="T455" s="18">
        <v>0</v>
      </c>
      <c r="U455" s="24"/>
      <c r="V455" s="25">
        <v>0</v>
      </c>
    </row>
    <row r="456" spans="1:22" ht="26.25">
      <c r="A456" s="66">
        <v>840</v>
      </c>
      <c r="B456" s="15"/>
      <c r="C456" s="16">
        <v>491</v>
      </c>
      <c r="D456" s="16">
        <v>491</v>
      </c>
      <c r="E456" s="16" t="s">
        <v>2217</v>
      </c>
      <c r="F456" s="17" t="s">
        <v>24</v>
      </c>
      <c r="G456" s="18">
        <v>1</v>
      </c>
      <c r="H456" s="19">
        <v>17</v>
      </c>
      <c r="I456" s="19"/>
      <c r="J456" s="19"/>
      <c r="K456" s="19"/>
      <c r="L456" s="20">
        <v>17</v>
      </c>
      <c r="M456" s="21">
        <v>17</v>
      </c>
      <c r="N456" s="22">
        <v>17</v>
      </c>
      <c r="O456" s="22">
        <v>0</v>
      </c>
      <c r="P456" s="20">
        <v>0</v>
      </c>
      <c r="Q456" s="23">
        <v>0</v>
      </c>
      <c r="R456" s="20">
        <v>0</v>
      </c>
      <c r="S456" s="20">
        <v>0</v>
      </c>
      <c r="T456" s="18">
        <v>0</v>
      </c>
      <c r="U456" s="24"/>
      <c r="V456" s="25">
        <v>0</v>
      </c>
    </row>
    <row r="457" spans="1:22" ht="26.25">
      <c r="A457" s="66">
        <v>843</v>
      </c>
      <c r="B457" s="15"/>
      <c r="C457" s="16">
        <v>492</v>
      </c>
      <c r="D457" s="16">
        <v>492</v>
      </c>
      <c r="E457" s="16" t="s">
        <v>2218</v>
      </c>
      <c r="F457" s="17" t="s">
        <v>24</v>
      </c>
      <c r="G457" s="18">
        <v>1</v>
      </c>
      <c r="H457" s="19">
        <v>2</v>
      </c>
      <c r="I457" s="19"/>
      <c r="J457" s="19"/>
      <c r="K457" s="19"/>
      <c r="L457" s="20">
        <v>2</v>
      </c>
      <c r="M457" s="21">
        <v>2</v>
      </c>
      <c r="N457" s="22">
        <v>2</v>
      </c>
      <c r="O457" s="22">
        <v>0</v>
      </c>
      <c r="P457" s="20">
        <v>0</v>
      </c>
      <c r="Q457" s="23">
        <v>0</v>
      </c>
      <c r="R457" s="20">
        <v>0</v>
      </c>
      <c r="S457" s="20">
        <v>0</v>
      </c>
      <c r="T457" s="18">
        <v>0</v>
      </c>
      <c r="U457" s="24"/>
      <c r="V457" s="25">
        <v>0</v>
      </c>
    </row>
    <row r="458" spans="1:22" ht="26.25">
      <c r="A458" s="66">
        <v>842</v>
      </c>
      <c r="B458" s="15"/>
      <c r="C458" s="16">
        <v>493</v>
      </c>
      <c r="D458" s="16">
        <v>493</v>
      </c>
      <c r="E458" s="16" t="s">
        <v>1283</v>
      </c>
      <c r="F458" s="17" t="s">
        <v>24</v>
      </c>
      <c r="G458" s="18">
        <v>1</v>
      </c>
      <c r="H458" s="19">
        <v>2</v>
      </c>
      <c r="I458" s="19"/>
      <c r="J458" s="19"/>
      <c r="K458" s="19"/>
      <c r="L458" s="20">
        <v>2</v>
      </c>
      <c r="M458" s="21">
        <v>2</v>
      </c>
      <c r="N458" s="22">
        <v>2</v>
      </c>
      <c r="O458" s="22">
        <v>0</v>
      </c>
      <c r="P458" s="20">
        <v>0</v>
      </c>
      <c r="Q458" s="23">
        <v>0</v>
      </c>
      <c r="R458" s="20">
        <v>0</v>
      </c>
      <c r="S458" s="20">
        <v>0</v>
      </c>
      <c r="T458" s="18">
        <v>0</v>
      </c>
      <c r="U458" s="24"/>
      <c r="V458" s="25">
        <v>0</v>
      </c>
    </row>
    <row r="459" spans="1:22" ht="26.25">
      <c r="A459" s="66">
        <v>1152</v>
      </c>
      <c r="B459" s="15"/>
      <c r="C459" s="16">
        <v>494</v>
      </c>
      <c r="D459" s="16">
        <v>494</v>
      </c>
      <c r="E459" s="16" t="s">
        <v>1251</v>
      </c>
      <c r="F459" s="17" t="s">
        <v>1185</v>
      </c>
      <c r="G459" s="18">
        <v>24</v>
      </c>
      <c r="H459" s="19"/>
      <c r="I459" s="19"/>
      <c r="J459" s="19"/>
      <c r="K459" s="19"/>
      <c r="L459" s="20">
        <v>0</v>
      </c>
      <c r="M459" s="21">
        <v>0</v>
      </c>
      <c r="N459" s="22">
        <v>0</v>
      </c>
      <c r="O459" s="22">
        <v>0</v>
      </c>
      <c r="P459" s="20">
        <v>0</v>
      </c>
      <c r="Q459" s="23">
        <v>0</v>
      </c>
      <c r="R459" s="20">
        <v>0</v>
      </c>
      <c r="S459" s="20">
        <v>0</v>
      </c>
      <c r="T459" s="18">
        <v>0</v>
      </c>
      <c r="U459" s="24"/>
      <c r="V459" s="25">
        <v>0</v>
      </c>
    </row>
    <row r="460" spans="1:22" ht="26.25">
      <c r="A460" s="67">
        <v>1153</v>
      </c>
      <c r="B460" s="15"/>
      <c r="C460" s="16">
        <v>494</v>
      </c>
      <c r="D460" s="16">
        <v>494</v>
      </c>
      <c r="E460" s="16" t="s">
        <v>1251</v>
      </c>
      <c r="F460" s="17" t="s">
        <v>24</v>
      </c>
      <c r="G460" s="18">
        <v>1</v>
      </c>
      <c r="H460" s="19">
        <v>4</v>
      </c>
      <c r="I460" s="19"/>
      <c r="J460" s="19"/>
      <c r="K460" s="19"/>
      <c r="L460" s="20">
        <v>4</v>
      </c>
      <c r="M460" s="21">
        <v>4</v>
      </c>
      <c r="N460" s="22">
        <v>4</v>
      </c>
      <c r="O460" s="22">
        <v>0</v>
      </c>
      <c r="P460" s="20">
        <v>0</v>
      </c>
      <c r="Q460" s="23">
        <v>0</v>
      </c>
      <c r="R460" s="20">
        <v>0</v>
      </c>
      <c r="S460" s="20">
        <v>0</v>
      </c>
      <c r="T460" s="18">
        <v>0</v>
      </c>
      <c r="U460" s="24"/>
      <c r="V460" s="25">
        <v>0</v>
      </c>
    </row>
    <row r="461" spans="1:22" ht="26.25">
      <c r="A461" s="67">
        <v>844</v>
      </c>
      <c r="B461" s="15"/>
      <c r="C461" s="16">
        <v>495</v>
      </c>
      <c r="D461" s="16">
        <v>495</v>
      </c>
      <c r="E461" s="16" t="s">
        <v>1284</v>
      </c>
      <c r="F461" s="17" t="s">
        <v>1183</v>
      </c>
      <c r="G461" s="18">
        <v>12</v>
      </c>
      <c r="H461" s="19"/>
      <c r="I461" s="19"/>
      <c r="J461" s="19"/>
      <c r="K461" s="19"/>
      <c r="L461" s="20">
        <v>0</v>
      </c>
      <c r="M461" s="21">
        <v>0</v>
      </c>
      <c r="N461" s="22">
        <v>0</v>
      </c>
      <c r="O461" s="22">
        <v>0</v>
      </c>
      <c r="P461" s="20">
        <v>0</v>
      </c>
      <c r="Q461" s="23">
        <v>0</v>
      </c>
      <c r="R461" s="20">
        <v>0</v>
      </c>
      <c r="S461" s="20">
        <v>0</v>
      </c>
      <c r="T461" s="18">
        <v>0</v>
      </c>
      <c r="U461" s="24"/>
      <c r="V461" s="25">
        <v>0</v>
      </c>
    </row>
    <row r="462" spans="1:22" ht="26.25">
      <c r="A462" s="66">
        <v>845</v>
      </c>
      <c r="B462" s="15"/>
      <c r="C462" s="16">
        <v>495</v>
      </c>
      <c r="D462" s="16">
        <v>495</v>
      </c>
      <c r="E462" s="16" t="s">
        <v>1284</v>
      </c>
      <c r="F462" s="17" t="s">
        <v>24</v>
      </c>
      <c r="G462" s="18">
        <v>1</v>
      </c>
      <c r="H462" s="19">
        <v>1</v>
      </c>
      <c r="I462" s="19"/>
      <c r="J462" s="19"/>
      <c r="K462" s="19"/>
      <c r="L462" s="20">
        <v>1</v>
      </c>
      <c r="M462" s="21">
        <v>1</v>
      </c>
      <c r="N462" s="22">
        <v>1</v>
      </c>
      <c r="O462" s="22">
        <v>0</v>
      </c>
      <c r="P462" s="20">
        <v>0</v>
      </c>
      <c r="Q462" s="23">
        <v>0</v>
      </c>
      <c r="R462" s="20">
        <v>0</v>
      </c>
      <c r="S462" s="20">
        <v>0</v>
      </c>
      <c r="T462" s="18">
        <v>0</v>
      </c>
      <c r="U462" s="24"/>
      <c r="V462" s="25">
        <v>0</v>
      </c>
    </row>
    <row r="463" spans="1:22" ht="26.25">
      <c r="A463" s="66">
        <v>714</v>
      </c>
      <c r="B463" s="15"/>
      <c r="C463" s="16">
        <v>496</v>
      </c>
      <c r="D463" s="16">
        <v>496</v>
      </c>
      <c r="E463" s="16" t="s">
        <v>2094</v>
      </c>
      <c r="F463" s="17" t="s">
        <v>24</v>
      </c>
      <c r="G463" s="18">
        <v>1</v>
      </c>
      <c r="H463" s="19">
        <v>1</v>
      </c>
      <c r="I463" s="19"/>
      <c r="J463" s="19"/>
      <c r="K463" s="19"/>
      <c r="L463" s="20">
        <v>1</v>
      </c>
      <c r="M463" s="21">
        <v>1</v>
      </c>
      <c r="N463" s="22">
        <v>1</v>
      </c>
      <c r="O463" s="22">
        <v>0</v>
      </c>
      <c r="P463" s="20">
        <v>0</v>
      </c>
      <c r="Q463" s="23">
        <v>0</v>
      </c>
      <c r="R463" s="20">
        <v>0</v>
      </c>
      <c r="S463" s="20">
        <v>0</v>
      </c>
      <c r="T463" s="18">
        <v>0</v>
      </c>
      <c r="U463" s="24"/>
      <c r="V463" s="25">
        <v>0</v>
      </c>
    </row>
    <row r="464" spans="1:22" ht="26.25">
      <c r="A464" s="66">
        <v>1740</v>
      </c>
      <c r="B464" s="15"/>
      <c r="C464" s="16">
        <v>497</v>
      </c>
      <c r="D464" s="16">
        <v>497</v>
      </c>
      <c r="E464" s="16" t="s">
        <v>2617</v>
      </c>
      <c r="F464" s="17" t="s">
        <v>1185</v>
      </c>
      <c r="G464" s="18">
        <v>20</v>
      </c>
      <c r="H464" s="19"/>
      <c r="I464" s="19">
        <v>1</v>
      </c>
      <c r="J464" s="19"/>
      <c r="K464" s="19"/>
      <c r="L464" s="20">
        <v>20</v>
      </c>
      <c r="M464" s="21">
        <v>1</v>
      </c>
      <c r="N464" s="22">
        <v>0</v>
      </c>
      <c r="O464" s="22">
        <v>1</v>
      </c>
      <c r="P464" s="20">
        <v>0</v>
      </c>
      <c r="Q464" s="23">
        <v>0</v>
      </c>
      <c r="R464" s="20">
        <v>0</v>
      </c>
      <c r="S464" s="20">
        <v>0</v>
      </c>
      <c r="T464" s="18">
        <v>0</v>
      </c>
      <c r="U464" s="24"/>
      <c r="V464" s="25">
        <v>0</v>
      </c>
    </row>
    <row r="465" spans="1:22" ht="26.25">
      <c r="A465" s="66">
        <v>1740</v>
      </c>
      <c r="B465" s="15"/>
      <c r="C465" s="16">
        <v>497</v>
      </c>
      <c r="D465" s="16">
        <v>497</v>
      </c>
      <c r="E465" s="16" t="s">
        <v>2617</v>
      </c>
      <c r="F465" s="17" t="s">
        <v>3461</v>
      </c>
      <c r="G465" s="18">
        <v>1</v>
      </c>
      <c r="H465" s="19">
        <v>10</v>
      </c>
      <c r="I465" s="19"/>
      <c r="J465" s="19"/>
      <c r="K465" s="19"/>
      <c r="L465" s="20">
        <v>10</v>
      </c>
      <c r="M465" s="21">
        <v>10</v>
      </c>
      <c r="N465" s="22">
        <v>10</v>
      </c>
      <c r="O465" s="22">
        <v>0</v>
      </c>
      <c r="P465" s="20">
        <v>0</v>
      </c>
      <c r="Q465" s="23">
        <v>0</v>
      </c>
      <c r="R465" s="20">
        <v>0</v>
      </c>
      <c r="S465" s="20">
        <v>0</v>
      </c>
      <c r="T465" s="18">
        <v>0</v>
      </c>
      <c r="U465" s="24"/>
      <c r="V465" s="25">
        <v>0</v>
      </c>
    </row>
    <row r="466" spans="1:22" ht="26.25">
      <c r="A466" s="66">
        <v>800</v>
      </c>
      <c r="B466" s="15"/>
      <c r="C466" s="16">
        <v>498</v>
      </c>
      <c r="D466" s="16">
        <v>498</v>
      </c>
      <c r="E466" s="16" t="s">
        <v>3462</v>
      </c>
      <c r="F466" s="17" t="s">
        <v>24</v>
      </c>
      <c r="G466" s="18">
        <v>1</v>
      </c>
      <c r="H466" s="19">
        <v>2</v>
      </c>
      <c r="I466" s="19"/>
      <c r="J466" s="19"/>
      <c r="K466" s="19"/>
      <c r="L466" s="20">
        <v>2</v>
      </c>
      <c r="M466" s="21">
        <v>2</v>
      </c>
      <c r="N466" s="22">
        <v>2</v>
      </c>
      <c r="O466" s="22">
        <v>0</v>
      </c>
      <c r="P466" s="20">
        <v>0</v>
      </c>
      <c r="Q466" s="23">
        <v>0</v>
      </c>
      <c r="R466" s="20">
        <v>0</v>
      </c>
      <c r="S466" s="20">
        <v>0</v>
      </c>
      <c r="T466" s="18">
        <v>0</v>
      </c>
      <c r="U466" s="24"/>
      <c r="V466" s="25">
        <v>0</v>
      </c>
    </row>
    <row r="467" spans="1:22" ht="26.25">
      <c r="A467" s="67">
        <v>805</v>
      </c>
      <c r="B467" s="15"/>
      <c r="C467" s="16">
        <v>499</v>
      </c>
      <c r="D467" s="16">
        <v>499</v>
      </c>
      <c r="E467" s="16" t="s">
        <v>2183</v>
      </c>
      <c r="F467" s="17" t="s">
        <v>24</v>
      </c>
      <c r="G467" s="18">
        <v>1</v>
      </c>
      <c r="H467" s="19">
        <v>2</v>
      </c>
      <c r="I467" s="19"/>
      <c r="J467" s="19"/>
      <c r="K467" s="19"/>
      <c r="L467" s="20">
        <v>2</v>
      </c>
      <c r="M467" s="21">
        <v>2</v>
      </c>
      <c r="N467" s="22">
        <v>2</v>
      </c>
      <c r="O467" s="22">
        <v>0</v>
      </c>
      <c r="P467" s="20">
        <v>0</v>
      </c>
      <c r="Q467" s="23">
        <v>0</v>
      </c>
      <c r="R467" s="20">
        <v>0</v>
      </c>
      <c r="S467" s="20">
        <v>0</v>
      </c>
      <c r="T467" s="18">
        <v>0</v>
      </c>
      <c r="U467" s="24"/>
      <c r="V467" s="25">
        <v>0</v>
      </c>
    </row>
    <row r="468" spans="1:22" ht="26.25">
      <c r="A468" s="66">
        <v>806</v>
      </c>
      <c r="B468" s="15"/>
      <c r="C468" s="16">
        <v>500</v>
      </c>
      <c r="D468" s="16">
        <v>500</v>
      </c>
      <c r="E468" s="16" t="s">
        <v>2184</v>
      </c>
      <c r="F468" s="17" t="s">
        <v>24</v>
      </c>
      <c r="G468" s="18">
        <v>1</v>
      </c>
      <c r="H468" s="19">
        <v>1</v>
      </c>
      <c r="I468" s="19"/>
      <c r="J468" s="19"/>
      <c r="K468" s="19"/>
      <c r="L468" s="20">
        <v>1</v>
      </c>
      <c r="M468" s="21">
        <v>1</v>
      </c>
      <c r="N468" s="22">
        <v>1</v>
      </c>
      <c r="O468" s="22">
        <v>0</v>
      </c>
      <c r="P468" s="20">
        <v>0</v>
      </c>
      <c r="Q468" s="23">
        <v>0</v>
      </c>
      <c r="R468" s="20">
        <v>0</v>
      </c>
      <c r="S468" s="20">
        <v>0</v>
      </c>
      <c r="T468" s="18">
        <v>0</v>
      </c>
      <c r="U468" s="24"/>
      <c r="V468" s="25">
        <v>0</v>
      </c>
    </row>
    <row r="469" spans="1:22" ht="26.25">
      <c r="A469" s="66">
        <v>798</v>
      </c>
      <c r="B469" s="15"/>
      <c r="C469" s="16">
        <v>501</v>
      </c>
      <c r="D469" s="16">
        <v>501</v>
      </c>
      <c r="E469" s="16" t="s">
        <v>2176</v>
      </c>
      <c r="F469" s="17" t="s">
        <v>24</v>
      </c>
      <c r="G469" s="18">
        <v>1</v>
      </c>
      <c r="H469" s="19">
        <v>1</v>
      </c>
      <c r="I469" s="19"/>
      <c r="J469" s="19"/>
      <c r="K469" s="19"/>
      <c r="L469" s="20">
        <v>1</v>
      </c>
      <c r="M469" s="21">
        <v>1</v>
      </c>
      <c r="N469" s="22">
        <v>1</v>
      </c>
      <c r="O469" s="22">
        <v>0</v>
      </c>
      <c r="P469" s="20">
        <v>0</v>
      </c>
      <c r="Q469" s="23">
        <v>0</v>
      </c>
      <c r="R469" s="20">
        <v>0</v>
      </c>
      <c r="S469" s="20">
        <v>0</v>
      </c>
      <c r="T469" s="18">
        <v>0</v>
      </c>
      <c r="U469" s="24"/>
      <c r="V469" s="25">
        <v>0</v>
      </c>
    </row>
    <row r="470" spans="1:22" ht="26.25">
      <c r="A470" s="66">
        <v>801</v>
      </c>
      <c r="B470" s="15"/>
      <c r="C470" s="16">
        <v>502</v>
      </c>
      <c r="D470" s="16">
        <v>502</v>
      </c>
      <c r="E470" s="16" t="s">
        <v>3463</v>
      </c>
      <c r="F470" s="17" t="s">
        <v>24</v>
      </c>
      <c r="G470" s="18">
        <v>1</v>
      </c>
      <c r="H470" s="19">
        <v>3</v>
      </c>
      <c r="I470" s="19"/>
      <c r="J470" s="19"/>
      <c r="K470" s="19"/>
      <c r="L470" s="20">
        <v>3</v>
      </c>
      <c r="M470" s="21">
        <v>3</v>
      </c>
      <c r="N470" s="22">
        <v>3</v>
      </c>
      <c r="O470" s="22">
        <v>0</v>
      </c>
      <c r="P470" s="20">
        <v>0</v>
      </c>
      <c r="Q470" s="23">
        <v>0</v>
      </c>
      <c r="R470" s="20">
        <v>0</v>
      </c>
      <c r="S470" s="20">
        <v>0</v>
      </c>
      <c r="T470" s="18">
        <v>0</v>
      </c>
      <c r="U470" s="24"/>
      <c r="V470" s="25">
        <v>0</v>
      </c>
    </row>
    <row r="471" spans="1:22" ht="26.25">
      <c r="A471" s="67">
        <v>796</v>
      </c>
      <c r="B471" s="15"/>
      <c r="C471" s="16">
        <v>503</v>
      </c>
      <c r="D471" s="16">
        <v>503</v>
      </c>
      <c r="E471" s="16" t="s">
        <v>2174</v>
      </c>
      <c r="F471" s="17" t="s">
        <v>24</v>
      </c>
      <c r="G471" s="18">
        <v>1</v>
      </c>
      <c r="H471" s="19">
        <v>6</v>
      </c>
      <c r="I471" s="19"/>
      <c r="J471" s="19"/>
      <c r="K471" s="19"/>
      <c r="L471" s="20">
        <v>6</v>
      </c>
      <c r="M471" s="21">
        <v>6</v>
      </c>
      <c r="N471" s="22">
        <v>6</v>
      </c>
      <c r="O471" s="22">
        <v>0</v>
      </c>
      <c r="P471" s="20">
        <v>0</v>
      </c>
      <c r="Q471" s="23">
        <v>0</v>
      </c>
      <c r="R471" s="20">
        <v>0</v>
      </c>
      <c r="S471" s="20">
        <v>0</v>
      </c>
      <c r="T471" s="18">
        <v>0</v>
      </c>
      <c r="U471" s="24"/>
      <c r="V471" s="25">
        <v>0</v>
      </c>
    </row>
    <row r="472" spans="1:22" ht="26.25">
      <c r="A472" s="66">
        <v>804</v>
      </c>
      <c r="B472" s="15"/>
      <c r="C472" s="16">
        <v>504</v>
      </c>
      <c r="D472" s="16">
        <v>504</v>
      </c>
      <c r="E472" s="16" t="s">
        <v>2182</v>
      </c>
      <c r="F472" s="17" t="s">
        <v>24</v>
      </c>
      <c r="G472" s="18">
        <v>1</v>
      </c>
      <c r="H472" s="19">
        <v>1</v>
      </c>
      <c r="I472" s="19"/>
      <c r="J472" s="19"/>
      <c r="K472" s="19"/>
      <c r="L472" s="20">
        <v>1</v>
      </c>
      <c r="M472" s="21">
        <v>1</v>
      </c>
      <c r="N472" s="22">
        <v>1</v>
      </c>
      <c r="O472" s="22">
        <v>0</v>
      </c>
      <c r="P472" s="20">
        <v>0</v>
      </c>
      <c r="Q472" s="23">
        <v>0</v>
      </c>
      <c r="R472" s="20">
        <v>0</v>
      </c>
      <c r="S472" s="20">
        <v>0</v>
      </c>
      <c r="T472" s="18">
        <v>0</v>
      </c>
      <c r="U472" s="24"/>
      <c r="V472" s="25">
        <v>0</v>
      </c>
    </row>
    <row r="473" spans="1:22" ht="26.25">
      <c r="A473" s="67">
        <v>808</v>
      </c>
      <c r="B473" s="15"/>
      <c r="C473" s="16">
        <v>505</v>
      </c>
      <c r="D473" s="16">
        <v>505</v>
      </c>
      <c r="E473" s="16" t="s">
        <v>3464</v>
      </c>
      <c r="F473" s="17" t="s">
        <v>24</v>
      </c>
      <c r="G473" s="18">
        <v>1</v>
      </c>
      <c r="H473" s="19">
        <v>4</v>
      </c>
      <c r="I473" s="19"/>
      <c r="J473" s="19"/>
      <c r="K473" s="19"/>
      <c r="L473" s="20">
        <v>4</v>
      </c>
      <c r="M473" s="21">
        <v>4</v>
      </c>
      <c r="N473" s="22">
        <v>4</v>
      </c>
      <c r="O473" s="22">
        <v>0</v>
      </c>
      <c r="P473" s="20">
        <v>0</v>
      </c>
      <c r="Q473" s="23">
        <v>0</v>
      </c>
      <c r="R473" s="20">
        <v>0</v>
      </c>
      <c r="S473" s="20">
        <v>0</v>
      </c>
      <c r="T473" s="18">
        <v>0</v>
      </c>
      <c r="U473" s="24"/>
      <c r="V473" s="25">
        <v>0</v>
      </c>
    </row>
    <row r="474" spans="1:22" ht="26.25">
      <c r="A474" s="66">
        <v>803</v>
      </c>
      <c r="B474" s="15"/>
      <c r="C474" s="16">
        <v>506</v>
      </c>
      <c r="D474" s="16">
        <v>506</v>
      </c>
      <c r="E474" s="16" t="s">
        <v>2181</v>
      </c>
      <c r="F474" s="17" t="s">
        <v>24</v>
      </c>
      <c r="G474" s="18">
        <v>1</v>
      </c>
      <c r="H474" s="19">
        <v>1</v>
      </c>
      <c r="I474" s="19"/>
      <c r="J474" s="19"/>
      <c r="K474" s="19"/>
      <c r="L474" s="20">
        <v>1</v>
      </c>
      <c r="M474" s="21">
        <v>1</v>
      </c>
      <c r="N474" s="22">
        <v>1</v>
      </c>
      <c r="O474" s="22">
        <v>0</v>
      </c>
      <c r="P474" s="20">
        <v>0</v>
      </c>
      <c r="Q474" s="23">
        <v>0</v>
      </c>
      <c r="R474" s="20">
        <v>0</v>
      </c>
      <c r="S474" s="20">
        <v>0</v>
      </c>
      <c r="T474" s="18">
        <v>0</v>
      </c>
      <c r="U474" s="24"/>
      <c r="V474" s="25">
        <v>0</v>
      </c>
    </row>
    <row r="475" spans="1:22" ht="26.25">
      <c r="A475" s="66">
        <v>813</v>
      </c>
      <c r="B475" s="15"/>
      <c r="C475" s="16">
        <v>507</v>
      </c>
      <c r="D475" s="16">
        <v>507</v>
      </c>
      <c r="E475" s="16" t="s">
        <v>2191</v>
      </c>
      <c r="F475" s="17" t="s">
        <v>24</v>
      </c>
      <c r="G475" s="18">
        <v>1</v>
      </c>
      <c r="H475" s="19">
        <v>5</v>
      </c>
      <c r="I475" s="19"/>
      <c r="J475" s="19"/>
      <c r="K475" s="19"/>
      <c r="L475" s="20">
        <v>5</v>
      </c>
      <c r="M475" s="21">
        <v>5</v>
      </c>
      <c r="N475" s="22">
        <v>5</v>
      </c>
      <c r="O475" s="22">
        <v>0</v>
      </c>
      <c r="P475" s="20">
        <v>0</v>
      </c>
      <c r="Q475" s="23">
        <v>0</v>
      </c>
      <c r="R475" s="20">
        <v>0</v>
      </c>
      <c r="S475" s="20">
        <v>0</v>
      </c>
      <c r="T475" s="18">
        <v>0</v>
      </c>
      <c r="U475" s="24"/>
      <c r="V475" s="25">
        <v>0</v>
      </c>
    </row>
    <row r="476" spans="1:22" ht="26.25">
      <c r="A476" s="66">
        <v>810</v>
      </c>
      <c r="B476" s="15"/>
      <c r="C476" s="16">
        <v>508</v>
      </c>
      <c r="D476" s="16">
        <v>508</v>
      </c>
      <c r="E476" s="16" t="s">
        <v>2188</v>
      </c>
      <c r="F476" s="17" t="s">
        <v>24</v>
      </c>
      <c r="G476" s="18">
        <v>1</v>
      </c>
      <c r="H476" s="19">
        <v>5</v>
      </c>
      <c r="I476" s="19"/>
      <c r="J476" s="19"/>
      <c r="K476" s="19"/>
      <c r="L476" s="20">
        <v>5</v>
      </c>
      <c r="M476" s="21">
        <v>5</v>
      </c>
      <c r="N476" s="22">
        <v>5</v>
      </c>
      <c r="O476" s="22">
        <v>0</v>
      </c>
      <c r="P476" s="20">
        <v>0</v>
      </c>
      <c r="Q476" s="23">
        <v>0</v>
      </c>
      <c r="R476" s="20">
        <v>0</v>
      </c>
      <c r="S476" s="20">
        <v>0</v>
      </c>
      <c r="T476" s="18">
        <v>0</v>
      </c>
      <c r="U476" s="24"/>
      <c r="V476" s="25">
        <v>0</v>
      </c>
    </row>
    <row r="477" spans="1:22" ht="26.25">
      <c r="A477" s="66">
        <v>812</v>
      </c>
      <c r="B477" s="15"/>
      <c r="C477" s="16">
        <v>510</v>
      </c>
      <c r="D477" s="16">
        <v>510</v>
      </c>
      <c r="E477" s="16" t="s">
        <v>2190</v>
      </c>
      <c r="F477" s="17" t="s">
        <v>24</v>
      </c>
      <c r="G477" s="18">
        <v>1</v>
      </c>
      <c r="H477" s="19">
        <v>1</v>
      </c>
      <c r="I477" s="19"/>
      <c r="J477" s="19"/>
      <c r="K477" s="19"/>
      <c r="L477" s="20">
        <v>1</v>
      </c>
      <c r="M477" s="21">
        <v>1</v>
      </c>
      <c r="N477" s="22">
        <v>1</v>
      </c>
      <c r="O477" s="22">
        <v>0</v>
      </c>
      <c r="P477" s="20">
        <v>0</v>
      </c>
      <c r="Q477" s="23">
        <v>0</v>
      </c>
      <c r="R477" s="20">
        <v>0</v>
      </c>
      <c r="S477" s="20">
        <v>0</v>
      </c>
      <c r="T477" s="18">
        <v>0</v>
      </c>
      <c r="U477" s="24"/>
      <c r="V477" s="25">
        <v>0</v>
      </c>
    </row>
    <row r="478" spans="1:22" ht="26.25">
      <c r="A478" s="66">
        <v>797</v>
      </c>
      <c r="B478" s="15"/>
      <c r="C478" s="16">
        <v>511</v>
      </c>
      <c r="D478" s="16">
        <v>511</v>
      </c>
      <c r="E478" s="16" t="s">
        <v>2175</v>
      </c>
      <c r="F478" s="17" t="s">
        <v>24</v>
      </c>
      <c r="G478" s="18">
        <v>1</v>
      </c>
      <c r="H478" s="72">
        <v>1</v>
      </c>
      <c r="I478" s="19"/>
      <c r="J478" s="19"/>
      <c r="K478" s="19"/>
      <c r="L478" s="20">
        <v>1</v>
      </c>
      <c r="M478" s="21">
        <v>1</v>
      </c>
      <c r="N478" s="22">
        <v>1</v>
      </c>
      <c r="O478" s="22">
        <v>0</v>
      </c>
      <c r="P478" s="20">
        <v>0</v>
      </c>
      <c r="Q478" s="23">
        <v>0</v>
      </c>
      <c r="R478" s="20">
        <v>0</v>
      </c>
      <c r="S478" s="20">
        <v>0</v>
      </c>
      <c r="T478" s="18">
        <v>0</v>
      </c>
      <c r="U478" s="24"/>
      <c r="V478" s="25">
        <v>0</v>
      </c>
    </row>
    <row r="479" spans="1:22" ht="26.25">
      <c r="A479" s="66">
        <v>816</v>
      </c>
      <c r="B479" s="15"/>
      <c r="C479" s="16">
        <v>511</v>
      </c>
      <c r="D479" s="16">
        <v>511</v>
      </c>
      <c r="E479" s="16" t="s">
        <v>3465</v>
      </c>
      <c r="F479" s="17" t="s">
        <v>24</v>
      </c>
      <c r="G479" s="18">
        <v>1</v>
      </c>
      <c r="H479" s="72">
        <v>1</v>
      </c>
      <c r="I479" s="19"/>
      <c r="J479" s="19"/>
      <c r="K479" s="19"/>
      <c r="L479" s="20">
        <v>1</v>
      </c>
      <c r="M479" s="21">
        <v>1</v>
      </c>
      <c r="N479" s="22">
        <v>1</v>
      </c>
      <c r="O479" s="22">
        <v>0</v>
      </c>
      <c r="P479" s="20">
        <v>0</v>
      </c>
      <c r="Q479" s="23">
        <v>0</v>
      </c>
      <c r="R479" s="20">
        <v>0</v>
      </c>
      <c r="S479" s="20">
        <v>0</v>
      </c>
      <c r="T479" s="18">
        <v>0</v>
      </c>
      <c r="U479" s="24" t="s">
        <v>3466</v>
      </c>
      <c r="V479" s="25">
        <v>0</v>
      </c>
    </row>
    <row r="480" spans="1:22" ht="26.25">
      <c r="A480" s="66">
        <v>815</v>
      </c>
      <c r="B480" s="15"/>
      <c r="C480" s="16">
        <v>512</v>
      </c>
      <c r="D480" s="16">
        <v>512</v>
      </c>
      <c r="E480" s="16" t="s">
        <v>3467</v>
      </c>
      <c r="F480" s="17" t="s">
        <v>24</v>
      </c>
      <c r="G480" s="18">
        <v>1</v>
      </c>
      <c r="H480" s="19">
        <v>1</v>
      </c>
      <c r="I480" s="19"/>
      <c r="J480" s="19"/>
      <c r="K480" s="19"/>
      <c r="L480" s="20">
        <v>1</v>
      </c>
      <c r="M480" s="21">
        <v>1</v>
      </c>
      <c r="N480" s="22">
        <v>1</v>
      </c>
      <c r="O480" s="22">
        <v>0</v>
      </c>
      <c r="P480" s="20">
        <v>0</v>
      </c>
      <c r="Q480" s="23">
        <v>0</v>
      </c>
      <c r="R480" s="20">
        <v>0</v>
      </c>
      <c r="S480" s="20">
        <v>0</v>
      </c>
      <c r="T480" s="18">
        <v>0</v>
      </c>
      <c r="U480" s="24"/>
      <c r="V480" s="25">
        <v>0</v>
      </c>
    </row>
    <row r="481" spans="1:22" ht="26.25">
      <c r="A481" s="66">
        <v>815</v>
      </c>
      <c r="B481" s="15"/>
      <c r="C481" s="16">
        <v>513</v>
      </c>
      <c r="D481" s="16">
        <v>513</v>
      </c>
      <c r="E481" s="16" t="s">
        <v>3467</v>
      </c>
      <c r="F481" s="17" t="s">
        <v>24</v>
      </c>
      <c r="G481" s="18">
        <v>1</v>
      </c>
      <c r="H481" s="19">
        <v>2</v>
      </c>
      <c r="I481" s="19"/>
      <c r="J481" s="19"/>
      <c r="K481" s="19"/>
      <c r="L481" s="20">
        <v>2</v>
      </c>
      <c r="M481" s="21">
        <v>2</v>
      </c>
      <c r="N481" s="22">
        <v>2</v>
      </c>
      <c r="O481" s="22">
        <v>0</v>
      </c>
      <c r="P481" s="20">
        <v>0</v>
      </c>
      <c r="Q481" s="23">
        <v>0</v>
      </c>
      <c r="R481" s="20">
        <v>0</v>
      </c>
      <c r="S481" s="20">
        <v>0</v>
      </c>
      <c r="T481" s="18">
        <v>0</v>
      </c>
      <c r="U481" s="24"/>
      <c r="V481" s="25">
        <v>0</v>
      </c>
    </row>
    <row r="482" spans="1:22" ht="26.25">
      <c r="A482" s="66">
        <v>821</v>
      </c>
      <c r="B482" s="15"/>
      <c r="C482" s="16">
        <v>514</v>
      </c>
      <c r="D482" s="16">
        <v>514</v>
      </c>
      <c r="E482" s="16" t="s">
        <v>3468</v>
      </c>
      <c r="F482" s="17" t="s">
        <v>24</v>
      </c>
      <c r="G482" s="18">
        <v>1</v>
      </c>
      <c r="H482" s="19">
        <v>1</v>
      </c>
      <c r="I482" s="19"/>
      <c r="J482" s="19"/>
      <c r="K482" s="19"/>
      <c r="L482" s="20">
        <v>1</v>
      </c>
      <c r="M482" s="21">
        <v>1</v>
      </c>
      <c r="N482" s="22">
        <v>1</v>
      </c>
      <c r="O482" s="22">
        <v>0</v>
      </c>
      <c r="P482" s="20">
        <v>0</v>
      </c>
      <c r="Q482" s="23">
        <v>0</v>
      </c>
      <c r="R482" s="20">
        <v>0</v>
      </c>
      <c r="S482" s="20">
        <v>0</v>
      </c>
      <c r="T482" s="18">
        <v>0</v>
      </c>
      <c r="U482" s="24"/>
      <c r="V482" s="25">
        <v>0</v>
      </c>
    </row>
    <row r="483" spans="1:22" ht="26.25">
      <c r="A483" s="67">
        <v>817</v>
      </c>
      <c r="B483" s="15"/>
      <c r="C483" s="16">
        <v>515</v>
      </c>
      <c r="D483" s="16">
        <v>515</v>
      </c>
      <c r="E483" s="16" t="s">
        <v>3469</v>
      </c>
      <c r="F483" s="17" t="s">
        <v>24</v>
      </c>
      <c r="G483" s="18">
        <v>1</v>
      </c>
      <c r="H483" s="19">
        <v>1</v>
      </c>
      <c r="I483" s="19"/>
      <c r="J483" s="19"/>
      <c r="K483" s="19"/>
      <c r="L483" s="20">
        <v>1</v>
      </c>
      <c r="M483" s="21">
        <v>1</v>
      </c>
      <c r="N483" s="22">
        <v>1</v>
      </c>
      <c r="O483" s="22">
        <v>0</v>
      </c>
      <c r="P483" s="20">
        <v>0</v>
      </c>
      <c r="Q483" s="23">
        <v>0</v>
      </c>
      <c r="R483" s="20">
        <v>0</v>
      </c>
      <c r="S483" s="20">
        <v>0</v>
      </c>
      <c r="T483" s="18">
        <v>0</v>
      </c>
      <c r="U483" s="24"/>
      <c r="V483" s="25">
        <v>0</v>
      </c>
    </row>
    <row r="484" spans="1:22" ht="26.25">
      <c r="A484" s="67">
        <v>817</v>
      </c>
      <c r="B484" s="15"/>
      <c r="C484" s="16">
        <v>516</v>
      </c>
      <c r="D484" s="16">
        <v>516</v>
      </c>
      <c r="E484" s="16" t="s">
        <v>3470</v>
      </c>
      <c r="F484" s="17" t="s">
        <v>24</v>
      </c>
      <c r="G484" s="18">
        <v>1</v>
      </c>
      <c r="H484" s="19">
        <v>3</v>
      </c>
      <c r="I484" s="19"/>
      <c r="J484" s="19"/>
      <c r="K484" s="19"/>
      <c r="L484" s="20">
        <v>3</v>
      </c>
      <c r="M484" s="21">
        <v>3</v>
      </c>
      <c r="N484" s="22">
        <v>3</v>
      </c>
      <c r="O484" s="22">
        <v>0</v>
      </c>
      <c r="P484" s="20">
        <v>0</v>
      </c>
      <c r="Q484" s="23">
        <v>0</v>
      </c>
      <c r="R484" s="20">
        <v>0</v>
      </c>
      <c r="S484" s="20">
        <v>0</v>
      </c>
      <c r="T484" s="18">
        <v>0</v>
      </c>
      <c r="U484" s="24"/>
      <c r="V484" s="25">
        <v>0</v>
      </c>
    </row>
    <row r="485" spans="1:22" ht="26.25">
      <c r="A485" s="66">
        <v>815</v>
      </c>
      <c r="B485" s="15"/>
      <c r="C485" s="16">
        <v>517</v>
      </c>
      <c r="D485" s="16">
        <v>517</v>
      </c>
      <c r="E485" s="16" t="s">
        <v>2189</v>
      </c>
      <c r="F485" s="17" t="s">
        <v>24</v>
      </c>
      <c r="G485" s="18">
        <v>1</v>
      </c>
      <c r="H485" s="19">
        <v>1</v>
      </c>
      <c r="I485" s="19"/>
      <c r="J485" s="19"/>
      <c r="K485" s="19"/>
      <c r="L485" s="20">
        <v>1</v>
      </c>
      <c r="M485" s="21">
        <v>1</v>
      </c>
      <c r="N485" s="22">
        <v>1</v>
      </c>
      <c r="O485" s="22">
        <v>0</v>
      </c>
      <c r="P485" s="20">
        <v>0</v>
      </c>
      <c r="Q485" s="23">
        <v>0</v>
      </c>
      <c r="R485" s="20">
        <v>0</v>
      </c>
      <c r="S485" s="20">
        <v>0</v>
      </c>
      <c r="T485" s="18">
        <v>0</v>
      </c>
      <c r="U485" s="24"/>
      <c r="V485" s="25">
        <v>0</v>
      </c>
    </row>
    <row r="486" spans="1:22" ht="26.25">
      <c r="A486" s="67">
        <v>820</v>
      </c>
      <c r="B486" s="15"/>
      <c r="C486" s="16">
        <v>518</v>
      </c>
      <c r="D486" s="16">
        <v>518</v>
      </c>
      <c r="E486" s="16" t="s">
        <v>3471</v>
      </c>
      <c r="F486" s="17" t="s">
        <v>24</v>
      </c>
      <c r="G486" s="18">
        <v>1</v>
      </c>
      <c r="H486" s="19">
        <v>1</v>
      </c>
      <c r="I486" s="19"/>
      <c r="J486" s="19"/>
      <c r="K486" s="19"/>
      <c r="L486" s="20">
        <v>1</v>
      </c>
      <c r="M486" s="21">
        <v>1</v>
      </c>
      <c r="N486" s="22">
        <v>1</v>
      </c>
      <c r="O486" s="22">
        <v>0</v>
      </c>
      <c r="P486" s="20">
        <v>0</v>
      </c>
      <c r="Q486" s="23">
        <v>0</v>
      </c>
      <c r="R486" s="20">
        <v>0</v>
      </c>
      <c r="S486" s="20">
        <v>0</v>
      </c>
      <c r="T486" s="18">
        <v>0</v>
      </c>
      <c r="U486" s="24"/>
      <c r="V486" s="25">
        <v>0</v>
      </c>
    </row>
    <row r="487" spans="1:22" ht="26.25">
      <c r="A487" s="67">
        <v>625</v>
      </c>
      <c r="B487" s="15"/>
      <c r="C487" s="16">
        <v>519</v>
      </c>
      <c r="D487" s="16">
        <v>519</v>
      </c>
      <c r="E487" s="16" t="s">
        <v>3472</v>
      </c>
      <c r="F487" s="17" t="s">
        <v>24</v>
      </c>
      <c r="G487" s="18">
        <v>1</v>
      </c>
      <c r="H487" s="19">
        <v>1</v>
      </c>
      <c r="I487" s="19"/>
      <c r="J487" s="19"/>
      <c r="K487" s="19"/>
      <c r="L487" s="20">
        <v>1</v>
      </c>
      <c r="M487" s="21">
        <v>1</v>
      </c>
      <c r="N487" s="22">
        <v>1</v>
      </c>
      <c r="O487" s="22">
        <v>0</v>
      </c>
      <c r="P487" s="20">
        <v>0</v>
      </c>
      <c r="Q487" s="23">
        <v>0</v>
      </c>
      <c r="R487" s="20">
        <v>0</v>
      </c>
      <c r="S487" s="20">
        <v>0</v>
      </c>
      <c r="T487" s="18">
        <v>0</v>
      </c>
      <c r="U487" s="24"/>
      <c r="V487" s="25">
        <v>0</v>
      </c>
    </row>
    <row r="488" spans="1:22" ht="26.25">
      <c r="A488" s="67">
        <v>697</v>
      </c>
      <c r="B488" s="15"/>
      <c r="C488" s="16">
        <v>520</v>
      </c>
      <c r="D488" s="16">
        <v>520</v>
      </c>
      <c r="E488" s="16" t="s">
        <v>3473</v>
      </c>
      <c r="F488" s="17" t="s">
        <v>24</v>
      </c>
      <c r="G488" s="18">
        <v>1</v>
      </c>
      <c r="H488" s="19">
        <v>1</v>
      </c>
      <c r="I488" s="19"/>
      <c r="J488" s="19"/>
      <c r="K488" s="19"/>
      <c r="L488" s="20">
        <v>1</v>
      </c>
      <c r="M488" s="21">
        <v>1</v>
      </c>
      <c r="N488" s="22">
        <v>1</v>
      </c>
      <c r="O488" s="22">
        <v>0</v>
      </c>
      <c r="P488" s="20">
        <v>0</v>
      </c>
      <c r="Q488" s="23">
        <v>0</v>
      </c>
      <c r="R488" s="20">
        <v>0</v>
      </c>
      <c r="S488" s="20">
        <v>0</v>
      </c>
      <c r="T488" s="18">
        <v>0</v>
      </c>
      <c r="U488" s="24"/>
      <c r="V488" s="25">
        <v>0</v>
      </c>
    </row>
    <row r="489" spans="1:22" ht="26.25">
      <c r="A489" s="67">
        <v>1210</v>
      </c>
      <c r="B489" s="15"/>
      <c r="C489" s="16">
        <v>521</v>
      </c>
      <c r="D489" s="16">
        <v>521</v>
      </c>
      <c r="E489" s="16" t="s">
        <v>3474</v>
      </c>
      <c r="F489" s="17" t="s">
        <v>24</v>
      </c>
      <c r="G489" s="18">
        <v>1</v>
      </c>
      <c r="H489" s="19">
        <v>1</v>
      </c>
      <c r="I489" s="19"/>
      <c r="J489" s="19"/>
      <c r="K489" s="19"/>
      <c r="L489" s="20">
        <v>1</v>
      </c>
      <c r="M489" s="21">
        <v>1</v>
      </c>
      <c r="N489" s="22">
        <v>1</v>
      </c>
      <c r="O489" s="22">
        <v>0</v>
      </c>
      <c r="P489" s="20">
        <v>0</v>
      </c>
      <c r="Q489" s="23">
        <v>0</v>
      </c>
      <c r="R489" s="20">
        <v>0</v>
      </c>
      <c r="S489" s="20">
        <v>0</v>
      </c>
      <c r="T489" s="18">
        <v>0</v>
      </c>
      <c r="U489" s="24"/>
      <c r="V489" s="25">
        <v>0</v>
      </c>
    </row>
    <row r="490" spans="1:22" ht="26.25">
      <c r="A490" s="66">
        <v>2231</v>
      </c>
      <c r="B490" s="15"/>
      <c r="C490" s="16">
        <v>522</v>
      </c>
      <c r="D490" s="16">
        <v>522</v>
      </c>
      <c r="E490" s="16" t="s">
        <v>3475</v>
      </c>
      <c r="F490" s="17" t="s">
        <v>24</v>
      </c>
      <c r="G490" s="18">
        <v>1</v>
      </c>
      <c r="H490" s="19">
        <v>42</v>
      </c>
      <c r="I490" s="19"/>
      <c r="J490" s="19"/>
      <c r="K490" s="19"/>
      <c r="L490" s="20">
        <v>42</v>
      </c>
      <c r="M490" s="21">
        <v>42</v>
      </c>
      <c r="N490" s="22">
        <v>42</v>
      </c>
      <c r="O490" s="22">
        <v>0</v>
      </c>
      <c r="P490" s="20">
        <v>0</v>
      </c>
      <c r="Q490" s="23">
        <v>0</v>
      </c>
      <c r="R490" s="20">
        <v>0</v>
      </c>
      <c r="S490" s="20">
        <v>0</v>
      </c>
      <c r="T490" s="18">
        <v>0</v>
      </c>
      <c r="U490" s="24"/>
      <c r="V490" s="25">
        <v>0</v>
      </c>
    </row>
    <row r="491" spans="1:22" ht="26.25">
      <c r="A491" s="67">
        <v>2221</v>
      </c>
      <c r="B491" s="15"/>
      <c r="C491" s="16">
        <v>523</v>
      </c>
      <c r="D491" s="16">
        <v>523</v>
      </c>
      <c r="E491" s="16" t="s">
        <v>3476</v>
      </c>
      <c r="F491" s="17" t="s">
        <v>1183</v>
      </c>
      <c r="G491" s="18">
        <v>10</v>
      </c>
      <c r="H491" s="19"/>
      <c r="I491" s="19">
        <v>4</v>
      </c>
      <c r="J491" s="19"/>
      <c r="K491" s="19"/>
      <c r="L491" s="20">
        <v>40</v>
      </c>
      <c r="M491" s="21">
        <v>4</v>
      </c>
      <c r="N491" s="22">
        <v>0</v>
      </c>
      <c r="O491" s="22">
        <v>4</v>
      </c>
      <c r="P491" s="20">
        <v>0</v>
      </c>
      <c r="Q491" s="23">
        <v>0</v>
      </c>
      <c r="R491" s="20">
        <v>0</v>
      </c>
      <c r="S491" s="20">
        <v>0</v>
      </c>
      <c r="T491" s="18">
        <v>0</v>
      </c>
      <c r="U491" s="24"/>
      <c r="V491" s="25">
        <v>0</v>
      </c>
    </row>
    <row r="492" spans="1:22" ht="26.25">
      <c r="A492" s="66">
        <v>2222</v>
      </c>
      <c r="B492" s="15"/>
      <c r="C492" s="16">
        <v>523</v>
      </c>
      <c r="D492" s="16">
        <v>523</v>
      </c>
      <c r="E492" s="16" t="s">
        <v>3476</v>
      </c>
      <c r="F492" s="17" t="s">
        <v>24</v>
      </c>
      <c r="G492" s="18">
        <v>1</v>
      </c>
      <c r="H492" s="19">
        <v>9</v>
      </c>
      <c r="I492" s="19"/>
      <c r="J492" s="19"/>
      <c r="K492" s="19"/>
      <c r="L492" s="20">
        <v>9</v>
      </c>
      <c r="M492" s="21">
        <v>9</v>
      </c>
      <c r="N492" s="22">
        <v>9</v>
      </c>
      <c r="O492" s="22">
        <v>0</v>
      </c>
      <c r="P492" s="20">
        <v>0</v>
      </c>
      <c r="Q492" s="23">
        <v>0</v>
      </c>
      <c r="R492" s="20">
        <v>0</v>
      </c>
      <c r="S492" s="20">
        <v>0</v>
      </c>
      <c r="T492" s="18">
        <v>0</v>
      </c>
      <c r="U492" s="24"/>
      <c r="V492" s="25">
        <v>0</v>
      </c>
    </row>
    <row r="493" spans="1:22" ht="26.25">
      <c r="A493" s="67">
        <v>2227</v>
      </c>
      <c r="B493" s="15"/>
      <c r="C493" s="16">
        <v>524</v>
      </c>
      <c r="D493" s="16">
        <v>524</v>
      </c>
      <c r="E493" s="16" t="s">
        <v>3477</v>
      </c>
      <c r="F493" s="17" t="s">
        <v>1183</v>
      </c>
      <c r="G493" s="18">
        <v>12</v>
      </c>
      <c r="H493" s="19"/>
      <c r="I493" s="19">
        <v>1</v>
      </c>
      <c r="J493" s="19"/>
      <c r="K493" s="19"/>
      <c r="L493" s="20">
        <v>12</v>
      </c>
      <c r="M493" s="21">
        <v>1</v>
      </c>
      <c r="N493" s="22">
        <v>0</v>
      </c>
      <c r="O493" s="22">
        <v>1</v>
      </c>
      <c r="P493" s="20">
        <v>0</v>
      </c>
      <c r="Q493" s="23">
        <v>0</v>
      </c>
      <c r="R493" s="20">
        <v>0</v>
      </c>
      <c r="S493" s="20">
        <v>0</v>
      </c>
      <c r="T493" s="18">
        <v>0</v>
      </c>
      <c r="U493" s="24"/>
      <c r="V493" s="25">
        <v>0</v>
      </c>
    </row>
    <row r="494" spans="1:22" ht="26.25">
      <c r="A494" s="66">
        <v>2228</v>
      </c>
      <c r="B494" s="15"/>
      <c r="C494" s="16">
        <v>524</v>
      </c>
      <c r="D494" s="16">
        <v>524</v>
      </c>
      <c r="E494" s="16" t="s">
        <v>3477</v>
      </c>
      <c r="F494" s="17" t="s">
        <v>24</v>
      </c>
      <c r="G494" s="18">
        <v>1</v>
      </c>
      <c r="H494" s="19">
        <v>2</v>
      </c>
      <c r="I494" s="19"/>
      <c r="J494" s="19"/>
      <c r="K494" s="19"/>
      <c r="L494" s="20">
        <v>2</v>
      </c>
      <c r="M494" s="21">
        <v>2</v>
      </c>
      <c r="N494" s="22">
        <v>2</v>
      </c>
      <c r="O494" s="22">
        <v>0</v>
      </c>
      <c r="P494" s="20">
        <v>0</v>
      </c>
      <c r="Q494" s="23">
        <v>0</v>
      </c>
      <c r="R494" s="20">
        <v>0</v>
      </c>
      <c r="S494" s="20">
        <v>0</v>
      </c>
      <c r="T494" s="18">
        <v>0</v>
      </c>
      <c r="U494" s="24"/>
      <c r="V494" s="25">
        <v>0</v>
      </c>
    </row>
    <row r="495" spans="1:22" ht="26.25">
      <c r="A495" s="66">
        <v>2229</v>
      </c>
      <c r="B495" s="15"/>
      <c r="C495" s="16">
        <v>524</v>
      </c>
      <c r="D495" s="16">
        <v>524</v>
      </c>
      <c r="E495" s="16" t="s">
        <v>3478</v>
      </c>
      <c r="F495" s="17" t="s">
        <v>1183</v>
      </c>
      <c r="G495" s="18">
        <v>12</v>
      </c>
      <c r="H495" s="19"/>
      <c r="I495" s="19">
        <v>1</v>
      </c>
      <c r="J495" s="19"/>
      <c r="K495" s="19"/>
      <c r="L495" s="20">
        <v>12</v>
      </c>
      <c r="M495" s="21">
        <v>1</v>
      </c>
      <c r="N495" s="22">
        <v>0</v>
      </c>
      <c r="O495" s="22">
        <v>1</v>
      </c>
      <c r="P495" s="20">
        <v>0</v>
      </c>
      <c r="Q495" s="23">
        <v>0</v>
      </c>
      <c r="R495" s="20">
        <v>0</v>
      </c>
      <c r="S495" s="20">
        <v>0</v>
      </c>
      <c r="T495" s="18">
        <v>0</v>
      </c>
      <c r="U495" s="24"/>
      <c r="V495" s="25">
        <v>0</v>
      </c>
    </row>
    <row r="496" spans="1:22" ht="26.25">
      <c r="A496" s="67">
        <v>2230</v>
      </c>
      <c r="B496" s="15"/>
      <c r="C496" s="16">
        <v>524</v>
      </c>
      <c r="D496" s="16">
        <v>524</v>
      </c>
      <c r="E496" s="16" t="s">
        <v>3478</v>
      </c>
      <c r="F496" s="17" t="s">
        <v>24</v>
      </c>
      <c r="G496" s="18">
        <v>1</v>
      </c>
      <c r="H496" s="19">
        <v>3</v>
      </c>
      <c r="I496" s="19"/>
      <c r="J496" s="19"/>
      <c r="K496" s="19"/>
      <c r="L496" s="20">
        <v>3</v>
      </c>
      <c r="M496" s="21">
        <v>3</v>
      </c>
      <c r="N496" s="22">
        <v>3</v>
      </c>
      <c r="O496" s="22">
        <v>0</v>
      </c>
      <c r="P496" s="20">
        <v>0</v>
      </c>
      <c r="Q496" s="23">
        <v>0</v>
      </c>
      <c r="R496" s="20">
        <v>0</v>
      </c>
      <c r="S496" s="20">
        <v>0</v>
      </c>
      <c r="T496" s="18">
        <v>0</v>
      </c>
      <c r="U496" s="24"/>
      <c r="V496" s="25">
        <v>0</v>
      </c>
    </row>
    <row r="497" spans="1:22" ht="26.25">
      <c r="A497" s="66">
        <v>2231</v>
      </c>
      <c r="B497" s="15"/>
      <c r="C497" s="16">
        <v>526</v>
      </c>
      <c r="D497" s="16">
        <v>526</v>
      </c>
      <c r="E497" s="16" t="s">
        <v>3479</v>
      </c>
      <c r="F497" s="17" t="s">
        <v>24</v>
      </c>
      <c r="G497" s="18">
        <v>1</v>
      </c>
      <c r="H497" s="19">
        <v>10</v>
      </c>
      <c r="I497" s="19"/>
      <c r="J497" s="19"/>
      <c r="K497" s="19"/>
      <c r="L497" s="20">
        <v>10</v>
      </c>
      <c r="M497" s="21">
        <v>10</v>
      </c>
      <c r="N497" s="22">
        <v>10</v>
      </c>
      <c r="O497" s="22">
        <v>0</v>
      </c>
      <c r="P497" s="20">
        <v>0</v>
      </c>
      <c r="Q497" s="23">
        <v>0</v>
      </c>
      <c r="R497" s="20">
        <v>0</v>
      </c>
      <c r="S497" s="20">
        <v>0</v>
      </c>
      <c r="T497" s="18">
        <v>0</v>
      </c>
      <c r="U497" s="24"/>
      <c r="V497" s="25">
        <v>0</v>
      </c>
    </row>
    <row r="498" spans="1:22" ht="26.25">
      <c r="A498" s="66">
        <v>2223</v>
      </c>
      <c r="B498" s="15"/>
      <c r="C498" s="16">
        <v>527</v>
      </c>
      <c r="D498" s="16">
        <v>527</v>
      </c>
      <c r="E498" s="16" t="s">
        <v>1477</v>
      </c>
      <c r="F498" s="17" t="s">
        <v>1183</v>
      </c>
      <c r="G498" s="18">
        <v>10</v>
      </c>
      <c r="H498" s="19"/>
      <c r="I498" s="19">
        <v>4</v>
      </c>
      <c r="J498" s="19"/>
      <c r="K498" s="19"/>
      <c r="L498" s="20">
        <v>40</v>
      </c>
      <c r="M498" s="21">
        <v>4</v>
      </c>
      <c r="N498" s="22">
        <v>0</v>
      </c>
      <c r="O498" s="22">
        <v>4</v>
      </c>
      <c r="P498" s="20">
        <v>0</v>
      </c>
      <c r="Q498" s="23">
        <v>0</v>
      </c>
      <c r="R498" s="20">
        <v>0</v>
      </c>
      <c r="S498" s="20">
        <v>0</v>
      </c>
      <c r="T498" s="18">
        <v>0</v>
      </c>
      <c r="U498" s="24"/>
      <c r="V498" s="25">
        <v>0</v>
      </c>
    </row>
    <row r="499" spans="1:22" ht="26.25">
      <c r="A499" s="67">
        <v>2224</v>
      </c>
      <c r="B499" s="15"/>
      <c r="C499" s="16">
        <v>527</v>
      </c>
      <c r="D499" s="16">
        <v>527</v>
      </c>
      <c r="E499" s="16" t="s">
        <v>1477</v>
      </c>
      <c r="F499" s="17" t="s">
        <v>24</v>
      </c>
      <c r="G499" s="18">
        <v>1</v>
      </c>
      <c r="H499" s="19">
        <v>4</v>
      </c>
      <c r="I499" s="19"/>
      <c r="J499" s="19"/>
      <c r="K499" s="19"/>
      <c r="L499" s="20">
        <v>4</v>
      </c>
      <c r="M499" s="21">
        <v>4</v>
      </c>
      <c r="N499" s="22">
        <v>4</v>
      </c>
      <c r="O499" s="22">
        <v>0</v>
      </c>
      <c r="P499" s="20">
        <v>0</v>
      </c>
      <c r="Q499" s="23">
        <v>0</v>
      </c>
      <c r="R499" s="20">
        <v>0</v>
      </c>
      <c r="S499" s="20">
        <v>0</v>
      </c>
      <c r="T499" s="18">
        <v>0</v>
      </c>
      <c r="U499" s="24"/>
      <c r="V499" s="25">
        <v>0</v>
      </c>
    </row>
    <row r="500" spans="1:22" ht="26.25">
      <c r="A500" s="66">
        <v>2231</v>
      </c>
      <c r="B500" s="15"/>
      <c r="C500" s="16">
        <v>528</v>
      </c>
      <c r="D500" s="16">
        <v>528</v>
      </c>
      <c r="E500" s="16" t="s">
        <v>3480</v>
      </c>
      <c r="F500" s="17" t="s">
        <v>24</v>
      </c>
      <c r="G500" s="18">
        <v>1</v>
      </c>
      <c r="H500" s="19">
        <v>2</v>
      </c>
      <c r="I500" s="19"/>
      <c r="J500" s="19"/>
      <c r="K500" s="19"/>
      <c r="L500" s="20">
        <v>2</v>
      </c>
      <c r="M500" s="21">
        <v>2</v>
      </c>
      <c r="N500" s="22">
        <v>2</v>
      </c>
      <c r="O500" s="22">
        <v>0</v>
      </c>
      <c r="P500" s="20">
        <v>0</v>
      </c>
      <c r="Q500" s="23">
        <v>0</v>
      </c>
      <c r="R500" s="20">
        <v>0</v>
      </c>
      <c r="S500" s="20">
        <v>0</v>
      </c>
      <c r="T500" s="18">
        <v>0</v>
      </c>
      <c r="U500" s="24"/>
      <c r="V500" s="25">
        <v>0</v>
      </c>
    </row>
    <row r="501" spans="1:22" ht="26.25">
      <c r="A501" s="66">
        <v>2231</v>
      </c>
      <c r="B501" s="15"/>
      <c r="C501" s="16">
        <v>529</v>
      </c>
      <c r="D501" s="16">
        <v>529</v>
      </c>
      <c r="E501" s="16" t="s">
        <v>2946</v>
      </c>
      <c r="F501" s="17" t="s">
        <v>24</v>
      </c>
      <c r="G501" s="18">
        <v>1</v>
      </c>
      <c r="H501" s="19">
        <v>46</v>
      </c>
      <c r="I501" s="19"/>
      <c r="J501" s="19"/>
      <c r="K501" s="19"/>
      <c r="L501" s="20">
        <v>46</v>
      </c>
      <c r="M501" s="21">
        <v>46</v>
      </c>
      <c r="N501" s="22">
        <v>46</v>
      </c>
      <c r="O501" s="22">
        <v>0</v>
      </c>
      <c r="P501" s="20">
        <v>0</v>
      </c>
      <c r="Q501" s="23">
        <v>0</v>
      </c>
      <c r="R501" s="20">
        <v>0</v>
      </c>
      <c r="S501" s="20">
        <v>0</v>
      </c>
      <c r="T501" s="18">
        <v>0</v>
      </c>
      <c r="U501" s="24"/>
      <c r="V501" s="25">
        <v>0</v>
      </c>
    </row>
    <row r="502" spans="1:22" ht="26.25">
      <c r="A502" s="67">
        <v>1171</v>
      </c>
      <c r="B502" s="15"/>
      <c r="C502" s="16">
        <v>530</v>
      </c>
      <c r="D502" s="16">
        <v>530</v>
      </c>
      <c r="E502" s="16" t="s">
        <v>1389</v>
      </c>
      <c r="F502" s="17" t="s">
        <v>1185</v>
      </c>
      <c r="G502" s="18">
        <v>12</v>
      </c>
      <c r="H502" s="19">
        <v>5</v>
      </c>
      <c r="I502" s="19">
        <v>1</v>
      </c>
      <c r="J502" s="19"/>
      <c r="K502" s="19"/>
      <c r="L502" s="20">
        <v>17</v>
      </c>
      <c r="M502" s="21">
        <v>1.4166666666666667</v>
      </c>
      <c r="N502" s="22">
        <v>5.0000000000000009</v>
      </c>
      <c r="O502" s="22">
        <v>1</v>
      </c>
      <c r="P502" s="20">
        <v>0</v>
      </c>
      <c r="Q502" s="23">
        <v>0</v>
      </c>
      <c r="R502" s="20">
        <v>0</v>
      </c>
      <c r="S502" s="20">
        <v>0</v>
      </c>
      <c r="T502" s="18">
        <v>0</v>
      </c>
      <c r="U502" s="24"/>
      <c r="V502" s="25">
        <v>0</v>
      </c>
    </row>
    <row r="503" spans="1:22" ht="26.25">
      <c r="A503" s="66">
        <v>1157</v>
      </c>
      <c r="B503" s="15"/>
      <c r="C503" s="16">
        <v>534</v>
      </c>
      <c r="D503" s="16">
        <v>534</v>
      </c>
      <c r="E503" s="16" t="s">
        <v>1382</v>
      </c>
      <c r="F503" s="17" t="s">
        <v>1185</v>
      </c>
      <c r="G503" s="18">
        <v>12</v>
      </c>
      <c r="H503" s="19">
        <v>3</v>
      </c>
      <c r="I503" s="19">
        <v>9</v>
      </c>
      <c r="J503" s="19"/>
      <c r="K503" s="19"/>
      <c r="L503" s="20">
        <v>111</v>
      </c>
      <c r="M503" s="21">
        <v>9.25</v>
      </c>
      <c r="N503" s="22">
        <v>3</v>
      </c>
      <c r="O503" s="22">
        <v>9</v>
      </c>
      <c r="P503" s="20">
        <v>0</v>
      </c>
      <c r="Q503" s="23">
        <v>0</v>
      </c>
      <c r="R503" s="20">
        <v>0</v>
      </c>
      <c r="S503" s="20">
        <v>0</v>
      </c>
      <c r="T503" s="18">
        <v>0</v>
      </c>
      <c r="U503" s="24"/>
      <c r="V503" s="25">
        <v>0</v>
      </c>
    </row>
    <row r="504" spans="1:22" ht="26.25">
      <c r="A504" s="66">
        <v>1158</v>
      </c>
      <c r="B504" s="15"/>
      <c r="C504" s="16">
        <v>534</v>
      </c>
      <c r="D504" s="16">
        <v>534</v>
      </c>
      <c r="E504" s="16" t="s">
        <v>1382</v>
      </c>
      <c r="F504" s="17" t="s">
        <v>24</v>
      </c>
      <c r="G504" s="18">
        <v>1</v>
      </c>
      <c r="H504" s="19"/>
      <c r="I504" s="19"/>
      <c r="J504" s="19"/>
      <c r="K504" s="19"/>
      <c r="L504" s="20">
        <v>0</v>
      </c>
      <c r="M504" s="21">
        <v>0</v>
      </c>
      <c r="N504" s="22">
        <v>0</v>
      </c>
      <c r="O504" s="22">
        <v>0</v>
      </c>
      <c r="P504" s="20">
        <v>0</v>
      </c>
      <c r="Q504" s="23">
        <v>0</v>
      </c>
      <c r="R504" s="20">
        <v>0</v>
      </c>
      <c r="S504" s="20">
        <v>0</v>
      </c>
      <c r="T504" s="18">
        <v>0</v>
      </c>
      <c r="U504" s="24"/>
      <c r="V504" s="25">
        <v>0</v>
      </c>
    </row>
    <row r="505" spans="1:22" ht="26.25">
      <c r="A505" s="66">
        <v>1155</v>
      </c>
      <c r="B505" s="15"/>
      <c r="C505" s="16">
        <v>535</v>
      </c>
      <c r="D505" s="16">
        <v>535</v>
      </c>
      <c r="E505" s="16" t="s">
        <v>1381</v>
      </c>
      <c r="F505" s="17" t="s">
        <v>1185</v>
      </c>
      <c r="G505" s="18">
        <v>12</v>
      </c>
      <c r="H505" s="19">
        <v>8</v>
      </c>
      <c r="I505" s="19">
        <v>15</v>
      </c>
      <c r="J505" s="19"/>
      <c r="K505" s="19"/>
      <c r="L505" s="20">
        <v>188</v>
      </c>
      <c r="M505" s="21">
        <v>15.666666666666666</v>
      </c>
      <c r="N505" s="22">
        <v>7.9999999999999929</v>
      </c>
      <c r="O505" s="22">
        <v>15</v>
      </c>
      <c r="P505" s="20">
        <v>0</v>
      </c>
      <c r="Q505" s="23">
        <v>0</v>
      </c>
      <c r="R505" s="20">
        <v>0</v>
      </c>
      <c r="S505" s="20">
        <v>0</v>
      </c>
      <c r="T505" s="18">
        <v>0</v>
      </c>
      <c r="U505" s="24"/>
      <c r="V505" s="25">
        <v>0</v>
      </c>
    </row>
    <row r="506" spans="1:22" ht="26.25">
      <c r="A506" s="67">
        <v>1159</v>
      </c>
      <c r="B506" s="15"/>
      <c r="C506" s="16">
        <v>536</v>
      </c>
      <c r="D506" s="16">
        <v>536</v>
      </c>
      <c r="E506" s="16" t="s">
        <v>3481</v>
      </c>
      <c r="F506" s="17" t="s">
        <v>1185</v>
      </c>
      <c r="G506" s="18">
        <v>12</v>
      </c>
      <c r="H506" s="19">
        <v>4</v>
      </c>
      <c r="I506" s="19">
        <v>7</v>
      </c>
      <c r="J506" s="19"/>
      <c r="K506" s="19"/>
      <c r="L506" s="20">
        <v>88</v>
      </c>
      <c r="M506" s="21">
        <v>7.333333333333333</v>
      </c>
      <c r="N506" s="22">
        <v>3.9999999999999964</v>
      </c>
      <c r="O506" s="22">
        <v>7</v>
      </c>
      <c r="P506" s="20">
        <v>0</v>
      </c>
      <c r="Q506" s="23">
        <v>0</v>
      </c>
      <c r="R506" s="20">
        <v>0</v>
      </c>
      <c r="S506" s="20">
        <v>0</v>
      </c>
      <c r="T506" s="18">
        <v>0</v>
      </c>
      <c r="U506" s="24"/>
      <c r="V506" s="25">
        <v>0</v>
      </c>
    </row>
    <row r="507" spans="1:22" ht="26.25">
      <c r="A507" s="67">
        <v>1165</v>
      </c>
      <c r="B507" s="15"/>
      <c r="C507" s="16">
        <v>537</v>
      </c>
      <c r="D507" s="16">
        <v>537</v>
      </c>
      <c r="E507" s="16" t="s">
        <v>3482</v>
      </c>
      <c r="F507" s="17" t="s">
        <v>1185</v>
      </c>
      <c r="G507" s="18">
        <v>12</v>
      </c>
      <c r="H507" s="19"/>
      <c r="I507" s="19">
        <v>1</v>
      </c>
      <c r="J507" s="19"/>
      <c r="K507" s="19"/>
      <c r="L507" s="20">
        <v>12</v>
      </c>
      <c r="M507" s="21">
        <v>1</v>
      </c>
      <c r="N507" s="22">
        <v>0</v>
      </c>
      <c r="O507" s="22">
        <v>1</v>
      </c>
      <c r="P507" s="20">
        <v>0</v>
      </c>
      <c r="Q507" s="23">
        <v>0</v>
      </c>
      <c r="R507" s="20">
        <v>0</v>
      </c>
      <c r="S507" s="20">
        <v>0</v>
      </c>
      <c r="T507" s="18">
        <v>0</v>
      </c>
      <c r="U507" s="24"/>
      <c r="V507" s="25">
        <v>0</v>
      </c>
    </row>
    <row r="508" spans="1:22" ht="26.25">
      <c r="A508" s="66">
        <v>1163</v>
      </c>
      <c r="B508" s="15"/>
      <c r="C508" s="16">
        <v>538</v>
      </c>
      <c r="D508" s="16">
        <v>538</v>
      </c>
      <c r="E508" s="16" t="s">
        <v>3483</v>
      </c>
      <c r="F508" s="17" t="s">
        <v>1185</v>
      </c>
      <c r="G508" s="18">
        <v>12</v>
      </c>
      <c r="H508" s="19">
        <v>1</v>
      </c>
      <c r="I508" s="19">
        <v>4</v>
      </c>
      <c r="J508" s="19"/>
      <c r="K508" s="19"/>
      <c r="L508" s="20">
        <v>49</v>
      </c>
      <c r="M508" s="21">
        <v>4.083333333333333</v>
      </c>
      <c r="N508" s="22">
        <v>0.99999999999999645</v>
      </c>
      <c r="O508" s="22">
        <v>4</v>
      </c>
      <c r="P508" s="20">
        <v>0</v>
      </c>
      <c r="Q508" s="23">
        <v>0</v>
      </c>
      <c r="R508" s="20">
        <v>0</v>
      </c>
      <c r="S508" s="20">
        <v>0</v>
      </c>
      <c r="T508" s="18">
        <v>0</v>
      </c>
      <c r="U508" s="24"/>
      <c r="V508" s="25">
        <v>0</v>
      </c>
    </row>
    <row r="509" spans="1:22" ht="26.25">
      <c r="A509" s="66">
        <v>1160</v>
      </c>
      <c r="B509" s="15"/>
      <c r="C509" s="16">
        <v>539</v>
      </c>
      <c r="D509" s="16">
        <v>539</v>
      </c>
      <c r="E509" s="16" t="s">
        <v>3484</v>
      </c>
      <c r="F509" s="17" t="s">
        <v>1185</v>
      </c>
      <c r="G509" s="18">
        <v>12</v>
      </c>
      <c r="H509" s="19">
        <v>8</v>
      </c>
      <c r="I509" s="19">
        <v>1</v>
      </c>
      <c r="J509" s="19"/>
      <c r="K509" s="19"/>
      <c r="L509" s="20">
        <v>20</v>
      </c>
      <c r="M509" s="21">
        <v>1.6666666666666667</v>
      </c>
      <c r="N509" s="22">
        <v>8</v>
      </c>
      <c r="O509" s="22">
        <v>1</v>
      </c>
      <c r="P509" s="20">
        <v>0</v>
      </c>
      <c r="Q509" s="23">
        <v>0</v>
      </c>
      <c r="R509" s="20">
        <v>0</v>
      </c>
      <c r="S509" s="20">
        <v>0</v>
      </c>
      <c r="T509" s="18">
        <v>0</v>
      </c>
      <c r="U509" s="24"/>
      <c r="V509" s="25">
        <v>0</v>
      </c>
    </row>
    <row r="510" spans="1:22" ht="26.25">
      <c r="A510" s="66">
        <v>1160</v>
      </c>
      <c r="B510" s="15"/>
      <c r="C510" s="16">
        <v>540</v>
      </c>
      <c r="D510" s="16">
        <v>540</v>
      </c>
      <c r="E510" s="16" t="s">
        <v>3485</v>
      </c>
      <c r="F510" s="17" t="s">
        <v>24</v>
      </c>
      <c r="G510" s="18">
        <v>1</v>
      </c>
      <c r="H510" s="19">
        <v>11</v>
      </c>
      <c r="I510" s="19"/>
      <c r="J510" s="19"/>
      <c r="K510" s="19"/>
      <c r="L510" s="20">
        <v>11</v>
      </c>
      <c r="M510" s="21">
        <v>11</v>
      </c>
      <c r="N510" s="22">
        <v>11</v>
      </c>
      <c r="O510" s="22">
        <v>0</v>
      </c>
      <c r="P510" s="20">
        <v>0</v>
      </c>
      <c r="Q510" s="23">
        <v>0</v>
      </c>
      <c r="R510" s="20">
        <v>0</v>
      </c>
      <c r="S510" s="20">
        <v>0</v>
      </c>
      <c r="T510" s="18">
        <v>0</v>
      </c>
      <c r="U510" s="24"/>
      <c r="V510" s="25">
        <v>0</v>
      </c>
    </row>
    <row r="511" spans="1:22" ht="26.25">
      <c r="A511" s="67">
        <v>1159</v>
      </c>
      <c r="B511" s="15"/>
      <c r="C511" s="16">
        <v>541</v>
      </c>
      <c r="D511" s="16">
        <v>541</v>
      </c>
      <c r="E511" s="16" t="s">
        <v>3486</v>
      </c>
      <c r="F511" s="17" t="s">
        <v>1185</v>
      </c>
      <c r="G511" s="18">
        <v>12</v>
      </c>
      <c r="H511" s="19"/>
      <c r="I511" s="19">
        <v>1</v>
      </c>
      <c r="J511" s="19"/>
      <c r="K511" s="19"/>
      <c r="L511" s="20">
        <v>12</v>
      </c>
      <c r="M511" s="21">
        <v>1</v>
      </c>
      <c r="N511" s="22">
        <v>0</v>
      </c>
      <c r="O511" s="22">
        <v>1</v>
      </c>
      <c r="P511" s="20">
        <v>0</v>
      </c>
      <c r="Q511" s="23">
        <v>0</v>
      </c>
      <c r="R511" s="20">
        <v>0</v>
      </c>
      <c r="S511" s="20">
        <v>0</v>
      </c>
      <c r="T511" s="18">
        <v>0</v>
      </c>
      <c r="U511" s="24"/>
      <c r="V511" s="25">
        <v>0</v>
      </c>
    </row>
    <row r="512" spans="1:22" ht="26.25">
      <c r="A512" s="66">
        <v>1169</v>
      </c>
      <c r="B512" s="15"/>
      <c r="C512" s="16">
        <v>542</v>
      </c>
      <c r="D512" s="16">
        <v>542</v>
      </c>
      <c r="E512" s="16" t="s">
        <v>3487</v>
      </c>
      <c r="F512" s="17" t="s">
        <v>1185</v>
      </c>
      <c r="G512" s="18">
        <v>12</v>
      </c>
      <c r="H512" s="19">
        <v>8</v>
      </c>
      <c r="I512" s="19">
        <v>1</v>
      </c>
      <c r="J512" s="19"/>
      <c r="K512" s="19"/>
      <c r="L512" s="20">
        <v>20</v>
      </c>
      <c r="M512" s="21">
        <v>1.6666666666666667</v>
      </c>
      <c r="N512" s="22">
        <v>8</v>
      </c>
      <c r="O512" s="22">
        <v>1</v>
      </c>
      <c r="P512" s="20">
        <v>0</v>
      </c>
      <c r="Q512" s="23">
        <v>0</v>
      </c>
      <c r="R512" s="20">
        <v>0</v>
      </c>
      <c r="S512" s="20">
        <v>0</v>
      </c>
      <c r="T512" s="18">
        <v>0</v>
      </c>
      <c r="U512" s="24"/>
      <c r="V512" s="25">
        <v>0</v>
      </c>
    </row>
    <row r="513" spans="1:22" ht="26.25">
      <c r="A513" s="66">
        <v>1160</v>
      </c>
      <c r="B513" s="15"/>
      <c r="C513" s="16">
        <v>543</v>
      </c>
      <c r="D513" s="16">
        <v>543</v>
      </c>
      <c r="E513" s="16" t="s">
        <v>3488</v>
      </c>
      <c r="F513" s="17" t="s">
        <v>1185</v>
      </c>
      <c r="G513" s="18">
        <v>12</v>
      </c>
      <c r="H513" s="19"/>
      <c r="I513" s="19">
        <v>1</v>
      </c>
      <c r="J513" s="19"/>
      <c r="K513" s="19"/>
      <c r="L513" s="20">
        <v>12</v>
      </c>
      <c r="M513" s="21">
        <v>1</v>
      </c>
      <c r="N513" s="22">
        <v>0</v>
      </c>
      <c r="O513" s="22">
        <v>1</v>
      </c>
      <c r="P513" s="20">
        <v>0</v>
      </c>
      <c r="Q513" s="23">
        <v>0</v>
      </c>
      <c r="R513" s="20">
        <v>0</v>
      </c>
      <c r="S513" s="20">
        <v>0</v>
      </c>
      <c r="T513" s="18">
        <v>0</v>
      </c>
      <c r="U513" s="24"/>
      <c r="V513" s="25">
        <v>0</v>
      </c>
    </row>
    <row r="514" spans="1:22" ht="26.25">
      <c r="A514" s="66">
        <v>1160</v>
      </c>
      <c r="B514" s="15"/>
      <c r="C514" s="16">
        <v>544</v>
      </c>
      <c r="D514" s="16">
        <v>544</v>
      </c>
      <c r="E514" s="16" t="s">
        <v>3489</v>
      </c>
      <c r="F514" s="17" t="s">
        <v>1185</v>
      </c>
      <c r="G514" s="18">
        <v>48</v>
      </c>
      <c r="H514" s="19">
        <v>45</v>
      </c>
      <c r="I514" s="19">
        <v>0</v>
      </c>
      <c r="J514" s="19"/>
      <c r="K514" s="19"/>
      <c r="L514" s="20">
        <v>45</v>
      </c>
      <c r="M514" s="21">
        <v>0.9375</v>
      </c>
      <c r="N514" s="22">
        <v>45</v>
      </c>
      <c r="O514" s="22">
        <v>0</v>
      </c>
      <c r="P514" s="20">
        <v>0</v>
      </c>
      <c r="Q514" s="23">
        <v>0</v>
      </c>
      <c r="R514" s="20">
        <v>0</v>
      </c>
      <c r="S514" s="20">
        <v>0</v>
      </c>
      <c r="T514" s="18">
        <v>0</v>
      </c>
      <c r="U514" s="24"/>
      <c r="V514" s="25">
        <v>0</v>
      </c>
    </row>
    <row r="515" spans="1:22" ht="26.25">
      <c r="A515" s="67">
        <v>1744</v>
      </c>
      <c r="B515" s="15"/>
      <c r="C515" s="16">
        <v>545</v>
      </c>
      <c r="D515" s="16">
        <v>545</v>
      </c>
      <c r="E515" s="16" t="s">
        <v>2619</v>
      </c>
      <c r="F515" s="17" t="s">
        <v>1185</v>
      </c>
      <c r="G515" s="18">
        <v>10</v>
      </c>
      <c r="H515" s="19">
        <v>2</v>
      </c>
      <c r="I515" s="19">
        <v>5</v>
      </c>
      <c r="J515" s="19"/>
      <c r="K515" s="19">
        <v>500</v>
      </c>
      <c r="L515" s="20">
        <v>52</v>
      </c>
      <c r="M515" s="21">
        <v>5.2</v>
      </c>
      <c r="N515" s="22">
        <v>2.0000000000000018</v>
      </c>
      <c r="O515" s="22">
        <v>5</v>
      </c>
      <c r="P515" s="20">
        <v>50</v>
      </c>
      <c r="Q515" s="23">
        <v>0</v>
      </c>
      <c r="R515" s="20">
        <v>50</v>
      </c>
      <c r="S515" s="20">
        <v>500</v>
      </c>
      <c r="T515" s="18">
        <v>2600</v>
      </c>
      <c r="U515" s="24"/>
      <c r="V515" s="25">
        <v>0</v>
      </c>
    </row>
    <row r="516" spans="1:22" ht="26.25">
      <c r="A516" s="66">
        <v>1745</v>
      </c>
      <c r="B516" s="15"/>
      <c r="C516" s="16">
        <v>546</v>
      </c>
      <c r="D516" s="16">
        <v>546</v>
      </c>
      <c r="E516" s="16" t="s">
        <v>3490</v>
      </c>
      <c r="F516" s="17" t="s">
        <v>3461</v>
      </c>
      <c r="G516" s="18">
        <v>1</v>
      </c>
      <c r="H516" s="19">
        <v>4</v>
      </c>
      <c r="I516" s="19"/>
      <c r="J516" s="19"/>
      <c r="K516" s="19">
        <v>50</v>
      </c>
      <c r="L516" s="20">
        <v>4</v>
      </c>
      <c r="M516" s="21">
        <v>4</v>
      </c>
      <c r="N516" s="22">
        <v>4</v>
      </c>
      <c r="O516" s="22">
        <v>0</v>
      </c>
      <c r="P516" s="20">
        <v>50</v>
      </c>
      <c r="Q516" s="23">
        <v>0</v>
      </c>
      <c r="R516" s="20">
        <v>50</v>
      </c>
      <c r="S516" s="20">
        <v>50</v>
      </c>
      <c r="T516" s="18">
        <v>200</v>
      </c>
      <c r="U516" s="24"/>
      <c r="V516" s="25">
        <v>0</v>
      </c>
    </row>
    <row r="517" spans="1:22" ht="26.25">
      <c r="A517" s="66">
        <v>1752</v>
      </c>
      <c r="B517" s="15"/>
      <c r="C517" s="16">
        <v>547</v>
      </c>
      <c r="D517" s="16">
        <v>547</v>
      </c>
      <c r="E517" s="16" t="s">
        <v>3491</v>
      </c>
      <c r="F517" s="17" t="s">
        <v>3461</v>
      </c>
      <c r="G517" s="18">
        <v>1</v>
      </c>
      <c r="H517" s="19">
        <v>9</v>
      </c>
      <c r="I517" s="19"/>
      <c r="J517" s="19"/>
      <c r="K517" s="19"/>
      <c r="L517" s="20">
        <v>9</v>
      </c>
      <c r="M517" s="21">
        <v>9</v>
      </c>
      <c r="N517" s="22">
        <v>9</v>
      </c>
      <c r="O517" s="22">
        <v>0</v>
      </c>
      <c r="P517" s="20">
        <v>0</v>
      </c>
      <c r="Q517" s="23">
        <v>0</v>
      </c>
      <c r="R517" s="20">
        <v>0</v>
      </c>
      <c r="S517" s="20">
        <v>0</v>
      </c>
      <c r="T517" s="18">
        <v>0</v>
      </c>
      <c r="U517" s="24"/>
      <c r="V517" s="25">
        <v>0</v>
      </c>
    </row>
    <row r="518" spans="1:22" ht="26.25">
      <c r="A518" s="66">
        <v>1757</v>
      </c>
      <c r="B518" s="15"/>
      <c r="C518" s="16">
        <v>548</v>
      </c>
      <c r="D518" s="16">
        <v>548</v>
      </c>
      <c r="E518" s="16" t="s">
        <v>3460</v>
      </c>
      <c r="F518" s="17" t="s">
        <v>24</v>
      </c>
      <c r="G518" s="18">
        <v>1</v>
      </c>
      <c r="H518" s="19">
        <v>3</v>
      </c>
      <c r="I518" s="19"/>
      <c r="J518" s="19"/>
      <c r="K518" s="19"/>
      <c r="L518" s="20">
        <v>3</v>
      </c>
      <c r="M518" s="21">
        <v>3</v>
      </c>
      <c r="N518" s="22">
        <v>3</v>
      </c>
      <c r="O518" s="22">
        <v>0</v>
      </c>
      <c r="P518" s="20">
        <v>0</v>
      </c>
      <c r="Q518" s="23">
        <v>0</v>
      </c>
      <c r="R518" s="20">
        <v>0</v>
      </c>
      <c r="S518" s="20">
        <v>0</v>
      </c>
      <c r="T518" s="18">
        <v>0</v>
      </c>
      <c r="U518" s="24"/>
      <c r="V518" s="25">
        <v>0</v>
      </c>
    </row>
    <row r="519" spans="1:22" ht="26.25">
      <c r="A519" s="66">
        <v>1200</v>
      </c>
      <c r="B519" s="15"/>
      <c r="C519" s="16">
        <v>549</v>
      </c>
      <c r="D519" s="16">
        <v>549</v>
      </c>
      <c r="E519" s="16" t="s">
        <v>3492</v>
      </c>
      <c r="F519" s="17" t="s">
        <v>1185</v>
      </c>
      <c r="G519" s="18">
        <v>12</v>
      </c>
      <c r="H519" s="19">
        <v>2</v>
      </c>
      <c r="I519" s="19">
        <v>1</v>
      </c>
      <c r="J519" s="19"/>
      <c r="K519" s="19"/>
      <c r="L519" s="20">
        <v>14</v>
      </c>
      <c r="M519" s="21">
        <v>1.1666666666666667</v>
      </c>
      <c r="N519" s="22">
        <v>2.0000000000000009</v>
      </c>
      <c r="O519" s="22">
        <v>1</v>
      </c>
      <c r="P519" s="20">
        <v>0</v>
      </c>
      <c r="Q519" s="23">
        <v>0</v>
      </c>
      <c r="R519" s="20">
        <v>0</v>
      </c>
      <c r="S519" s="20">
        <v>0</v>
      </c>
      <c r="T519" s="18">
        <v>0</v>
      </c>
      <c r="U519" s="24"/>
      <c r="V519" s="25">
        <v>0</v>
      </c>
    </row>
    <row r="520" spans="1:22" ht="26.25">
      <c r="A520" s="67">
        <v>1750</v>
      </c>
      <c r="B520" s="15"/>
      <c r="C520" s="16">
        <v>550</v>
      </c>
      <c r="D520" s="16">
        <v>550</v>
      </c>
      <c r="E520" s="16" t="s">
        <v>3493</v>
      </c>
      <c r="F520" s="17" t="s">
        <v>24</v>
      </c>
      <c r="G520" s="18">
        <v>1</v>
      </c>
      <c r="H520" s="19">
        <v>9</v>
      </c>
      <c r="I520" s="19"/>
      <c r="J520" s="19">
        <v>50</v>
      </c>
      <c r="K520" s="19"/>
      <c r="L520" s="20">
        <v>9</v>
      </c>
      <c r="M520" s="21">
        <v>9</v>
      </c>
      <c r="N520" s="22">
        <v>9</v>
      </c>
      <c r="O520" s="22">
        <v>0</v>
      </c>
      <c r="P520" s="20">
        <v>0</v>
      </c>
      <c r="Q520" s="23">
        <v>50</v>
      </c>
      <c r="R520" s="20">
        <v>50</v>
      </c>
      <c r="S520" s="20">
        <v>50</v>
      </c>
      <c r="T520" s="18">
        <v>450</v>
      </c>
      <c r="U520" s="24"/>
      <c r="V520" s="25">
        <v>0</v>
      </c>
    </row>
    <row r="521" spans="1:22" ht="26.25">
      <c r="A521" s="66">
        <v>1176</v>
      </c>
      <c r="B521" s="15"/>
      <c r="C521" s="16">
        <v>551</v>
      </c>
      <c r="D521" s="16">
        <v>551</v>
      </c>
      <c r="E521" s="16" t="s">
        <v>3494</v>
      </c>
      <c r="F521" s="17" t="s">
        <v>1185</v>
      </c>
      <c r="G521" s="18">
        <v>12</v>
      </c>
      <c r="H521" s="19">
        <v>5</v>
      </c>
      <c r="I521" s="19">
        <v>1</v>
      </c>
      <c r="J521" s="19"/>
      <c r="K521" s="19"/>
      <c r="L521" s="20">
        <v>17</v>
      </c>
      <c r="M521" s="21">
        <v>1.4166666666666667</v>
      </c>
      <c r="N521" s="22">
        <v>5.0000000000000009</v>
      </c>
      <c r="O521" s="22">
        <v>1</v>
      </c>
      <c r="P521" s="20">
        <v>0</v>
      </c>
      <c r="Q521" s="23">
        <v>0</v>
      </c>
      <c r="R521" s="20">
        <v>0</v>
      </c>
      <c r="S521" s="20">
        <v>0</v>
      </c>
      <c r="T521" s="18">
        <v>0</v>
      </c>
      <c r="U521" s="24"/>
      <c r="V521" s="25">
        <v>0</v>
      </c>
    </row>
    <row r="522" spans="1:22" ht="26.25">
      <c r="A522" s="67">
        <v>1186</v>
      </c>
      <c r="B522" s="15"/>
      <c r="C522" s="16">
        <v>552</v>
      </c>
      <c r="D522" s="16">
        <v>552</v>
      </c>
      <c r="E522" s="16" t="s">
        <v>3495</v>
      </c>
      <c r="F522" s="17" t="s">
        <v>24</v>
      </c>
      <c r="G522" s="18">
        <v>1</v>
      </c>
      <c r="H522" s="19">
        <v>7</v>
      </c>
      <c r="I522" s="19"/>
      <c r="J522" s="19"/>
      <c r="K522" s="19"/>
      <c r="L522" s="20">
        <v>7</v>
      </c>
      <c r="M522" s="21">
        <v>7</v>
      </c>
      <c r="N522" s="22">
        <v>7</v>
      </c>
      <c r="O522" s="22">
        <v>0</v>
      </c>
      <c r="P522" s="20">
        <v>0</v>
      </c>
      <c r="Q522" s="23">
        <v>0</v>
      </c>
      <c r="R522" s="20">
        <v>0</v>
      </c>
      <c r="S522" s="20">
        <v>0</v>
      </c>
      <c r="T522" s="18">
        <v>0</v>
      </c>
      <c r="U522" s="24"/>
      <c r="V522" s="25">
        <v>0</v>
      </c>
    </row>
    <row r="523" spans="1:22" ht="26.25">
      <c r="A523" s="67">
        <v>1186</v>
      </c>
      <c r="B523" s="15"/>
      <c r="C523" s="16">
        <v>553</v>
      </c>
      <c r="D523" s="16">
        <v>553</v>
      </c>
      <c r="E523" s="16" t="s">
        <v>3496</v>
      </c>
      <c r="F523" s="17" t="s">
        <v>24</v>
      </c>
      <c r="G523" s="18">
        <v>1</v>
      </c>
      <c r="H523" s="19">
        <v>7</v>
      </c>
      <c r="I523" s="19"/>
      <c r="J523" s="19"/>
      <c r="K523" s="19"/>
      <c r="L523" s="20">
        <v>7</v>
      </c>
      <c r="M523" s="21">
        <v>7</v>
      </c>
      <c r="N523" s="22">
        <v>7</v>
      </c>
      <c r="O523" s="22">
        <v>0</v>
      </c>
      <c r="P523" s="20">
        <v>0</v>
      </c>
      <c r="Q523" s="23">
        <v>0</v>
      </c>
      <c r="R523" s="20">
        <v>0</v>
      </c>
      <c r="S523" s="20">
        <v>0</v>
      </c>
      <c r="T523" s="18">
        <v>0</v>
      </c>
      <c r="U523" s="24"/>
      <c r="V523" s="25">
        <v>0</v>
      </c>
    </row>
    <row r="524" spans="1:22" ht="26.25">
      <c r="A524" s="66">
        <v>1178</v>
      </c>
      <c r="B524" s="15"/>
      <c r="C524" s="16">
        <v>554</v>
      </c>
      <c r="D524" s="16">
        <v>554</v>
      </c>
      <c r="E524" s="16" t="s">
        <v>2274</v>
      </c>
      <c r="F524" s="17" t="s">
        <v>24</v>
      </c>
      <c r="G524" s="18">
        <v>1</v>
      </c>
      <c r="H524" s="19">
        <v>8</v>
      </c>
      <c r="I524" s="19"/>
      <c r="J524" s="19"/>
      <c r="K524" s="19"/>
      <c r="L524" s="20">
        <v>8</v>
      </c>
      <c r="M524" s="21">
        <v>8</v>
      </c>
      <c r="N524" s="22">
        <v>8</v>
      </c>
      <c r="O524" s="22">
        <v>0</v>
      </c>
      <c r="P524" s="20">
        <v>0</v>
      </c>
      <c r="Q524" s="23">
        <v>0</v>
      </c>
      <c r="R524" s="20">
        <v>0</v>
      </c>
      <c r="S524" s="20">
        <v>0</v>
      </c>
      <c r="T524" s="18">
        <v>0</v>
      </c>
      <c r="U524" s="24"/>
      <c r="V524" s="25">
        <v>0</v>
      </c>
    </row>
    <row r="525" spans="1:22" ht="26.25">
      <c r="A525" s="66">
        <v>962</v>
      </c>
      <c r="B525" s="15"/>
      <c r="C525" s="16">
        <v>555</v>
      </c>
      <c r="D525" s="16">
        <v>555</v>
      </c>
      <c r="E525" s="16" t="s">
        <v>3497</v>
      </c>
      <c r="F525" s="17" t="s">
        <v>1185</v>
      </c>
      <c r="G525" s="18">
        <v>12</v>
      </c>
      <c r="H525" s="19">
        <v>7</v>
      </c>
      <c r="I525" s="19"/>
      <c r="J525" s="19"/>
      <c r="K525" s="19"/>
      <c r="L525" s="20">
        <v>7</v>
      </c>
      <c r="M525" s="21">
        <v>0.58333333333333337</v>
      </c>
      <c r="N525" s="22">
        <v>7</v>
      </c>
      <c r="O525" s="22">
        <v>0</v>
      </c>
      <c r="P525" s="20">
        <v>0</v>
      </c>
      <c r="Q525" s="23">
        <v>0</v>
      </c>
      <c r="R525" s="20">
        <v>0</v>
      </c>
      <c r="S525" s="20">
        <v>0</v>
      </c>
      <c r="T525" s="18">
        <v>0</v>
      </c>
      <c r="U525" s="24"/>
      <c r="V525" s="25">
        <v>0</v>
      </c>
    </row>
    <row r="526" spans="1:22" ht="26.25">
      <c r="A526" s="66">
        <v>965</v>
      </c>
      <c r="B526" s="15"/>
      <c r="C526" s="16">
        <v>556</v>
      </c>
      <c r="D526" s="16">
        <v>556</v>
      </c>
      <c r="E526" s="16" t="s">
        <v>3498</v>
      </c>
      <c r="F526" s="17" t="s">
        <v>24</v>
      </c>
      <c r="G526" s="18">
        <v>1</v>
      </c>
      <c r="H526" s="19">
        <v>5</v>
      </c>
      <c r="I526" s="19"/>
      <c r="J526" s="19"/>
      <c r="K526" s="19"/>
      <c r="L526" s="20">
        <v>5</v>
      </c>
      <c r="M526" s="21">
        <v>5</v>
      </c>
      <c r="N526" s="22">
        <v>5</v>
      </c>
      <c r="O526" s="22">
        <v>0</v>
      </c>
      <c r="P526" s="20">
        <v>0</v>
      </c>
      <c r="Q526" s="23">
        <v>0</v>
      </c>
      <c r="R526" s="20">
        <v>0</v>
      </c>
      <c r="S526" s="20">
        <v>0</v>
      </c>
      <c r="T526" s="18">
        <v>0</v>
      </c>
      <c r="U526" s="24"/>
      <c r="V526" s="25">
        <v>0</v>
      </c>
    </row>
    <row r="527" spans="1:22" ht="26.25">
      <c r="A527" s="66">
        <v>1184</v>
      </c>
      <c r="B527" s="15"/>
      <c r="C527" s="16">
        <v>557</v>
      </c>
      <c r="D527" s="16">
        <v>557</v>
      </c>
      <c r="E527" s="16" t="s">
        <v>3499</v>
      </c>
      <c r="F527" s="17" t="s">
        <v>24</v>
      </c>
      <c r="G527" s="18">
        <v>1</v>
      </c>
      <c r="H527" s="19">
        <v>5</v>
      </c>
      <c r="I527" s="19"/>
      <c r="J527" s="19"/>
      <c r="K527" s="19"/>
      <c r="L527" s="20">
        <v>5</v>
      </c>
      <c r="M527" s="21">
        <v>5</v>
      </c>
      <c r="N527" s="22">
        <v>5</v>
      </c>
      <c r="O527" s="22">
        <v>0</v>
      </c>
      <c r="P527" s="20">
        <v>0</v>
      </c>
      <c r="Q527" s="23">
        <v>0</v>
      </c>
      <c r="R527" s="20">
        <v>0</v>
      </c>
      <c r="S527" s="20">
        <v>0</v>
      </c>
      <c r="T527" s="18">
        <v>0</v>
      </c>
      <c r="U527" s="24"/>
      <c r="V527" s="25">
        <v>0</v>
      </c>
    </row>
    <row r="528" spans="1:22" ht="26.25">
      <c r="A528" s="67">
        <v>1189</v>
      </c>
      <c r="B528" s="15"/>
      <c r="C528" s="16">
        <v>558</v>
      </c>
      <c r="D528" s="16">
        <v>558</v>
      </c>
      <c r="E528" s="16" t="s">
        <v>3500</v>
      </c>
      <c r="F528" s="17" t="s">
        <v>24</v>
      </c>
      <c r="G528" s="18">
        <v>1</v>
      </c>
      <c r="H528" s="19">
        <v>10</v>
      </c>
      <c r="I528" s="19"/>
      <c r="J528" s="19"/>
      <c r="K528" s="19"/>
      <c r="L528" s="20">
        <v>10</v>
      </c>
      <c r="M528" s="21">
        <v>10</v>
      </c>
      <c r="N528" s="22">
        <v>10</v>
      </c>
      <c r="O528" s="22">
        <v>0</v>
      </c>
      <c r="P528" s="20">
        <v>0</v>
      </c>
      <c r="Q528" s="23">
        <v>0</v>
      </c>
      <c r="R528" s="20">
        <v>0</v>
      </c>
      <c r="S528" s="20">
        <v>0</v>
      </c>
      <c r="T528" s="18">
        <v>0</v>
      </c>
      <c r="U528" s="24"/>
      <c r="V528" s="25">
        <v>0</v>
      </c>
    </row>
    <row r="529" spans="1:22" ht="26.25">
      <c r="A529" s="67">
        <v>1189</v>
      </c>
      <c r="B529" s="15"/>
      <c r="C529" s="16">
        <v>559</v>
      </c>
      <c r="D529" s="16">
        <v>559</v>
      </c>
      <c r="E529" s="16" t="s">
        <v>3501</v>
      </c>
      <c r="F529" s="17" t="s">
        <v>24</v>
      </c>
      <c r="G529" s="18">
        <v>10</v>
      </c>
      <c r="H529" s="19">
        <v>4</v>
      </c>
      <c r="I529" s="19"/>
      <c r="J529" s="19"/>
      <c r="K529" s="19"/>
      <c r="L529" s="20">
        <v>4</v>
      </c>
      <c r="M529" s="21">
        <v>0.4</v>
      </c>
      <c r="N529" s="22">
        <v>4</v>
      </c>
      <c r="O529" s="22">
        <v>0</v>
      </c>
      <c r="P529" s="20">
        <v>0</v>
      </c>
      <c r="Q529" s="23">
        <v>0</v>
      </c>
      <c r="R529" s="20">
        <v>0</v>
      </c>
      <c r="S529" s="20">
        <v>0</v>
      </c>
      <c r="T529" s="18">
        <v>0</v>
      </c>
      <c r="U529" s="24"/>
      <c r="V529" s="25">
        <v>0</v>
      </c>
    </row>
    <row r="530" spans="1:22" ht="26.25">
      <c r="A530" s="67">
        <v>1183</v>
      </c>
      <c r="B530" s="15"/>
      <c r="C530" s="16">
        <v>560</v>
      </c>
      <c r="D530" s="16">
        <v>560</v>
      </c>
      <c r="E530" s="16" t="s">
        <v>3502</v>
      </c>
      <c r="F530" s="17" t="s">
        <v>24</v>
      </c>
      <c r="G530" s="18">
        <v>1</v>
      </c>
      <c r="H530" s="19">
        <v>8</v>
      </c>
      <c r="I530" s="19"/>
      <c r="J530" s="19"/>
      <c r="K530" s="19"/>
      <c r="L530" s="20">
        <v>8</v>
      </c>
      <c r="M530" s="21">
        <v>8</v>
      </c>
      <c r="N530" s="22">
        <v>8</v>
      </c>
      <c r="O530" s="22">
        <v>0</v>
      </c>
      <c r="P530" s="20">
        <v>0</v>
      </c>
      <c r="Q530" s="23">
        <v>0</v>
      </c>
      <c r="R530" s="20">
        <v>0</v>
      </c>
      <c r="S530" s="20">
        <v>0</v>
      </c>
      <c r="T530" s="18">
        <v>0</v>
      </c>
      <c r="U530" s="24"/>
      <c r="V530" s="25">
        <v>0</v>
      </c>
    </row>
    <row r="531" spans="1:22" ht="26.25">
      <c r="A531" s="67">
        <v>1183</v>
      </c>
      <c r="B531" s="15"/>
      <c r="C531" s="16">
        <v>561</v>
      </c>
      <c r="D531" s="16">
        <v>561</v>
      </c>
      <c r="E531" s="16" t="s">
        <v>3503</v>
      </c>
      <c r="F531" s="17" t="s">
        <v>24</v>
      </c>
      <c r="G531" s="18">
        <v>1</v>
      </c>
      <c r="H531" s="19">
        <v>5</v>
      </c>
      <c r="I531" s="19"/>
      <c r="J531" s="19"/>
      <c r="K531" s="19"/>
      <c r="L531" s="20">
        <v>5</v>
      </c>
      <c r="M531" s="21">
        <v>5</v>
      </c>
      <c r="N531" s="22">
        <v>5</v>
      </c>
      <c r="O531" s="22">
        <v>0</v>
      </c>
      <c r="P531" s="20">
        <v>0</v>
      </c>
      <c r="Q531" s="23">
        <v>0</v>
      </c>
      <c r="R531" s="20">
        <v>0</v>
      </c>
      <c r="S531" s="20">
        <v>0</v>
      </c>
      <c r="T531" s="18">
        <v>0</v>
      </c>
      <c r="U531" s="24"/>
      <c r="V531" s="25">
        <v>0</v>
      </c>
    </row>
    <row r="532" spans="1:22" ht="26.25">
      <c r="A532" s="66">
        <v>1182</v>
      </c>
      <c r="B532" s="15"/>
      <c r="C532" s="16">
        <v>562</v>
      </c>
      <c r="D532" s="16">
        <v>562</v>
      </c>
      <c r="E532" s="16" t="s">
        <v>3504</v>
      </c>
      <c r="F532" s="17" t="s">
        <v>1185</v>
      </c>
      <c r="G532" s="18">
        <v>12</v>
      </c>
      <c r="H532" s="19">
        <v>9</v>
      </c>
      <c r="I532" s="19">
        <v>1</v>
      </c>
      <c r="J532" s="19"/>
      <c r="K532" s="19"/>
      <c r="L532" s="20">
        <v>21</v>
      </c>
      <c r="M532" s="21">
        <v>1.75</v>
      </c>
      <c r="N532" s="22">
        <v>9</v>
      </c>
      <c r="O532" s="22">
        <v>1</v>
      </c>
      <c r="P532" s="20">
        <v>0</v>
      </c>
      <c r="Q532" s="23">
        <v>0</v>
      </c>
      <c r="R532" s="20">
        <v>0</v>
      </c>
      <c r="S532" s="20">
        <v>0</v>
      </c>
      <c r="T532" s="18">
        <v>0</v>
      </c>
      <c r="U532" s="24"/>
      <c r="V532" s="25">
        <v>0</v>
      </c>
    </row>
    <row r="533" spans="1:22" ht="26.25">
      <c r="A533" s="66">
        <v>1182</v>
      </c>
      <c r="B533" s="15"/>
      <c r="C533" s="16">
        <v>562</v>
      </c>
      <c r="D533" s="16">
        <v>562</v>
      </c>
      <c r="E533" s="16" t="s">
        <v>3504</v>
      </c>
      <c r="F533" s="17" t="s">
        <v>24</v>
      </c>
      <c r="G533" s="18">
        <v>1</v>
      </c>
      <c r="H533" s="19"/>
      <c r="I533" s="19"/>
      <c r="J533" s="19"/>
      <c r="K533" s="19"/>
      <c r="L533" s="20">
        <v>0</v>
      </c>
      <c r="M533" s="21">
        <v>0</v>
      </c>
      <c r="N533" s="22">
        <v>0</v>
      </c>
      <c r="O533" s="22">
        <v>0</v>
      </c>
      <c r="P533" s="20">
        <v>0</v>
      </c>
      <c r="Q533" s="23">
        <v>0</v>
      </c>
      <c r="R533" s="20">
        <v>0</v>
      </c>
      <c r="S533" s="20">
        <v>0</v>
      </c>
      <c r="T533" s="18">
        <v>0</v>
      </c>
      <c r="U533" s="24"/>
      <c r="V533" s="25">
        <v>0</v>
      </c>
    </row>
    <row r="534" spans="1:22" ht="26.25">
      <c r="A534" s="67">
        <v>1381</v>
      </c>
      <c r="B534" s="15"/>
      <c r="C534" s="16">
        <v>564</v>
      </c>
      <c r="D534" s="16">
        <v>564</v>
      </c>
      <c r="E534" s="16" t="s">
        <v>3505</v>
      </c>
      <c r="F534" s="17" t="s">
        <v>24</v>
      </c>
      <c r="G534" s="18">
        <v>1</v>
      </c>
      <c r="H534" s="19">
        <v>1</v>
      </c>
      <c r="I534" s="19"/>
      <c r="J534" s="19">
        <v>1200</v>
      </c>
      <c r="K534" s="19"/>
      <c r="L534" s="20">
        <v>1</v>
      </c>
      <c r="M534" s="21">
        <v>1</v>
      </c>
      <c r="N534" s="22">
        <v>1</v>
      </c>
      <c r="O534" s="22">
        <v>0</v>
      </c>
      <c r="P534" s="20">
        <v>0</v>
      </c>
      <c r="Q534" s="23">
        <v>1200</v>
      </c>
      <c r="R534" s="20">
        <v>1200</v>
      </c>
      <c r="S534" s="20">
        <v>1200</v>
      </c>
      <c r="T534" s="18">
        <v>1200</v>
      </c>
      <c r="U534" s="24"/>
      <c r="V534" s="25">
        <v>0</v>
      </c>
    </row>
    <row r="535" spans="1:22" ht="26.25">
      <c r="A535" s="66">
        <v>1164</v>
      </c>
      <c r="B535" s="15"/>
      <c r="C535" s="16">
        <v>565</v>
      </c>
      <c r="D535" s="16">
        <v>565</v>
      </c>
      <c r="E535" s="16" t="s">
        <v>3506</v>
      </c>
      <c r="F535" s="17" t="s">
        <v>1185</v>
      </c>
      <c r="G535" s="18">
        <v>12</v>
      </c>
      <c r="H535" s="19">
        <v>7</v>
      </c>
      <c r="I535" s="19">
        <v>1</v>
      </c>
      <c r="J535" s="19"/>
      <c r="K535" s="19"/>
      <c r="L535" s="20">
        <v>19</v>
      </c>
      <c r="M535" s="21">
        <v>1.5833333333333333</v>
      </c>
      <c r="N535" s="22">
        <v>6.9999999999999991</v>
      </c>
      <c r="O535" s="22">
        <v>1</v>
      </c>
      <c r="P535" s="20">
        <v>0</v>
      </c>
      <c r="Q535" s="23">
        <v>0</v>
      </c>
      <c r="R535" s="20">
        <v>0</v>
      </c>
      <c r="S535" s="20">
        <v>0</v>
      </c>
      <c r="T535" s="18">
        <v>0</v>
      </c>
      <c r="U535" s="24"/>
      <c r="V535" s="25">
        <v>0</v>
      </c>
    </row>
    <row r="536" spans="1:22" ht="26.25">
      <c r="A536" s="66">
        <v>936</v>
      </c>
      <c r="B536" s="15"/>
      <c r="C536" s="16">
        <v>566</v>
      </c>
      <c r="D536" s="16">
        <v>566</v>
      </c>
      <c r="E536" s="16" t="s">
        <v>3507</v>
      </c>
      <c r="F536" s="17" t="s">
        <v>1185</v>
      </c>
      <c r="G536" s="18">
        <v>12</v>
      </c>
      <c r="H536" s="19">
        <v>8</v>
      </c>
      <c r="I536" s="19">
        <v>3</v>
      </c>
      <c r="J536" s="19"/>
      <c r="K536" s="19"/>
      <c r="L536" s="20">
        <v>44</v>
      </c>
      <c r="M536" s="21">
        <v>3.6666666666666665</v>
      </c>
      <c r="N536" s="22">
        <v>7.9999999999999982</v>
      </c>
      <c r="O536" s="22">
        <v>3</v>
      </c>
      <c r="P536" s="20">
        <v>0</v>
      </c>
      <c r="Q536" s="23">
        <v>0</v>
      </c>
      <c r="R536" s="20">
        <v>0</v>
      </c>
      <c r="S536" s="20">
        <v>0</v>
      </c>
      <c r="T536" s="18">
        <v>0</v>
      </c>
      <c r="U536" s="24"/>
      <c r="V536" s="25">
        <v>0</v>
      </c>
    </row>
    <row r="537" spans="1:22" ht="26.25">
      <c r="A537" s="67">
        <v>880</v>
      </c>
      <c r="B537" s="15"/>
      <c r="C537" s="16">
        <v>567</v>
      </c>
      <c r="D537" s="16">
        <v>567</v>
      </c>
      <c r="E537" s="16" t="s">
        <v>3508</v>
      </c>
      <c r="F537" s="17" t="s">
        <v>1185</v>
      </c>
      <c r="G537" s="18">
        <v>12</v>
      </c>
      <c r="H537" s="19"/>
      <c r="I537" s="19">
        <v>6</v>
      </c>
      <c r="J537" s="19"/>
      <c r="K537" s="19"/>
      <c r="L537" s="20">
        <v>72</v>
      </c>
      <c r="M537" s="21">
        <v>6</v>
      </c>
      <c r="N537" s="22">
        <v>0</v>
      </c>
      <c r="O537" s="22">
        <v>6</v>
      </c>
      <c r="P537" s="20">
        <v>0</v>
      </c>
      <c r="Q537" s="23">
        <v>0</v>
      </c>
      <c r="R537" s="20">
        <v>0</v>
      </c>
      <c r="S537" s="20">
        <v>0</v>
      </c>
      <c r="T537" s="18">
        <v>0</v>
      </c>
      <c r="U537" s="24"/>
      <c r="V537" s="25">
        <v>0</v>
      </c>
    </row>
    <row r="538" spans="1:22" ht="26.25">
      <c r="A538" s="67">
        <v>880</v>
      </c>
      <c r="B538" s="15"/>
      <c r="C538" s="16">
        <v>568</v>
      </c>
      <c r="D538" s="16">
        <v>568</v>
      </c>
      <c r="E538" s="16" t="s">
        <v>3509</v>
      </c>
      <c r="F538" s="17" t="s">
        <v>1185</v>
      </c>
      <c r="G538" s="18">
        <v>12</v>
      </c>
      <c r="H538" s="19">
        <v>10</v>
      </c>
      <c r="I538" s="19">
        <v>8</v>
      </c>
      <c r="J538" s="19"/>
      <c r="K538" s="19"/>
      <c r="L538" s="20">
        <v>106</v>
      </c>
      <c r="M538" s="21">
        <v>8.8333333333333339</v>
      </c>
      <c r="N538" s="22">
        <v>10.000000000000007</v>
      </c>
      <c r="O538" s="22">
        <v>8</v>
      </c>
      <c r="P538" s="20">
        <v>0</v>
      </c>
      <c r="Q538" s="23">
        <v>0</v>
      </c>
      <c r="R538" s="20">
        <v>0</v>
      </c>
      <c r="S538" s="20">
        <v>0</v>
      </c>
      <c r="T538" s="18">
        <v>0</v>
      </c>
      <c r="U538" s="24"/>
      <c r="V538" s="25">
        <v>0</v>
      </c>
    </row>
    <row r="539" spans="1:22" ht="26.25">
      <c r="A539" s="66">
        <v>894</v>
      </c>
      <c r="B539" s="15"/>
      <c r="C539" s="68">
        <v>569</v>
      </c>
      <c r="D539" s="68">
        <v>569</v>
      </c>
      <c r="E539" s="68" t="s">
        <v>3510</v>
      </c>
      <c r="F539" s="73" t="s">
        <v>1185</v>
      </c>
      <c r="G539" s="74">
        <v>12</v>
      </c>
      <c r="H539" s="72"/>
      <c r="I539" s="72" t="s">
        <v>3511</v>
      </c>
      <c r="J539" s="19"/>
      <c r="K539" s="19"/>
      <c r="L539" s="20" t="e">
        <v>#VALUE!</v>
      </c>
      <c r="M539" s="21" t="s">
        <v>3105</v>
      </c>
      <c r="N539" s="22" t="s">
        <v>3105</v>
      </c>
      <c r="O539" s="22" t="s">
        <v>3105</v>
      </c>
      <c r="P539" s="20">
        <v>0</v>
      </c>
      <c r="Q539" s="23">
        <v>0</v>
      </c>
      <c r="R539" s="20">
        <v>0</v>
      </c>
      <c r="S539" s="20">
        <v>0</v>
      </c>
      <c r="T539" s="18" t="s">
        <v>3105</v>
      </c>
      <c r="U539" s="24" t="s">
        <v>3512</v>
      </c>
      <c r="V539" s="25">
        <v>0</v>
      </c>
    </row>
    <row r="540" spans="1:22" ht="26.25">
      <c r="A540" s="67">
        <v>1105</v>
      </c>
      <c r="B540" s="15"/>
      <c r="C540" s="16">
        <v>570</v>
      </c>
      <c r="D540" s="16">
        <v>570</v>
      </c>
      <c r="E540" s="16" t="s">
        <v>3513</v>
      </c>
      <c r="F540" s="17" t="s">
        <v>1185</v>
      </c>
      <c r="G540" s="18">
        <v>12</v>
      </c>
      <c r="H540" s="19">
        <v>9</v>
      </c>
      <c r="I540" s="19">
        <v>1</v>
      </c>
      <c r="J540" s="19"/>
      <c r="K540" s="19"/>
      <c r="L540" s="20">
        <v>21</v>
      </c>
      <c r="M540" s="21">
        <v>1.75</v>
      </c>
      <c r="N540" s="22">
        <v>9</v>
      </c>
      <c r="O540" s="22">
        <v>1</v>
      </c>
      <c r="P540" s="20">
        <v>0</v>
      </c>
      <c r="Q540" s="23">
        <v>0</v>
      </c>
      <c r="R540" s="20">
        <v>0</v>
      </c>
      <c r="S540" s="20">
        <v>0</v>
      </c>
      <c r="T540" s="18">
        <v>0</v>
      </c>
      <c r="U540" s="24"/>
      <c r="V540" s="25">
        <v>0</v>
      </c>
    </row>
    <row r="541" spans="1:22" ht="26.25">
      <c r="A541" s="66">
        <v>966</v>
      </c>
      <c r="B541" s="15"/>
      <c r="C541" s="16">
        <v>571</v>
      </c>
      <c r="D541" s="16">
        <v>571</v>
      </c>
      <c r="E541" s="16" t="s">
        <v>3514</v>
      </c>
      <c r="F541" s="17" t="s">
        <v>1185</v>
      </c>
      <c r="G541" s="18">
        <v>12</v>
      </c>
      <c r="H541" s="19"/>
      <c r="I541" s="19">
        <v>3</v>
      </c>
      <c r="J541" s="19"/>
      <c r="K541" s="19"/>
      <c r="L541" s="20">
        <v>36</v>
      </c>
      <c r="M541" s="21">
        <v>3</v>
      </c>
      <c r="N541" s="22">
        <v>0</v>
      </c>
      <c r="O541" s="22">
        <v>3</v>
      </c>
      <c r="P541" s="20">
        <v>0</v>
      </c>
      <c r="Q541" s="23">
        <v>0</v>
      </c>
      <c r="R541" s="20">
        <v>0</v>
      </c>
      <c r="S541" s="20">
        <v>0</v>
      </c>
      <c r="T541" s="18">
        <v>0</v>
      </c>
      <c r="U541" s="24"/>
      <c r="V541" s="25">
        <v>0</v>
      </c>
    </row>
    <row r="542" spans="1:22" ht="26.25">
      <c r="A542" s="66">
        <v>926</v>
      </c>
      <c r="B542" s="15"/>
      <c r="C542" s="16">
        <v>572</v>
      </c>
      <c r="D542" s="16">
        <v>572</v>
      </c>
      <c r="E542" s="16" t="s">
        <v>3515</v>
      </c>
      <c r="F542" s="17" t="s">
        <v>1185</v>
      </c>
      <c r="G542" s="18">
        <v>12</v>
      </c>
      <c r="H542" s="19"/>
      <c r="I542" s="19">
        <v>5</v>
      </c>
      <c r="J542" s="19"/>
      <c r="K542" s="19"/>
      <c r="L542" s="20">
        <v>60</v>
      </c>
      <c r="M542" s="21">
        <v>5</v>
      </c>
      <c r="N542" s="22">
        <v>0</v>
      </c>
      <c r="O542" s="22">
        <v>5</v>
      </c>
      <c r="P542" s="20">
        <v>0</v>
      </c>
      <c r="Q542" s="23">
        <v>0</v>
      </c>
      <c r="R542" s="20">
        <v>0</v>
      </c>
      <c r="S542" s="20">
        <v>0</v>
      </c>
      <c r="T542" s="18">
        <v>0</v>
      </c>
      <c r="U542" s="24"/>
      <c r="V542" s="25">
        <v>0</v>
      </c>
    </row>
    <row r="543" spans="1:22" ht="26.25">
      <c r="A543" s="66">
        <v>882</v>
      </c>
      <c r="B543" s="15"/>
      <c r="C543" s="16">
        <v>573</v>
      </c>
      <c r="D543" s="16">
        <v>573</v>
      </c>
      <c r="E543" s="16" t="s">
        <v>3516</v>
      </c>
      <c r="F543" s="17" t="s">
        <v>1185</v>
      </c>
      <c r="G543" s="18">
        <v>12</v>
      </c>
      <c r="H543" s="19"/>
      <c r="I543" s="19">
        <v>1</v>
      </c>
      <c r="J543" s="19"/>
      <c r="K543" s="19"/>
      <c r="L543" s="20">
        <v>12</v>
      </c>
      <c r="M543" s="21">
        <v>1</v>
      </c>
      <c r="N543" s="22">
        <v>0</v>
      </c>
      <c r="O543" s="22">
        <v>1</v>
      </c>
      <c r="P543" s="20">
        <v>0</v>
      </c>
      <c r="Q543" s="23">
        <v>0</v>
      </c>
      <c r="R543" s="20">
        <v>0</v>
      </c>
      <c r="S543" s="20">
        <v>0</v>
      </c>
      <c r="T543" s="18">
        <v>0</v>
      </c>
      <c r="U543" s="24"/>
      <c r="V543" s="25">
        <v>0</v>
      </c>
    </row>
    <row r="544" spans="1:22" ht="26.25">
      <c r="A544" s="66">
        <v>914</v>
      </c>
      <c r="B544" s="15"/>
      <c r="C544" s="16">
        <v>574</v>
      </c>
      <c r="D544" s="16">
        <v>574</v>
      </c>
      <c r="E544" s="16" t="s">
        <v>3517</v>
      </c>
      <c r="F544" s="17" t="s">
        <v>1185</v>
      </c>
      <c r="G544" s="18">
        <v>12</v>
      </c>
      <c r="H544" s="19">
        <v>11</v>
      </c>
      <c r="I544" s="19">
        <v>1</v>
      </c>
      <c r="J544" s="19"/>
      <c r="K544" s="19"/>
      <c r="L544" s="20">
        <v>23</v>
      </c>
      <c r="M544" s="21">
        <v>1.9166666666666667</v>
      </c>
      <c r="N544" s="22">
        <v>11</v>
      </c>
      <c r="O544" s="22">
        <v>1</v>
      </c>
      <c r="P544" s="20">
        <v>0</v>
      </c>
      <c r="Q544" s="23">
        <v>0</v>
      </c>
      <c r="R544" s="20">
        <v>0</v>
      </c>
      <c r="S544" s="20">
        <v>0</v>
      </c>
      <c r="T544" s="18">
        <v>0</v>
      </c>
      <c r="U544" s="24"/>
      <c r="V544" s="25">
        <v>0</v>
      </c>
    </row>
    <row r="545" spans="1:22" ht="26.25">
      <c r="A545" s="67">
        <v>904</v>
      </c>
      <c r="B545" s="15"/>
      <c r="C545" s="16">
        <v>575</v>
      </c>
      <c r="D545" s="16">
        <v>575</v>
      </c>
      <c r="E545" s="16" t="s">
        <v>3518</v>
      </c>
      <c r="F545" s="17" t="s">
        <v>1183</v>
      </c>
      <c r="G545" s="18">
        <v>12</v>
      </c>
      <c r="H545" s="19"/>
      <c r="I545" s="19">
        <v>7</v>
      </c>
      <c r="J545" s="19"/>
      <c r="K545" s="19"/>
      <c r="L545" s="20">
        <v>84</v>
      </c>
      <c r="M545" s="21">
        <v>7</v>
      </c>
      <c r="N545" s="22">
        <v>0</v>
      </c>
      <c r="O545" s="22">
        <v>7</v>
      </c>
      <c r="P545" s="20">
        <v>0</v>
      </c>
      <c r="Q545" s="23">
        <v>0</v>
      </c>
      <c r="R545" s="20">
        <v>0</v>
      </c>
      <c r="S545" s="20">
        <v>0</v>
      </c>
      <c r="T545" s="18">
        <v>0</v>
      </c>
      <c r="U545" s="24"/>
      <c r="V545" s="25">
        <v>0</v>
      </c>
    </row>
    <row r="546" spans="1:22" ht="26.25">
      <c r="A546" s="66">
        <v>942</v>
      </c>
      <c r="B546" s="15"/>
      <c r="C546" s="16">
        <v>576</v>
      </c>
      <c r="D546" s="16">
        <v>576</v>
      </c>
      <c r="E546" s="16" t="s">
        <v>3519</v>
      </c>
      <c r="F546" s="17" t="s">
        <v>1185</v>
      </c>
      <c r="G546" s="18">
        <v>12</v>
      </c>
      <c r="H546" s="19"/>
      <c r="I546" s="19">
        <v>4</v>
      </c>
      <c r="J546" s="19"/>
      <c r="K546" s="19"/>
      <c r="L546" s="20">
        <v>48</v>
      </c>
      <c r="M546" s="21">
        <v>4</v>
      </c>
      <c r="N546" s="22">
        <v>0</v>
      </c>
      <c r="O546" s="22">
        <v>4</v>
      </c>
      <c r="P546" s="20">
        <v>0</v>
      </c>
      <c r="Q546" s="23">
        <v>0</v>
      </c>
      <c r="R546" s="20">
        <v>0</v>
      </c>
      <c r="S546" s="20">
        <v>0</v>
      </c>
      <c r="T546" s="18">
        <v>0</v>
      </c>
      <c r="U546" s="24"/>
      <c r="V546" s="25">
        <v>0</v>
      </c>
    </row>
    <row r="547" spans="1:22" ht="26.25">
      <c r="A547" s="66">
        <v>914</v>
      </c>
      <c r="B547" s="15"/>
      <c r="C547" s="16">
        <v>577</v>
      </c>
      <c r="D547" s="16">
        <v>577</v>
      </c>
      <c r="E547" s="16" t="s">
        <v>3520</v>
      </c>
      <c r="F547" s="17" t="s">
        <v>1185</v>
      </c>
      <c r="G547" s="18">
        <v>10</v>
      </c>
      <c r="H547" s="19"/>
      <c r="I547" s="19">
        <v>5</v>
      </c>
      <c r="J547" s="19"/>
      <c r="K547" s="19"/>
      <c r="L547" s="20">
        <v>50</v>
      </c>
      <c r="M547" s="21">
        <v>5</v>
      </c>
      <c r="N547" s="22">
        <v>0</v>
      </c>
      <c r="O547" s="22">
        <v>5</v>
      </c>
      <c r="P547" s="20">
        <v>0</v>
      </c>
      <c r="Q547" s="23">
        <v>0</v>
      </c>
      <c r="R547" s="20">
        <v>0</v>
      </c>
      <c r="S547" s="20">
        <v>0</v>
      </c>
      <c r="T547" s="18">
        <v>0</v>
      </c>
      <c r="U547" s="24"/>
      <c r="V547" s="25">
        <v>0</v>
      </c>
    </row>
    <row r="548" spans="1:22" ht="26.25">
      <c r="A548" s="66">
        <v>1107</v>
      </c>
      <c r="B548" s="15"/>
      <c r="C548" s="16">
        <v>578</v>
      </c>
      <c r="D548" s="16">
        <v>578</v>
      </c>
      <c r="E548" s="16" t="s">
        <v>3521</v>
      </c>
      <c r="F548" s="17" t="s">
        <v>1185</v>
      </c>
      <c r="G548" s="18">
        <v>12</v>
      </c>
      <c r="H548" s="19"/>
      <c r="I548" s="19">
        <v>5</v>
      </c>
      <c r="J548" s="19"/>
      <c r="K548" s="19"/>
      <c r="L548" s="20">
        <v>60</v>
      </c>
      <c r="M548" s="21">
        <v>5</v>
      </c>
      <c r="N548" s="22">
        <v>0</v>
      </c>
      <c r="O548" s="22">
        <v>5</v>
      </c>
      <c r="P548" s="20">
        <v>0</v>
      </c>
      <c r="Q548" s="23">
        <v>0</v>
      </c>
      <c r="R548" s="20">
        <v>0</v>
      </c>
      <c r="S548" s="20">
        <v>0</v>
      </c>
      <c r="T548" s="18">
        <v>0</v>
      </c>
      <c r="U548" s="24"/>
      <c r="V548" s="25">
        <v>0</v>
      </c>
    </row>
    <row r="549" spans="1:22" ht="26.25">
      <c r="A549" s="66">
        <v>906</v>
      </c>
      <c r="B549" s="15"/>
      <c r="C549" s="16">
        <v>579</v>
      </c>
      <c r="D549" s="16">
        <v>579</v>
      </c>
      <c r="E549" s="16" t="s">
        <v>3522</v>
      </c>
      <c r="F549" s="17" t="s">
        <v>1185</v>
      </c>
      <c r="G549" s="18">
        <v>12</v>
      </c>
      <c r="H549" s="19"/>
      <c r="I549" s="19">
        <v>11</v>
      </c>
      <c r="J549" s="19"/>
      <c r="K549" s="19"/>
      <c r="L549" s="20">
        <v>132</v>
      </c>
      <c r="M549" s="21">
        <v>11</v>
      </c>
      <c r="N549" s="22">
        <v>0</v>
      </c>
      <c r="O549" s="22">
        <v>11</v>
      </c>
      <c r="P549" s="20">
        <v>0</v>
      </c>
      <c r="Q549" s="23">
        <v>0</v>
      </c>
      <c r="R549" s="20">
        <v>0</v>
      </c>
      <c r="S549" s="20">
        <v>0</v>
      </c>
      <c r="T549" s="18">
        <v>0</v>
      </c>
      <c r="U549" s="24"/>
      <c r="V549" s="25">
        <v>0</v>
      </c>
    </row>
    <row r="550" spans="1:22" ht="26.25">
      <c r="A550" s="67">
        <v>889</v>
      </c>
      <c r="B550" s="15"/>
      <c r="C550" s="16">
        <v>580</v>
      </c>
      <c r="D550" s="16">
        <v>580</v>
      </c>
      <c r="E550" s="16" t="s">
        <v>3523</v>
      </c>
      <c r="F550" s="17" t="s">
        <v>1185</v>
      </c>
      <c r="G550" s="18">
        <v>12</v>
      </c>
      <c r="H550" s="19"/>
      <c r="I550" s="19">
        <v>10</v>
      </c>
      <c r="J550" s="19"/>
      <c r="K550" s="19"/>
      <c r="L550" s="20">
        <v>120</v>
      </c>
      <c r="M550" s="21">
        <v>10</v>
      </c>
      <c r="N550" s="22">
        <v>0</v>
      </c>
      <c r="O550" s="22">
        <v>10</v>
      </c>
      <c r="P550" s="20">
        <v>0</v>
      </c>
      <c r="Q550" s="23">
        <v>0</v>
      </c>
      <c r="R550" s="20">
        <v>0</v>
      </c>
      <c r="S550" s="20">
        <v>0</v>
      </c>
      <c r="T550" s="18">
        <v>0</v>
      </c>
      <c r="U550" s="24"/>
      <c r="V550" s="25">
        <v>0</v>
      </c>
    </row>
    <row r="551" spans="1:22" ht="26.25">
      <c r="A551" s="67">
        <v>910</v>
      </c>
      <c r="B551" s="15"/>
      <c r="C551" s="68">
        <v>581</v>
      </c>
      <c r="D551" s="68">
        <v>581</v>
      </c>
      <c r="E551" s="68" t="s">
        <v>3524</v>
      </c>
      <c r="F551" s="73" t="s">
        <v>1185</v>
      </c>
      <c r="G551" s="74">
        <v>12</v>
      </c>
      <c r="H551" s="72"/>
      <c r="I551" s="72" t="s">
        <v>3525</v>
      </c>
      <c r="J551" s="19"/>
      <c r="K551" s="19"/>
      <c r="L551" s="20" t="e">
        <v>#VALUE!</v>
      </c>
      <c r="M551" s="21" t="s">
        <v>3105</v>
      </c>
      <c r="N551" s="22" t="s">
        <v>3105</v>
      </c>
      <c r="O551" s="22" t="s">
        <v>3105</v>
      </c>
      <c r="P551" s="20">
        <v>0</v>
      </c>
      <c r="Q551" s="23">
        <v>0</v>
      </c>
      <c r="R551" s="20">
        <v>0</v>
      </c>
      <c r="S551" s="20">
        <v>0</v>
      </c>
      <c r="T551" s="18" t="s">
        <v>3105</v>
      </c>
      <c r="U551" s="24"/>
      <c r="V551" s="25">
        <v>0</v>
      </c>
    </row>
    <row r="552" spans="1:22" ht="26.25">
      <c r="A552" s="66">
        <v>911</v>
      </c>
      <c r="B552" s="15"/>
      <c r="C552" s="68">
        <v>581</v>
      </c>
      <c r="D552" s="68">
        <v>581</v>
      </c>
      <c r="E552" s="68" t="s">
        <v>3524</v>
      </c>
      <c r="F552" s="73" t="s">
        <v>24</v>
      </c>
      <c r="G552" s="74">
        <v>1</v>
      </c>
      <c r="H552" s="72" t="s">
        <v>3525</v>
      </c>
      <c r="I552" s="72"/>
      <c r="J552" s="19"/>
      <c r="K552" s="19"/>
      <c r="L552" s="20" t="e">
        <v>#VALUE!</v>
      </c>
      <c r="M552" s="21" t="s">
        <v>3105</v>
      </c>
      <c r="N552" s="22" t="e">
        <v>#VALUE!</v>
      </c>
      <c r="O552" s="22">
        <v>0</v>
      </c>
      <c r="P552" s="20">
        <v>0</v>
      </c>
      <c r="Q552" s="23">
        <v>0</v>
      </c>
      <c r="R552" s="20">
        <v>0</v>
      </c>
      <c r="S552" s="20">
        <v>0</v>
      </c>
      <c r="T552" s="18" t="s">
        <v>3105</v>
      </c>
      <c r="U552" s="24"/>
      <c r="V552" s="25">
        <v>0</v>
      </c>
    </row>
    <row r="553" spans="1:22" ht="26.25">
      <c r="A553" s="66">
        <v>912</v>
      </c>
      <c r="B553" s="15"/>
      <c r="C553" s="16">
        <v>582</v>
      </c>
      <c r="D553" s="16">
        <v>582</v>
      </c>
      <c r="E553" s="16" t="s">
        <v>3526</v>
      </c>
      <c r="F553" s="17" t="s">
        <v>1185</v>
      </c>
      <c r="G553" s="18">
        <v>12</v>
      </c>
      <c r="H553" s="19"/>
      <c r="I553" s="19">
        <v>9</v>
      </c>
      <c r="J553" s="19"/>
      <c r="K553" s="19"/>
      <c r="L553" s="20">
        <v>108</v>
      </c>
      <c r="M553" s="21">
        <v>9</v>
      </c>
      <c r="N553" s="22">
        <v>0</v>
      </c>
      <c r="O553" s="22">
        <v>9</v>
      </c>
      <c r="P553" s="20">
        <v>0</v>
      </c>
      <c r="Q553" s="23">
        <v>0</v>
      </c>
      <c r="R553" s="20">
        <v>0</v>
      </c>
      <c r="S553" s="20">
        <v>0</v>
      </c>
      <c r="T553" s="18">
        <v>0</v>
      </c>
      <c r="U553" s="24"/>
      <c r="V553" s="25">
        <v>0</v>
      </c>
    </row>
    <row r="554" spans="1:22" ht="26.25">
      <c r="A554" s="67">
        <v>958</v>
      </c>
      <c r="B554" s="15"/>
      <c r="C554" s="16">
        <v>583</v>
      </c>
      <c r="D554" s="16">
        <v>583</v>
      </c>
      <c r="E554" s="16" t="s">
        <v>3527</v>
      </c>
      <c r="F554" s="17" t="s">
        <v>1185</v>
      </c>
      <c r="G554" s="18">
        <v>12</v>
      </c>
      <c r="H554" s="19"/>
      <c r="I554" s="19">
        <v>8</v>
      </c>
      <c r="J554" s="19"/>
      <c r="K554" s="19"/>
      <c r="L554" s="20">
        <v>96</v>
      </c>
      <c r="M554" s="21">
        <v>8</v>
      </c>
      <c r="N554" s="22">
        <v>0</v>
      </c>
      <c r="O554" s="22">
        <v>8</v>
      </c>
      <c r="P554" s="20">
        <v>0</v>
      </c>
      <c r="Q554" s="23">
        <v>0</v>
      </c>
      <c r="R554" s="20">
        <v>0</v>
      </c>
      <c r="S554" s="20">
        <v>0</v>
      </c>
      <c r="T554" s="18">
        <v>0</v>
      </c>
      <c r="U554" s="24"/>
      <c r="V554" s="25">
        <v>0</v>
      </c>
    </row>
    <row r="555" spans="1:22" ht="26.25">
      <c r="A555" s="66">
        <v>947</v>
      </c>
      <c r="B555" s="15"/>
      <c r="C555" s="16">
        <v>584</v>
      </c>
      <c r="D555" s="16">
        <v>584</v>
      </c>
      <c r="E555" s="16" t="s">
        <v>3528</v>
      </c>
      <c r="F555" s="17" t="s">
        <v>1185</v>
      </c>
      <c r="G555" s="18">
        <v>10</v>
      </c>
      <c r="H555" s="19"/>
      <c r="I555" s="19">
        <v>1</v>
      </c>
      <c r="J555" s="19"/>
      <c r="K555" s="19"/>
      <c r="L555" s="20">
        <v>10</v>
      </c>
      <c r="M555" s="21">
        <v>1</v>
      </c>
      <c r="N555" s="22">
        <v>0</v>
      </c>
      <c r="O555" s="22">
        <v>1</v>
      </c>
      <c r="P555" s="20">
        <v>0</v>
      </c>
      <c r="Q555" s="23">
        <v>0</v>
      </c>
      <c r="R555" s="20">
        <v>0</v>
      </c>
      <c r="S555" s="20">
        <v>0</v>
      </c>
      <c r="T555" s="18">
        <v>0</v>
      </c>
      <c r="U555" s="24"/>
      <c r="V555" s="25">
        <v>0</v>
      </c>
    </row>
    <row r="556" spans="1:22" ht="26.25">
      <c r="A556" s="67">
        <v>940</v>
      </c>
      <c r="B556" s="15"/>
      <c r="C556" s="16">
        <v>585</v>
      </c>
      <c r="D556" s="16">
        <v>585</v>
      </c>
      <c r="E556" s="16" t="s">
        <v>3529</v>
      </c>
      <c r="F556" s="17" t="s">
        <v>1185</v>
      </c>
      <c r="G556" s="18">
        <v>12</v>
      </c>
      <c r="H556" s="19"/>
      <c r="I556" s="19">
        <v>1</v>
      </c>
      <c r="J556" s="19"/>
      <c r="K556" s="19"/>
      <c r="L556" s="20">
        <v>12</v>
      </c>
      <c r="M556" s="21">
        <v>1</v>
      </c>
      <c r="N556" s="22">
        <v>0</v>
      </c>
      <c r="O556" s="22">
        <v>1</v>
      </c>
      <c r="P556" s="20">
        <v>0</v>
      </c>
      <c r="Q556" s="23">
        <v>0</v>
      </c>
      <c r="R556" s="20">
        <v>0</v>
      </c>
      <c r="S556" s="20">
        <v>0</v>
      </c>
      <c r="T556" s="18">
        <v>0</v>
      </c>
      <c r="U556" s="24"/>
      <c r="V556" s="25">
        <v>0</v>
      </c>
    </row>
    <row r="557" spans="1:22" ht="26.25">
      <c r="A557" s="66">
        <v>1077</v>
      </c>
      <c r="B557" s="15"/>
      <c r="C557" s="16">
        <v>586</v>
      </c>
      <c r="D557" s="16">
        <v>586</v>
      </c>
      <c r="E557" s="16" t="s">
        <v>3530</v>
      </c>
      <c r="F557" s="17" t="s">
        <v>1185</v>
      </c>
      <c r="G557" s="18">
        <v>12</v>
      </c>
      <c r="H557" s="19"/>
      <c r="I557" s="19">
        <v>1</v>
      </c>
      <c r="J557" s="19"/>
      <c r="K557" s="19"/>
      <c r="L557" s="20">
        <v>12</v>
      </c>
      <c r="M557" s="21">
        <v>1</v>
      </c>
      <c r="N557" s="22">
        <v>0</v>
      </c>
      <c r="O557" s="22">
        <v>1</v>
      </c>
      <c r="P557" s="20">
        <v>0</v>
      </c>
      <c r="Q557" s="23">
        <v>0</v>
      </c>
      <c r="R557" s="20">
        <v>0</v>
      </c>
      <c r="S557" s="20">
        <v>0</v>
      </c>
      <c r="T557" s="18">
        <v>0</v>
      </c>
      <c r="U557" s="24"/>
      <c r="V557" s="25">
        <v>0</v>
      </c>
    </row>
    <row r="558" spans="1:22" ht="26.25">
      <c r="A558" s="66">
        <v>938</v>
      </c>
      <c r="B558" s="15"/>
      <c r="C558" s="16">
        <v>587</v>
      </c>
      <c r="D558" s="16">
        <v>587</v>
      </c>
      <c r="E558" s="16" t="s">
        <v>3531</v>
      </c>
      <c r="F558" s="17" t="s">
        <v>1185</v>
      </c>
      <c r="G558" s="18">
        <v>12</v>
      </c>
      <c r="H558" s="19"/>
      <c r="I558" s="19">
        <v>2</v>
      </c>
      <c r="J558" s="19"/>
      <c r="K558" s="19"/>
      <c r="L558" s="20">
        <v>24</v>
      </c>
      <c r="M558" s="21">
        <v>2</v>
      </c>
      <c r="N558" s="22">
        <v>0</v>
      </c>
      <c r="O558" s="22">
        <v>2</v>
      </c>
      <c r="P558" s="20">
        <v>0</v>
      </c>
      <c r="Q558" s="23">
        <v>0</v>
      </c>
      <c r="R558" s="20">
        <v>0</v>
      </c>
      <c r="S558" s="20">
        <v>0</v>
      </c>
      <c r="T558" s="18">
        <v>0</v>
      </c>
      <c r="U558" s="24"/>
      <c r="V558" s="25">
        <v>0</v>
      </c>
    </row>
    <row r="559" spans="1:22" ht="26.25">
      <c r="A559" s="67">
        <v>850</v>
      </c>
      <c r="B559" s="15"/>
      <c r="C559" s="16">
        <v>588</v>
      </c>
      <c r="D559" s="16">
        <v>588</v>
      </c>
      <c r="E559" s="16" t="s">
        <v>3532</v>
      </c>
      <c r="F559" s="17" t="s">
        <v>1185</v>
      </c>
      <c r="G559" s="18">
        <v>12</v>
      </c>
      <c r="H559" s="19"/>
      <c r="I559" s="19">
        <v>1</v>
      </c>
      <c r="J559" s="19"/>
      <c r="K559" s="19"/>
      <c r="L559" s="20">
        <v>12</v>
      </c>
      <c r="M559" s="21">
        <v>1</v>
      </c>
      <c r="N559" s="22">
        <v>0</v>
      </c>
      <c r="O559" s="22">
        <v>1</v>
      </c>
      <c r="P559" s="20">
        <v>0</v>
      </c>
      <c r="Q559" s="23">
        <v>0</v>
      </c>
      <c r="R559" s="20">
        <v>0</v>
      </c>
      <c r="S559" s="20">
        <v>0</v>
      </c>
      <c r="T559" s="18">
        <v>0</v>
      </c>
      <c r="U559" s="24"/>
      <c r="V559" s="25">
        <v>0</v>
      </c>
    </row>
    <row r="560" spans="1:22" ht="26.25">
      <c r="A560" s="67">
        <v>916</v>
      </c>
      <c r="B560" s="15"/>
      <c r="C560" s="16">
        <v>589</v>
      </c>
      <c r="D560" s="16">
        <v>589</v>
      </c>
      <c r="E560" s="16" t="s">
        <v>3533</v>
      </c>
      <c r="F560" s="17" t="s">
        <v>1185</v>
      </c>
      <c r="G560" s="18">
        <v>10</v>
      </c>
      <c r="H560" s="19"/>
      <c r="I560" s="19">
        <v>1</v>
      </c>
      <c r="J560" s="19"/>
      <c r="K560" s="19"/>
      <c r="L560" s="20">
        <v>10</v>
      </c>
      <c r="M560" s="21">
        <v>1</v>
      </c>
      <c r="N560" s="22">
        <v>0</v>
      </c>
      <c r="O560" s="22">
        <v>1</v>
      </c>
      <c r="P560" s="20">
        <v>0</v>
      </c>
      <c r="Q560" s="23">
        <v>0</v>
      </c>
      <c r="R560" s="20">
        <v>0</v>
      </c>
      <c r="S560" s="20">
        <v>0</v>
      </c>
      <c r="T560" s="18">
        <v>0</v>
      </c>
      <c r="U560" s="24"/>
      <c r="V560" s="25">
        <v>0</v>
      </c>
    </row>
    <row r="561" spans="1:22" ht="26.25">
      <c r="A561" s="67">
        <v>934</v>
      </c>
      <c r="B561" s="15"/>
      <c r="C561" s="16">
        <v>590</v>
      </c>
      <c r="D561" s="16">
        <v>590</v>
      </c>
      <c r="E561" s="16" t="s">
        <v>3534</v>
      </c>
      <c r="F561" s="17" t="s">
        <v>1183</v>
      </c>
      <c r="G561" s="18">
        <v>12</v>
      </c>
      <c r="H561" s="19">
        <v>4</v>
      </c>
      <c r="I561" s="19">
        <v>6</v>
      </c>
      <c r="J561" s="19"/>
      <c r="K561" s="19"/>
      <c r="L561" s="20">
        <v>76</v>
      </c>
      <c r="M561" s="21">
        <v>6.333333333333333</v>
      </c>
      <c r="N561" s="22">
        <v>3.9999999999999964</v>
      </c>
      <c r="O561" s="22">
        <v>6</v>
      </c>
      <c r="P561" s="20">
        <v>0</v>
      </c>
      <c r="Q561" s="23">
        <v>0</v>
      </c>
      <c r="R561" s="20">
        <v>0</v>
      </c>
      <c r="S561" s="20">
        <v>0</v>
      </c>
      <c r="T561" s="18">
        <v>0</v>
      </c>
      <c r="U561" s="24"/>
      <c r="V561" s="25">
        <v>0</v>
      </c>
    </row>
    <row r="562" spans="1:22" ht="26.25">
      <c r="A562" s="67">
        <v>898</v>
      </c>
      <c r="B562" s="15"/>
      <c r="C562" s="16">
        <v>591</v>
      </c>
      <c r="D562" s="16">
        <v>591</v>
      </c>
      <c r="E562" s="16" t="s">
        <v>3535</v>
      </c>
      <c r="F562" s="17" t="s">
        <v>1272</v>
      </c>
      <c r="G562" s="18">
        <v>12</v>
      </c>
      <c r="H562" s="19"/>
      <c r="I562" s="19">
        <v>1</v>
      </c>
      <c r="J562" s="19"/>
      <c r="K562" s="19"/>
      <c r="L562" s="20">
        <v>12</v>
      </c>
      <c r="M562" s="21">
        <v>1</v>
      </c>
      <c r="N562" s="22">
        <v>0</v>
      </c>
      <c r="O562" s="22">
        <v>1</v>
      </c>
      <c r="P562" s="20">
        <v>0</v>
      </c>
      <c r="Q562" s="23">
        <v>0</v>
      </c>
      <c r="R562" s="20">
        <v>0</v>
      </c>
      <c r="S562" s="20">
        <v>0</v>
      </c>
      <c r="T562" s="18">
        <v>0</v>
      </c>
      <c r="U562" s="24"/>
      <c r="V562" s="25">
        <v>0</v>
      </c>
    </row>
    <row r="563" spans="1:22" ht="26.25">
      <c r="A563" s="67">
        <v>1093</v>
      </c>
      <c r="B563" s="15"/>
      <c r="C563" s="16">
        <v>593</v>
      </c>
      <c r="D563" s="16">
        <v>593</v>
      </c>
      <c r="E563" s="16" t="s">
        <v>3536</v>
      </c>
      <c r="F563" s="17" t="s">
        <v>1185</v>
      </c>
      <c r="G563" s="18">
        <v>12</v>
      </c>
      <c r="H563" s="19"/>
      <c r="I563" s="19">
        <v>1</v>
      </c>
      <c r="J563" s="19"/>
      <c r="K563" s="19"/>
      <c r="L563" s="20">
        <v>12</v>
      </c>
      <c r="M563" s="21">
        <v>1</v>
      </c>
      <c r="N563" s="22">
        <v>0</v>
      </c>
      <c r="O563" s="22">
        <v>1</v>
      </c>
      <c r="P563" s="20">
        <v>0</v>
      </c>
      <c r="Q563" s="23">
        <v>0</v>
      </c>
      <c r="R563" s="20">
        <v>0</v>
      </c>
      <c r="S563" s="20">
        <v>0</v>
      </c>
      <c r="T563" s="18">
        <v>0</v>
      </c>
      <c r="U563" s="24"/>
      <c r="V563" s="25">
        <v>0</v>
      </c>
    </row>
    <row r="564" spans="1:22" ht="26.25">
      <c r="A564" s="66">
        <v>992</v>
      </c>
      <c r="B564" s="15"/>
      <c r="C564" s="16">
        <v>594</v>
      </c>
      <c r="D564" s="16">
        <v>594</v>
      </c>
      <c r="E564" s="16" t="s">
        <v>3537</v>
      </c>
      <c r="F564" s="17" t="s">
        <v>1185</v>
      </c>
      <c r="G564" s="18">
        <v>12</v>
      </c>
      <c r="H564" s="19">
        <v>11</v>
      </c>
      <c r="I564" s="19"/>
      <c r="J564" s="19"/>
      <c r="K564" s="19">
        <v>420</v>
      </c>
      <c r="L564" s="20">
        <v>11</v>
      </c>
      <c r="M564" s="21">
        <v>0.91666666666666663</v>
      </c>
      <c r="N564" s="22">
        <v>11</v>
      </c>
      <c r="O564" s="22">
        <v>0</v>
      </c>
      <c r="P564" s="20">
        <v>35</v>
      </c>
      <c r="Q564" s="23">
        <v>0</v>
      </c>
      <c r="R564" s="20">
        <v>35</v>
      </c>
      <c r="S564" s="20">
        <v>420</v>
      </c>
      <c r="T564" s="18">
        <v>385</v>
      </c>
      <c r="U564" s="24"/>
      <c r="V564" s="25">
        <v>0</v>
      </c>
    </row>
    <row r="565" spans="1:22" ht="26.25">
      <c r="A565" s="66">
        <v>990</v>
      </c>
      <c r="B565" s="15"/>
      <c r="C565" s="16">
        <v>595</v>
      </c>
      <c r="D565" s="16">
        <v>595</v>
      </c>
      <c r="E565" s="16" t="s">
        <v>3538</v>
      </c>
      <c r="F565" s="17" t="s">
        <v>1185</v>
      </c>
      <c r="G565" s="18">
        <v>12</v>
      </c>
      <c r="H565" s="19"/>
      <c r="I565" s="19">
        <v>1</v>
      </c>
      <c r="J565" s="19"/>
      <c r="K565" s="19"/>
      <c r="L565" s="20">
        <v>12</v>
      </c>
      <c r="M565" s="21">
        <v>1</v>
      </c>
      <c r="N565" s="22">
        <v>0</v>
      </c>
      <c r="O565" s="22">
        <v>1</v>
      </c>
      <c r="P565" s="20">
        <v>0</v>
      </c>
      <c r="Q565" s="23">
        <v>0</v>
      </c>
      <c r="R565" s="20">
        <v>0</v>
      </c>
      <c r="S565" s="20">
        <v>0</v>
      </c>
      <c r="T565" s="18">
        <v>0</v>
      </c>
      <c r="U565" s="24"/>
      <c r="V565" s="25">
        <v>0</v>
      </c>
    </row>
    <row r="566" spans="1:22" ht="26.25">
      <c r="A566" s="66">
        <v>1083</v>
      </c>
      <c r="B566" s="15"/>
      <c r="C566" s="16">
        <v>596</v>
      </c>
      <c r="D566" s="16">
        <v>596</v>
      </c>
      <c r="E566" s="16" t="s">
        <v>3539</v>
      </c>
      <c r="F566" s="17" t="s">
        <v>1185</v>
      </c>
      <c r="G566" s="18">
        <v>12</v>
      </c>
      <c r="H566" s="19"/>
      <c r="I566" s="19">
        <v>1</v>
      </c>
      <c r="J566" s="19"/>
      <c r="K566" s="19"/>
      <c r="L566" s="20">
        <v>12</v>
      </c>
      <c r="M566" s="21">
        <v>1</v>
      </c>
      <c r="N566" s="22">
        <v>0</v>
      </c>
      <c r="O566" s="22">
        <v>1</v>
      </c>
      <c r="P566" s="20">
        <v>0</v>
      </c>
      <c r="Q566" s="23">
        <v>0</v>
      </c>
      <c r="R566" s="20">
        <v>0</v>
      </c>
      <c r="S566" s="20">
        <v>0</v>
      </c>
      <c r="T566" s="18">
        <v>0</v>
      </c>
      <c r="U566" s="24"/>
      <c r="V566" s="25">
        <v>0</v>
      </c>
    </row>
    <row r="567" spans="1:22" ht="26.25">
      <c r="A567" s="67">
        <v>922</v>
      </c>
      <c r="B567" s="15"/>
      <c r="C567" s="16">
        <v>597</v>
      </c>
      <c r="D567" s="16">
        <v>597</v>
      </c>
      <c r="E567" s="16" t="s">
        <v>3540</v>
      </c>
      <c r="F567" s="17" t="s">
        <v>1185</v>
      </c>
      <c r="G567" s="18">
        <v>12</v>
      </c>
      <c r="H567" s="19"/>
      <c r="I567" s="19">
        <v>2</v>
      </c>
      <c r="J567" s="19"/>
      <c r="K567" s="19"/>
      <c r="L567" s="20">
        <v>24</v>
      </c>
      <c r="M567" s="21">
        <v>2</v>
      </c>
      <c r="N567" s="22">
        <v>0</v>
      </c>
      <c r="O567" s="22">
        <v>2</v>
      </c>
      <c r="P567" s="20">
        <v>0</v>
      </c>
      <c r="Q567" s="23">
        <v>0</v>
      </c>
      <c r="R567" s="20">
        <v>0</v>
      </c>
      <c r="S567" s="20">
        <v>0</v>
      </c>
      <c r="T567" s="18">
        <v>0</v>
      </c>
      <c r="U567" s="24"/>
      <c r="V567" s="25">
        <v>0</v>
      </c>
    </row>
    <row r="568" spans="1:22" ht="26.25">
      <c r="A568" s="66">
        <v>888</v>
      </c>
      <c r="B568" s="15"/>
      <c r="C568" s="16">
        <v>598</v>
      </c>
      <c r="D568" s="16">
        <v>598</v>
      </c>
      <c r="E568" s="16" t="s">
        <v>3541</v>
      </c>
      <c r="F568" s="17" t="s">
        <v>1185</v>
      </c>
      <c r="G568" s="18">
        <v>12</v>
      </c>
      <c r="H568" s="19"/>
      <c r="I568" s="19">
        <v>1</v>
      </c>
      <c r="J568" s="19"/>
      <c r="K568" s="19"/>
      <c r="L568" s="20">
        <v>12</v>
      </c>
      <c r="M568" s="21">
        <v>1</v>
      </c>
      <c r="N568" s="22">
        <v>0</v>
      </c>
      <c r="O568" s="22">
        <v>1</v>
      </c>
      <c r="P568" s="20">
        <v>0</v>
      </c>
      <c r="Q568" s="23">
        <v>0</v>
      </c>
      <c r="R568" s="20">
        <v>0</v>
      </c>
      <c r="S568" s="20">
        <v>0</v>
      </c>
      <c r="T568" s="18">
        <v>0</v>
      </c>
      <c r="U568" s="24"/>
      <c r="V568" s="25">
        <v>0</v>
      </c>
    </row>
    <row r="569" spans="1:22" ht="26.25">
      <c r="A569" s="67">
        <v>1099</v>
      </c>
      <c r="B569" s="15"/>
      <c r="C569" s="16">
        <v>599</v>
      </c>
      <c r="D569" s="16">
        <v>599</v>
      </c>
      <c r="E569" s="16" t="s">
        <v>3542</v>
      </c>
      <c r="F569" s="17" t="s">
        <v>1185</v>
      </c>
      <c r="G569" s="18">
        <v>12</v>
      </c>
      <c r="H569" s="19"/>
      <c r="I569" s="19">
        <v>2</v>
      </c>
      <c r="J569" s="19"/>
      <c r="K569" s="19"/>
      <c r="L569" s="20">
        <v>24</v>
      </c>
      <c r="M569" s="21">
        <v>2</v>
      </c>
      <c r="N569" s="22">
        <v>0</v>
      </c>
      <c r="O569" s="22">
        <v>2</v>
      </c>
      <c r="P569" s="20">
        <v>0</v>
      </c>
      <c r="Q569" s="23">
        <v>0</v>
      </c>
      <c r="R569" s="20">
        <v>0</v>
      </c>
      <c r="S569" s="20">
        <v>0</v>
      </c>
      <c r="T569" s="18">
        <v>0</v>
      </c>
      <c r="U569" s="24"/>
      <c r="V569" s="25">
        <v>0</v>
      </c>
    </row>
    <row r="570" spans="1:22" ht="26.25">
      <c r="A570" s="67">
        <v>889</v>
      </c>
      <c r="B570" s="15"/>
      <c r="C570" s="16">
        <v>600</v>
      </c>
      <c r="D570" s="16">
        <v>600</v>
      </c>
      <c r="E570" s="16" t="s">
        <v>3543</v>
      </c>
      <c r="F570" s="17" t="s">
        <v>1185</v>
      </c>
      <c r="G570" s="18">
        <v>12</v>
      </c>
      <c r="H570" s="19"/>
      <c r="I570" s="19">
        <v>1</v>
      </c>
      <c r="J570" s="19"/>
      <c r="K570" s="19"/>
      <c r="L570" s="20">
        <v>12</v>
      </c>
      <c r="M570" s="21">
        <v>1</v>
      </c>
      <c r="N570" s="22">
        <v>0</v>
      </c>
      <c r="O570" s="22">
        <v>1</v>
      </c>
      <c r="P570" s="20">
        <v>0</v>
      </c>
      <c r="Q570" s="23">
        <v>0</v>
      </c>
      <c r="R570" s="20">
        <v>0</v>
      </c>
      <c r="S570" s="20">
        <v>0</v>
      </c>
      <c r="T570" s="18">
        <v>0</v>
      </c>
      <c r="U570" s="24"/>
      <c r="V570" s="25">
        <v>0</v>
      </c>
    </row>
    <row r="571" spans="1:22" ht="26.25">
      <c r="A571" s="66">
        <v>890</v>
      </c>
      <c r="B571" s="15"/>
      <c r="C571" s="16">
        <v>601</v>
      </c>
      <c r="D571" s="16">
        <v>601</v>
      </c>
      <c r="E571" s="16" t="s">
        <v>3544</v>
      </c>
      <c r="F571" s="17" t="s">
        <v>1185</v>
      </c>
      <c r="G571" s="18">
        <v>10</v>
      </c>
      <c r="H571" s="19"/>
      <c r="I571" s="19">
        <v>1</v>
      </c>
      <c r="J571" s="19"/>
      <c r="K571" s="19"/>
      <c r="L571" s="20">
        <v>10</v>
      </c>
      <c r="M571" s="21">
        <v>1</v>
      </c>
      <c r="N571" s="22">
        <v>0</v>
      </c>
      <c r="O571" s="22">
        <v>1</v>
      </c>
      <c r="P571" s="20">
        <v>0</v>
      </c>
      <c r="Q571" s="23">
        <v>0</v>
      </c>
      <c r="R571" s="20">
        <v>0</v>
      </c>
      <c r="S571" s="20">
        <v>0</v>
      </c>
      <c r="T571" s="18">
        <v>0</v>
      </c>
      <c r="U571" s="24"/>
      <c r="V571" s="25">
        <v>0</v>
      </c>
    </row>
    <row r="572" spans="1:22" ht="26.25">
      <c r="A572" s="66">
        <v>890</v>
      </c>
      <c r="B572" s="15"/>
      <c r="C572" s="16">
        <v>602</v>
      </c>
      <c r="D572" s="16">
        <v>602</v>
      </c>
      <c r="E572" s="16" t="s">
        <v>3545</v>
      </c>
      <c r="F572" s="17" t="s">
        <v>1185</v>
      </c>
      <c r="G572" s="18">
        <v>12</v>
      </c>
      <c r="H572" s="19">
        <v>7</v>
      </c>
      <c r="I572" s="19">
        <v>4</v>
      </c>
      <c r="J572" s="19"/>
      <c r="K572" s="19"/>
      <c r="L572" s="20">
        <v>55</v>
      </c>
      <c r="M572" s="21">
        <v>4.583333333333333</v>
      </c>
      <c r="N572" s="22">
        <v>6.9999999999999964</v>
      </c>
      <c r="O572" s="22">
        <v>4</v>
      </c>
      <c r="P572" s="20">
        <v>0</v>
      </c>
      <c r="Q572" s="23">
        <v>0</v>
      </c>
      <c r="R572" s="20">
        <v>0</v>
      </c>
      <c r="S572" s="20">
        <v>0</v>
      </c>
      <c r="T572" s="18">
        <v>0</v>
      </c>
      <c r="U572" s="24"/>
      <c r="V572" s="25">
        <v>0</v>
      </c>
    </row>
    <row r="573" spans="1:22" ht="26.25">
      <c r="A573" s="66">
        <v>956</v>
      </c>
      <c r="B573" s="15"/>
      <c r="C573" s="16">
        <v>603</v>
      </c>
      <c r="D573" s="16">
        <v>603</v>
      </c>
      <c r="E573" s="16" t="s">
        <v>3546</v>
      </c>
      <c r="F573" s="17" t="s">
        <v>1185</v>
      </c>
      <c r="G573" s="18">
        <v>40</v>
      </c>
      <c r="H573" s="19">
        <v>13</v>
      </c>
      <c r="I573" s="19"/>
      <c r="J573" s="19"/>
      <c r="K573" s="19"/>
      <c r="L573" s="20">
        <v>13</v>
      </c>
      <c r="M573" s="21">
        <v>0.32500000000000001</v>
      </c>
      <c r="N573" s="22">
        <v>13</v>
      </c>
      <c r="O573" s="22">
        <v>0</v>
      </c>
      <c r="P573" s="20">
        <v>0</v>
      </c>
      <c r="Q573" s="23">
        <v>0</v>
      </c>
      <c r="R573" s="20">
        <v>0</v>
      </c>
      <c r="S573" s="20">
        <v>0</v>
      </c>
      <c r="T573" s="18">
        <v>0</v>
      </c>
      <c r="U573" s="24"/>
      <c r="V573" s="25">
        <v>0</v>
      </c>
    </row>
    <row r="574" spans="1:22" ht="26.25">
      <c r="A574" s="67">
        <v>1759</v>
      </c>
      <c r="B574" s="15"/>
      <c r="C574" s="16">
        <v>604</v>
      </c>
      <c r="D574" s="16">
        <v>604</v>
      </c>
      <c r="E574" s="16" t="s">
        <v>3547</v>
      </c>
      <c r="F574" s="17" t="s">
        <v>24</v>
      </c>
      <c r="G574" s="18">
        <v>1</v>
      </c>
      <c r="H574" s="19">
        <v>33</v>
      </c>
      <c r="I574" s="19"/>
      <c r="J574" s="19"/>
      <c r="K574" s="19"/>
      <c r="L574" s="20">
        <v>33</v>
      </c>
      <c r="M574" s="21">
        <v>33</v>
      </c>
      <c r="N574" s="22">
        <v>33</v>
      </c>
      <c r="O574" s="22">
        <v>0</v>
      </c>
      <c r="P574" s="20">
        <v>0</v>
      </c>
      <c r="Q574" s="23">
        <v>0</v>
      </c>
      <c r="R574" s="20">
        <v>0</v>
      </c>
      <c r="S574" s="20">
        <v>0</v>
      </c>
      <c r="T574" s="18">
        <v>0</v>
      </c>
      <c r="U574" s="24"/>
      <c r="V574" s="25">
        <v>0</v>
      </c>
    </row>
    <row r="575" spans="1:22" ht="26.25">
      <c r="A575" s="67">
        <v>1318</v>
      </c>
      <c r="B575" s="15"/>
      <c r="C575" s="16">
        <v>605</v>
      </c>
      <c r="D575" s="16">
        <v>605</v>
      </c>
      <c r="E575" s="16" t="s">
        <v>2341</v>
      </c>
      <c r="F575" s="17" t="s">
        <v>24</v>
      </c>
      <c r="G575" s="18">
        <v>1</v>
      </c>
      <c r="H575" s="19">
        <v>4</v>
      </c>
      <c r="I575" s="19"/>
      <c r="J575" s="19"/>
      <c r="K575" s="19"/>
      <c r="L575" s="20">
        <v>4</v>
      </c>
      <c r="M575" s="21">
        <v>4</v>
      </c>
      <c r="N575" s="22">
        <v>4</v>
      </c>
      <c r="O575" s="22">
        <v>0</v>
      </c>
      <c r="P575" s="20">
        <v>0</v>
      </c>
      <c r="Q575" s="23">
        <v>0</v>
      </c>
      <c r="R575" s="20">
        <v>0</v>
      </c>
      <c r="S575" s="20">
        <v>0</v>
      </c>
      <c r="T575" s="18">
        <v>0</v>
      </c>
      <c r="U575" s="24"/>
      <c r="V575" s="25">
        <v>0</v>
      </c>
    </row>
    <row r="576" spans="1:22" ht="26.25">
      <c r="A576" s="67">
        <v>1318</v>
      </c>
      <c r="B576" s="15"/>
      <c r="C576" s="16">
        <v>606</v>
      </c>
      <c r="D576" s="16">
        <v>606</v>
      </c>
      <c r="E576" s="16" t="s">
        <v>3548</v>
      </c>
      <c r="F576" s="17" t="s">
        <v>24</v>
      </c>
      <c r="G576" s="18">
        <v>1</v>
      </c>
      <c r="H576" s="19">
        <v>21</v>
      </c>
      <c r="I576" s="19"/>
      <c r="J576" s="19"/>
      <c r="K576" s="19"/>
      <c r="L576" s="20">
        <v>21</v>
      </c>
      <c r="M576" s="21">
        <v>21</v>
      </c>
      <c r="N576" s="22">
        <v>21</v>
      </c>
      <c r="O576" s="22">
        <v>0</v>
      </c>
      <c r="P576" s="20">
        <v>0</v>
      </c>
      <c r="Q576" s="23">
        <v>0</v>
      </c>
      <c r="R576" s="20">
        <v>0</v>
      </c>
      <c r="S576" s="20">
        <v>0</v>
      </c>
      <c r="T576" s="18">
        <v>0</v>
      </c>
      <c r="U576" s="24"/>
      <c r="V576" s="25">
        <v>0</v>
      </c>
    </row>
    <row r="577" spans="1:23" ht="26.25">
      <c r="A577" s="66">
        <v>1446</v>
      </c>
      <c r="B577" s="15"/>
      <c r="C577" s="16">
        <v>607</v>
      </c>
      <c r="D577" s="16">
        <v>607</v>
      </c>
      <c r="E577" s="16" t="s">
        <v>3549</v>
      </c>
      <c r="F577" s="17" t="s">
        <v>24</v>
      </c>
      <c r="G577" s="18">
        <v>1</v>
      </c>
      <c r="H577" s="19">
        <v>37</v>
      </c>
      <c r="I577" s="19"/>
      <c r="J577" s="19"/>
      <c r="K577" s="19"/>
      <c r="L577" s="20">
        <v>37</v>
      </c>
      <c r="M577" s="21">
        <v>37</v>
      </c>
      <c r="N577" s="22">
        <v>37</v>
      </c>
      <c r="O577" s="22">
        <v>0</v>
      </c>
      <c r="P577" s="20">
        <v>0</v>
      </c>
      <c r="Q577" s="23">
        <v>0</v>
      </c>
      <c r="R577" s="20">
        <v>0</v>
      </c>
      <c r="S577" s="20">
        <v>0</v>
      </c>
      <c r="T577" s="18">
        <v>0</v>
      </c>
      <c r="U577" s="24"/>
      <c r="V577" s="25">
        <v>0</v>
      </c>
    </row>
    <row r="578" spans="1:23" ht="36.75" thickBot="1">
      <c r="A578" s="65"/>
      <c r="B578" s="29" t="s">
        <v>71</v>
      </c>
      <c r="C578" s="30"/>
      <c r="D578" s="78" t="s">
        <v>72</v>
      </c>
      <c r="E578" s="79"/>
      <c r="F578" s="31"/>
      <c r="G578" s="31" t="s">
        <v>73</v>
      </c>
      <c r="H578" s="32">
        <v>285.4327442553257</v>
      </c>
      <c r="I578" s="33" t="s">
        <v>74</v>
      </c>
      <c r="J578" s="34">
        <v>189.56725574467427</v>
      </c>
      <c r="K578" s="35" t="s">
        <v>75</v>
      </c>
      <c r="L578" s="36" t="e">
        <v>#VALUE!</v>
      </c>
      <c r="M578" s="75" t="s">
        <v>3105</v>
      </c>
      <c r="N578" s="80"/>
      <c r="O578" s="81"/>
      <c r="P578" s="35">
        <v>6137.6149425287349</v>
      </c>
      <c r="Q578" s="35">
        <v>39680</v>
      </c>
      <c r="R578" s="35">
        <v>45817.614942528737</v>
      </c>
      <c r="S578" s="35">
        <v>61904.482758620688</v>
      </c>
      <c r="T578" s="35">
        <v>475</v>
      </c>
      <c r="U578" s="37">
        <v>175543.091954023</v>
      </c>
      <c r="V578" s="13" t="s">
        <v>3081</v>
      </c>
      <c r="W578" s="6"/>
    </row>
    <row r="579" spans="1:23" ht="27" thickTop="1">
      <c r="B579" s="38">
        <v>0</v>
      </c>
      <c r="D579" s="39"/>
      <c r="E579" s="3">
        <v>0</v>
      </c>
      <c r="H579" s="40">
        <v>0</v>
      </c>
      <c r="I579" s="41"/>
      <c r="J579" s="41">
        <v>24</v>
      </c>
      <c r="K579" s="40">
        <v>926.02011494252872</v>
      </c>
      <c r="T579" s="40">
        <v>0</v>
      </c>
      <c r="U579" s="40">
        <v>0</v>
      </c>
      <c r="V579" s="25">
        <v>0</v>
      </c>
    </row>
    <row r="580" spans="1:23" ht="21">
      <c r="K580" s="41">
        <v>-4960.4327442553258</v>
      </c>
    </row>
  </sheetData>
  <mergeCells count="17">
    <mergeCell ref="T2:T3"/>
    <mergeCell ref="U2:U3"/>
    <mergeCell ref="D578:E578"/>
    <mergeCell ref="N578:O578"/>
    <mergeCell ref="B1:H1"/>
    <mergeCell ref="I1:T1"/>
    <mergeCell ref="B2:B3"/>
    <mergeCell ref="C2:C3"/>
    <mergeCell ref="D2:D3"/>
    <mergeCell ref="E2:E3"/>
    <mergeCell ref="F2:F3"/>
    <mergeCell ref="G2:G3"/>
    <mergeCell ref="H2:I2"/>
    <mergeCell ref="J2:K2"/>
    <mergeCell ref="L2:O2"/>
    <mergeCell ref="P2:Q2"/>
    <mergeCell ref="R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المخزون السلعي ط 14-1-2025م (2)</vt:lpstr>
      <vt:lpstr>ورقة2</vt:lpstr>
    </vt:vector>
  </TitlesOfParts>
  <Company>Ahmed-Under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 طارق ظلمان 770820173</dc:creator>
  <cp:lastModifiedBy>abdalmalik haider</cp:lastModifiedBy>
  <cp:lastPrinted>2025-01-20T20:28:46Z</cp:lastPrinted>
  <dcterms:created xsi:type="dcterms:W3CDTF">2025-01-20T20:28:02Z</dcterms:created>
  <dcterms:modified xsi:type="dcterms:W3CDTF">2026-08-22T15:49:48Z</dcterms:modified>
</cp:coreProperties>
</file>